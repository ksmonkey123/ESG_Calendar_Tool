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9005" codeName="{8C4F1C90-05EB-6A55-5F09-09C24B55AC0B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ndreas/Workspaces/workspace-neon/ESG_Calendar/src/main/resources/"/>
    </mc:Choice>
  </mc:AlternateContent>
  <bookViews>
    <workbookView xWindow="0" yWindow="0" windowWidth="28800" windowHeight="17920" tabRatio="590" firstSheet="4" activeTab="5"/>
  </bookViews>
  <sheets>
    <sheet name="V1.1 zum Drucken" sheetId="10" state="hidden" r:id="rId1"/>
    <sheet name="V0.1 zum Drucken" sheetId="3" state="hidden" r:id="rId2"/>
    <sheet name="V0.2 zum Drucken" sheetId="7" state="hidden" r:id="rId3"/>
    <sheet name="V1.0 zum Drucken" sheetId="9" state="hidden" r:id="rId4"/>
    <sheet name="Basistabelle" sheetId="2" r:id="rId5"/>
    <sheet name="Jahresübersicht" sheetId="1" r:id="rId6"/>
    <sheet name="Statistik" sheetId="4" r:id="rId7"/>
  </sheets>
  <definedNames>
    <definedName name="_xlnm._FilterDatabase" localSheetId="4" hidden="1">Basistabelle!$A$5:$M$370</definedName>
    <definedName name="Autor">Basistabelle!$F$1</definedName>
    <definedName name="Datum">Basistabelle!$C$2</definedName>
    <definedName name="ErsterTagDesJahres">Basistabelle!$C$6</definedName>
    <definedName name="Version">Basistabelle!$C$1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2" l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AI5" i="1"/>
  <c r="CM41" i="1"/>
  <c r="CM40" i="1"/>
  <c r="CM7" i="1"/>
  <c r="CM6" i="1"/>
  <c r="CM5" i="1"/>
  <c r="CM4" i="1"/>
  <c r="CM3" i="1"/>
  <c r="CE41" i="1"/>
  <c r="CE40" i="1"/>
  <c r="CE39" i="1"/>
  <c r="CE38" i="1"/>
  <c r="CE37" i="1"/>
  <c r="CE5" i="1"/>
  <c r="CE4" i="1"/>
  <c r="CE3" i="1"/>
  <c r="CJ38" i="1"/>
  <c r="CH38" i="1"/>
  <c r="CF38" i="1"/>
  <c r="BW9" i="1"/>
  <c r="BW8" i="1"/>
  <c r="BW7" i="1"/>
  <c r="BW6" i="1"/>
  <c r="BW5" i="1"/>
  <c r="BW4" i="1"/>
  <c r="BW3" i="1"/>
  <c r="BO41" i="1"/>
  <c r="BO40" i="1"/>
  <c r="BO39" i="1"/>
  <c r="BO7" i="1"/>
  <c r="BO6" i="1"/>
  <c r="BO5" i="1"/>
  <c r="BO4" i="1"/>
  <c r="BO3" i="1"/>
  <c r="BG41" i="1"/>
  <c r="BG40" i="1"/>
  <c r="BG39" i="1"/>
  <c r="BG38" i="1"/>
  <c r="BG37" i="1"/>
  <c r="BG4" i="1"/>
  <c r="BG3" i="1"/>
  <c r="BL38" i="1"/>
  <c r="BJ38" i="1"/>
  <c r="BH38" i="1"/>
  <c r="AY41" i="1"/>
  <c r="AY8" i="1"/>
  <c r="AY7" i="1"/>
  <c r="AY6" i="1"/>
  <c r="AY5" i="1"/>
  <c r="AY4" i="1"/>
  <c r="AY3" i="1"/>
  <c r="AQ41" i="1"/>
  <c r="AQ40" i="1"/>
  <c r="AQ39" i="1"/>
  <c r="AQ38" i="1"/>
  <c r="AQ6" i="1"/>
  <c r="AQ5" i="1"/>
  <c r="AQ4" i="1"/>
  <c r="AQ3" i="1"/>
  <c r="AV38" i="1"/>
  <c r="AT38" i="1"/>
  <c r="AR38" i="1"/>
  <c r="AA41" i="1"/>
  <c r="AA40" i="1"/>
  <c r="AA8" i="1"/>
  <c r="AA7" i="1"/>
  <c r="AA6" i="1"/>
  <c r="AA5" i="1"/>
  <c r="AA4" i="1"/>
  <c r="AA3" i="1"/>
  <c r="S41" i="1"/>
  <c r="S40" i="1"/>
  <c r="S39" i="1"/>
  <c r="S38" i="1"/>
  <c r="S5" i="1"/>
  <c r="S4" i="1"/>
  <c r="S3" i="1"/>
  <c r="H3" i="1"/>
  <c r="F3" i="1"/>
  <c r="D3" i="1"/>
  <c r="C9" i="1"/>
  <c r="C8" i="1"/>
  <c r="C7" i="1"/>
  <c r="C6" i="1"/>
  <c r="C5" i="1"/>
  <c r="C4" i="1"/>
  <c r="C3" i="1"/>
  <c r="K41" i="1"/>
  <c r="K40" i="1"/>
  <c r="K39" i="1"/>
  <c r="K38" i="1"/>
  <c r="K37" i="1"/>
  <c r="K36" i="1"/>
  <c r="K35" i="1"/>
  <c r="K5" i="1"/>
  <c r="K4" i="1"/>
  <c r="K3" i="1"/>
  <c r="AF41" i="1"/>
  <c r="AD41" i="1"/>
  <c r="AB41" i="1"/>
  <c r="X41" i="1"/>
  <c r="V41" i="1"/>
  <c r="T41" i="1"/>
  <c r="AF40" i="1"/>
  <c r="AD40" i="1"/>
  <c r="AB40" i="1"/>
  <c r="AF7" i="1"/>
  <c r="AD7" i="1"/>
  <c r="AB7" i="1"/>
  <c r="AF6" i="1"/>
  <c r="AD6" i="1"/>
  <c r="AB6" i="1"/>
  <c r="AF5" i="1"/>
  <c r="AD5" i="1"/>
  <c r="AB5" i="1"/>
  <c r="AF4" i="1"/>
  <c r="AD4" i="1"/>
  <c r="AB4" i="1"/>
  <c r="AF3" i="1"/>
  <c r="AD3" i="1"/>
  <c r="AB3" i="1"/>
  <c r="CJ37" i="1"/>
  <c r="CH37" i="1"/>
  <c r="CF37" i="1"/>
  <c r="CB9" i="1"/>
  <c r="BZ9" i="1"/>
  <c r="BX9" i="1"/>
  <c r="CB8" i="1"/>
  <c r="BZ8" i="1"/>
  <c r="BX8" i="1"/>
  <c r="BL37" i="1"/>
  <c r="BJ37" i="1"/>
  <c r="BH37" i="1"/>
  <c r="BD8" i="1"/>
  <c r="BB8" i="1"/>
  <c r="AZ8" i="1"/>
  <c r="AN4" i="1"/>
  <c r="AL4" i="1"/>
  <c r="AJ4" i="1"/>
  <c r="AN3" i="1"/>
  <c r="AL3" i="1"/>
  <c r="AJ3" i="1"/>
  <c r="AF8" i="1"/>
  <c r="AD8" i="1"/>
  <c r="AB8" i="1"/>
  <c r="X38" i="1"/>
  <c r="V38" i="1"/>
  <c r="T38" i="1"/>
  <c r="X40" i="1"/>
  <c r="V40" i="1"/>
  <c r="T40" i="1"/>
  <c r="X39" i="1"/>
  <c r="V39" i="1"/>
  <c r="T39" i="1"/>
  <c r="X3" i="1"/>
  <c r="V3" i="1"/>
  <c r="T3" i="1"/>
  <c r="X4" i="1"/>
  <c r="V4" i="1"/>
  <c r="T4" i="1"/>
  <c r="X5" i="1"/>
  <c r="V5" i="1"/>
  <c r="T5" i="1"/>
  <c r="P38" i="1"/>
  <c r="N38" i="1"/>
  <c r="L38" i="1"/>
  <c r="P40" i="1"/>
  <c r="N40" i="1"/>
  <c r="L40" i="1"/>
  <c r="P39" i="1"/>
  <c r="N39" i="1"/>
  <c r="L39" i="1"/>
  <c r="P35" i="1"/>
  <c r="N35" i="1"/>
  <c r="L35" i="1"/>
  <c r="P37" i="1"/>
  <c r="N37" i="1"/>
  <c r="L37" i="1"/>
  <c r="P36" i="1"/>
  <c r="N36" i="1"/>
  <c r="L36" i="1"/>
  <c r="P5" i="1"/>
  <c r="N5" i="1"/>
  <c r="L5" i="1"/>
  <c r="P4" i="1"/>
  <c r="N4" i="1"/>
  <c r="L4" i="1"/>
  <c r="P3" i="1"/>
  <c r="N3" i="1"/>
  <c r="L3" i="1"/>
  <c r="H9" i="1"/>
  <c r="F9" i="1"/>
  <c r="D9" i="1"/>
  <c r="H8" i="1"/>
  <c r="F8" i="1"/>
  <c r="D8" i="1"/>
  <c r="CM39" i="1"/>
  <c r="CE36" i="1"/>
  <c r="CJ36" i="1"/>
  <c r="CF36" i="1"/>
  <c r="CH36" i="1"/>
  <c r="BW41" i="1"/>
  <c r="BG36" i="1"/>
  <c r="BL36" i="1"/>
  <c r="BJ36" i="1"/>
  <c r="BH36" i="1"/>
  <c r="AY40" i="1"/>
  <c r="AR37" i="1"/>
  <c r="AV37" i="1"/>
  <c r="AQ37" i="1"/>
  <c r="AT37" i="1"/>
  <c r="AL9" i="1"/>
  <c r="AN6" i="1"/>
  <c r="AN10" i="1"/>
  <c r="AJ9" i="1"/>
  <c r="AL6" i="1"/>
  <c r="AN7" i="1"/>
  <c r="AL7" i="1"/>
  <c r="AI6" i="1"/>
  <c r="AN9" i="1"/>
  <c r="AJ8" i="1"/>
  <c r="AL10" i="1"/>
  <c r="AN8" i="1"/>
  <c r="AJ6" i="1"/>
  <c r="AJ10" i="1"/>
  <c r="AL8" i="1"/>
  <c r="AI9" i="1"/>
  <c r="AI8" i="1"/>
  <c r="AI7" i="1"/>
  <c r="AJ7" i="1"/>
  <c r="AL5" i="1"/>
  <c r="AN5" i="1"/>
  <c r="AJ5" i="1"/>
  <c r="AF39" i="1"/>
  <c r="AA39" i="1"/>
  <c r="AD39" i="1"/>
  <c r="AB39" i="1"/>
  <c r="S37" i="1"/>
  <c r="P34" i="1"/>
  <c r="N34" i="1"/>
  <c r="L34" i="1"/>
  <c r="K34" i="1"/>
  <c r="C41" i="1"/>
  <c r="H41" i="1"/>
  <c r="F41" i="1"/>
  <c r="D41" i="1"/>
  <c r="AQ8" i="1"/>
  <c r="CP10" i="1"/>
  <c r="K6" i="1"/>
  <c r="CM9" i="1"/>
  <c r="AA9" i="1"/>
  <c r="AY9" i="1"/>
  <c r="CE7" i="1"/>
  <c r="AF10" i="1"/>
  <c r="BW11" i="1"/>
  <c r="AD10" i="1"/>
  <c r="S6" i="1"/>
  <c r="BO8" i="1"/>
  <c r="AB10" i="1"/>
  <c r="BG5" i="1"/>
  <c r="BG6" i="1"/>
  <c r="CR10" i="1"/>
  <c r="C10" i="1"/>
  <c r="C11" i="1"/>
  <c r="CE6" i="1"/>
  <c r="AI12" i="1"/>
  <c r="BD10" i="1"/>
  <c r="BO9" i="1"/>
  <c r="CN10" i="1"/>
  <c r="K7" i="1"/>
  <c r="AZ10" i="1"/>
  <c r="BB10" i="1"/>
  <c r="AI11" i="1"/>
  <c r="AQ7" i="1"/>
  <c r="CM8" i="1"/>
  <c r="AR4" i="1"/>
  <c r="C12" i="1"/>
  <c r="G36" i="4"/>
  <c r="K38" i="4"/>
  <c r="O38" i="4"/>
  <c r="G38" i="4"/>
  <c r="C38" i="4"/>
  <c r="AJ40" i="1"/>
  <c r="C13" i="1"/>
  <c r="BJ4" i="1"/>
  <c r="BH4" i="1"/>
  <c r="BL4" i="1"/>
  <c r="CE8" i="1"/>
  <c r="BG7" i="1"/>
  <c r="C14" i="1"/>
  <c r="CE9" i="1"/>
  <c r="BG8" i="1"/>
  <c r="K8" i="1"/>
  <c r="C15" i="1"/>
  <c r="CF10" i="1"/>
  <c r="CH10" i="1"/>
  <c r="CJ10" i="1"/>
  <c r="BG9" i="1"/>
  <c r="K9" i="1"/>
  <c r="C16" i="1"/>
  <c r="O22" i="4"/>
  <c r="CR41" i="1"/>
  <c r="CP41" i="1"/>
  <c r="CN41" i="1"/>
  <c r="CR40" i="1"/>
  <c r="CP40" i="1"/>
  <c r="CN40" i="1"/>
  <c r="CR5" i="1"/>
  <c r="CP5" i="1"/>
  <c r="CN5" i="1"/>
  <c r="CR4" i="1"/>
  <c r="CP4" i="1"/>
  <c r="CN4" i="1"/>
  <c r="CJ41" i="1"/>
  <c r="CH41" i="1"/>
  <c r="CF41" i="1"/>
  <c r="CB7" i="1"/>
  <c r="BZ7" i="1"/>
  <c r="BX7" i="1"/>
  <c r="CB6" i="1"/>
  <c r="BZ6" i="1"/>
  <c r="BX6" i="1"/>
  <c r="CB5" i="1"/>
  <c r="BZ5" i="1"/>
  <c r="BX5" i="1"/>
  <c r="CB4" i="1"/>
  <c r="BZ4" i="1"/>
  <c r="BX4" i="1"/>
  <c r="BT41" i="1"/>
  <c r="BR41" i="1"/>
  <c r="BP41" i="1"/>
  <c r="BT40" i="1"/>
  <c r="BR40" i="1"/>
  <c r="BP40" i="1"/>
  <c r="BT39" i="1"/>
  <c r="BR39" i="1"/>
  <c r="BP39" i="1"/>
  <c r="BT5" i="1"/>
  <c r="BR5" i="1"/>
  <c r="BP5" i="1"/>
  <c r="BT4" i="1"/>
  <c r="BR4" i="1"/>
  <c r="BP4" i="1"/>
  <c r="BL41" i="1"/>
  <c r="BJ41" i="1"/>
  <c r="BH41" i="1"/>
  <c r="BD41" i="1"/>
  <c r="BB41" i="1"/>
  <c r="AZ41" i="1"/>
  <c r="BD6" i="1"/>
  <c r="BB6" i="1"/>
  <c r="AZ6" i="1"/>
  <c r="BD5" i="1"/>
  <c r="BB5" i="1"/>
  <c r="AZ5" i="1"/>
  <c r="BD4" i="1"/>
  <c r="BB4" i="1"/>
  <c r="AZ4" i="1"/>
  <c r="AV41" i="1"/>
  <c r="AT41" i="1"/>
  <c r="AR41" i="1"/>
  <c r="AV40" i="1"/>
  <c r="AT40" i="1"/>
  <c r="AR40" i="1"/>
  <c r="AV39" i="1"/>
  <c r="AT39" i="1"/>
  <c r="AR39" i="1"/>
  <c r="AV4" i="1"/>
  <c r="AT4" i="1"/>
  <c r="CR3" i="1"/>
  <c r="CP3" i="1"/>
  <c r="CN3" i="1"/>
  <c r="CJ3" i="1"/>
  <c r="CH3" i="1"/>
  <c r="CF3" i="1"/>
  <c r="CB3" i="1"/>
  <c r="BZ3" i="1"/>
  <c r="BX3" i="1"/>
  <c r="BT3" i="1"/>
  <c r="BR3" i="1"/>
  <c r="BP3" i="1"/>
  <c r="BL3" i="1"/>
  <c r="BJ3" i="1"/>
  <c r="BH3" i="1"/>
  <c r="BD3" i="1"/>
  <c r="BB3" i="1"/>
  <c r="AZ3" i="1"/>
  <c r="AV3" i="1"/>
  <c r="AT3" i="1"/>
  <c r="AR3" i="1"/>
  <c r="P41" i="1"/>
  <c r="N41" i="1"/>
  <c r="L41" i="1"/>
  <c r="CH4" i="1"/>
  <c r="CJ4" i="1"/>
  <c r="CF4" i="1"/>
  <c r="D6" i="1"/>
  <c r="F6" i="1"/>
  <c r="H5" i="1"/>
  <c r="H6" i="1"/>
  <c r="F5" i="1"/>
  <c r="D5" i="1"/>
  <c r="H4" i="1"/>
  <c r="F4" i="1"/>
  <c r="D4" i="1"/>
  <c r="CJ5" i="1"/>
  <c r="CF5" i="1"/>
  <c r="CH5" i="1"/>
  <c r="CN39" i="1"/>
  <c r="CP39" i="1"/>
  <c r="CR39" i="1"/>
  <c r="CE11" i="1"/>
  <c r="BZ41" i="1"/>
  <c r="BX41" i="1"/>
  <c r="CB41" i="1"/>
  <c r="BR38" i="1"/>
  <c r="BP38" i="1"/>
  <c r="BT38" i="1"/>
  <c r="BG11" i="1"/>
  <c r="AZ40" i="1"/>
  <c r="BD40" i="1"/>
  <c r="BB40" i="1"/>
  <c r="V37" i="1"/>
  <c r="T37" i="1"/>
  <c r="X37" i="1"/>
  <c r="P10" i="1"/>
  <c r="L10" i="1"/>
  <c r="N10" i="1"/>
  <c r="F17" i="1"/>
  <c r="H17" i="1"/>
  <c r="D17" i="1"/>
  <c r="P9" i="1"/>
  <c r="BL5" i="1"/>
  <c r="CJ8" i="1"/>
  <c r="BL6" i="1"/>
  <c r="CF7" i="1"/>
  <c r="CH9" i="1"/>
  <c r="L9" i="1"/>
  <c r="N8" i="1"/>
  <c r="BL7" i="1"/>
  <c r="BL9" i="1"/>
  <c r="BH5" i="1"/>
  <c r="CF6" i="1"/>
  <c r="CH7" i="1"/>
  <c r="CF9" i="1"/>
  <c r="CJ6" i="1"/>
  <c r="BJ6" i="1"/>
  <c r="L7" i="1"/>
  <c r="CH6" i="1"/>
  <c r="P7" i="1"/>
  <c r="CH8" i="1"/>
  <c r="N6" i="1"/>
  <c r="P8" i="1"/>
  <c r="BJ5" i="1"/>
  <c r="L8" i="1"/>
  <c r="L6" i="1"/>
  <c r="BH7" i="1"/>
  <c r="BH8" i="1"/>
  <c r="BH9" i="1"/>
  <c r="N9" i="1"/>
  <c r="BJ9" i="1"/>
  <c r="BJ7" i="1"/>
  <c r="BJ8" i="1"/>
  <c r="BL8" i="1"/>
  <c r="BH6" i="1"/>
  <c r="CJ7" i="1"/>
  <c r="N7" i="1"/>
  <c r="P6" i="1"/>
  <c r="CJ9" i="1"/>
  <c r="CF8" i="1"/>
  <c r="AJ39" i="1"/>
  <c r="AJ37" i="1"/>
  <c r="AJ36" i="1"/>
  <c r="AJ35" i="1"/>
  <c r="AJ34" i="1"/>
  <c r="AJ33" i="1"/>
  <c r="AJ32" i="1"/>
  <c r="AJ30" i="1"/>
  <c r="AJ29" i="1"/>
  <c r="AJ28" i="1"/>
  <c r="AJ27" i="1"/>
  <c r="AJ26" i="1"/>
  <c r="AJ25" i="1"/>
  <c r="AJ23" i="1"/>
  <c r="AJ22" i="1"/>
  <c r="AJ21" i="1"/>
  <c r="AJ20" i="1"/>
  <c r="AJ19" i="1"/>
  <c r="AJ18" i="1"/>
  <c r="AZ7" i="1"/>
  <c r="BL40" i="1"/>
  <c r="BP6" i="1"/>
  <c r="AV5" i="1"/>
  <c r="BT6" i="1"/>
  <c r="CR6" i="1"/>
  <c r="AR5" i="1"/>
  <c r="BH39" i="1"/>
  <c r="BB7" i="1"/>
  <c r="BD7" i="1"/>
  <c r="BR6" i="1"/>
  <c r="CP6" i="1"/>
  <c r="AT5" i="1"/>
  <c r="BJ40" i="1"/>
  <c r="BH40" i="1"/>
  <c r="CN6" i="1"/>
  <c r="BL39" i="1"/>
  <c r="BJ39" i="1"/>
  <c r="F7" i="1"/>
  <c r="D7" i="1"/>
  <c r="H7" i="1"/>
  <c r="AT6" i="1"/>
  <c r="AR6" i="1"/>
  <c r="AV6" i="1"/>
  <c r="BG12" i="1"/>
  <c r="C18" i="1"/>
  <c r="CH11" i="1"/>
  <c r="BJ10" i="1"/>
  <c r="CJ11" i="1"/>
  <c r="BL10" i="1"/>
  <c r="CF11" i="1"/>
  <c r="BH10" i="1"/>
  <c r="C19" i="1"/>
  <c r="AR7" i="1"/>
  <c r="T6" i="1"/>
  <c r="K3" i="4"/>
  <c r="G3" i="4"/>
  <c r="F46" i="4"/>
  <c r="C3" i="4"/>
  <c r="B46" i="4"/>
  <c r="S7" i="1"/>
  <c r="C20" i="1"/>
  <c r="AR8" i="1"/>
  <c r="K46" i="4"/>
  <c r="C8" i="4"/>
  <c r="G8" i="4"/>
  <c r="G46" i="4"/>
  <c r="AV7" i="1"/>
  <c r="X7" i="1"/>
  <c r="X6" i="1"/>
  <c r="C22" i="4"/>
  <c r="C46" i="4"/>
  <c r="AT7" i="1"/>
  <c r="AT8" i="1"/>
  <c r="C33" i="4"/>
  <c r="AV8" i="1"/>
  <c r="V7" i="1"/>
  <c r="K8" i="4"/>
  <c r="V6" i="1"/>
  <c r="T7" i="1"/>
  <c r="C13" i="4"/>
  <c r="O8" i="4"/>
  <c r="O46" i="4"/>
  <c r="B37" i="4"/>
  <c r="B45" i="4"/>
  <c r="CM41" i="9"/>
  <c r="CE41" i="9"/>
  <c r="BW41" i="9"/>
  <c r="BO41" i="9"/>
  <c r="BG41" i="9"/>
  <c r="AY41" i="9"/>
  <c r="AI41" i="9"/>
  <c r="AA41" i="9"/>
  <c r="S41" i="9"/>
  <c r="K41" i="9"/>
  <c r="C41" i="9"/>
  <c r="CM40" i="9"/>
  <c r="CE40" i="9"/>
  <c r="BW40" i="9"/>
  <c r="BO40" i="9"/>
  <c r="BG40" i="9"/>
  <c r="AY40" i="9"/>
  <c r="AI40" i="9"/>
  <c r="AA40" i="9"/>
  <c r="S40" i="9"/>
  <c r="K40" i="9"/>
  <c r="C40" i="9"/>
  <c r="CM39" i="9"/>
  <c r="CE39" i="9"/>
  <c r="BW39" i="9"/>
  <c r="BO39" i="9"/>
  <c r="BG39" i="9"/>
  <c r="BD39" i="9"/>
  <c r="BB39" i="9"/>
  <c r="AZ39" i="9"/>
  <c r="AY39" i="9"/>
  <c r="AV39" i="9"/>
  <c r="AT39" i="9"/>
  <c r="AR39" i="9"/>
  <c r="AN39" i="9"/>
  <c r="AI39" i="9"/>
  <c r="AF39" i="9"/>
  <c r="AA39" i="9"/>
  <c r="X39" i="9"/>
  <c r="V39" i="9"/>
  <c r="T39" i="9"/>
  <c r="K39" i="9"/>
  <c r="C39" i="9"/>
  <c r="CR38" i="9"/>
  <c r="CP38" i="9"/>
  <c r="CN38" i="9"/>
  <c r="CM38" i="9"/>
  <c r="BW38" i="9"/>
  <c r="BO38" i="9"/>
  <c r="BD38" i="9"/>
  <c r="BB38" i="9"/>
  <c r="AZ38" i="9"/>
  <c r="AY38" i="9"/>
  <c r="AN38" i="9"/>
  <c r="AI38" i="9"/>
  <c r="AF38" i="9"/>
  <c r="AA38" i="9"/>
  <c r="K38" i="9"/>
  <c r="C38" i="9"/>
  <c r="CR37" i="9"/>
  <c r="CP37" i="9"/>
  <c r="CN37" i="9"/>
  <c r="CM37" i="9"/>
  <c r="CJ37" i="9"/>
  <c r="CH37" i="9"/>
  <c r="CF37" i="9"/>
  <c r="BW37" i="9"/>
  <c r="BO37" i="9"/>
  <c r="BL37" i="9"/>
  <c r="BJ37" i="9"/>
  <c r="BH37" i="9"/>
  <c r="BD37" i="9"/>
  <c r="BB37" i="9"/>
  <c r="AZ37" i="9"/>
  <c r="AY37" i="9"/>
  <c r="AV37" i="9"/>
  <c r="AT37" i="9"/>
  <c r="AR37" i="9"/>
  <c r="AN37" i="9"/>
  <c r="AL37" i="9"/>
  <c r="AJ37" i="9"/>
  <c r="AF37" i="9"/>
  <c r="AA37" i="9"/>
  <c r="X37" i="9"/>
  <c r="V37" i="9"/>
  <c r="T37" i="9"/>
  <c r="K37" i="9"/>
  <c r="C37" i="9"/>
  <c r="CR36" i="9"/>
  <c r="CP36" i="9"/>
  <c r="CN36" i="9"/>
  <c r="CM36" i="9"/>
  <c r="CJ36" i="9"/>
  <c r="CH36" i="9"/>
  <c r="CF36" i="9"/>
  <c r="CB36" i="9"/>
  <c r="BZ36" i="9"/>
  <c r="BX36" i="9"/>
  <c r="BO36" i="9"/>
  <c r="BL36" i="9"/>
  <c r="BJ36" i="9"/>
  <c r="BH36" i="9"/>
  <c r="BD36" i="9"/>
  <c r="BB36" i="9"/>
  <c r="AZ36" i="9"/>
  <c r="AY36" i="9"/>
  <c r="AV36" i="9"/>
  <c r="AT36" i="9"/>
  <c r="AR36" i="9"/>
  <c r="AN36" i="9"/>
  <c r="AL36" i="9"/>
  <c r="AJ36" i="9"/>
  <c r="AF36" i="9"/>
  <c r="AA36" i="9"/>
  <c r="X36" i="9"/>
  <c r="V36" i="9"/>
  <c r="T36" i="9"/>
  <c r="P36" i="9"/>
  <c r="N36" i="9"/>
  <c r="L36" i="9"/>
  <c r="H36" i="9"/>
  <c r="F36" i="9"/>
  <c r="D36" i="9"/>
  <c r="CR35" i="9"/>
  <c r="CP35" i="9"/>
  <c r="CN35" i="9"/>
  <c r="CM35" i="9"/>
  <c r="CJ35" i="9"/>
  <c r="CH35" i="9"/>
  <c r="CF35" i="9"/>
  <c r="CB35" i="9"/>
  <c r="BZ35" i="9"/>
  <c r="BX35" i="9"/>
  <c r="BO35" i="9"/>
  <c r="BL35" i="9"/>
  <c r="BJ35" i="9"/>
  <c r="BH35" i="9"/>
  <c r="BD35" i="9"/>
  <c r="BB35" i="9"/>
  <c r="AZ35" i="9"/>
  <c r="AV35" i="9"/>
  <c r="AT35" i="9"/>
  <c r="AR35" i="9"/>
  <c r="AN35" i="9"/>
  <c r="AL35" i="9"/>
  <c r="AJ35" i="9"/>
  <c r="AF35" i="9"/>
  <c r="AA35" i="9"/>
  <c r="X35" i="9"/>
  <c r="V35" i="9"/>
  <c r="T35" i="9"/>
  <c r="P35" i="9"/>
  <c r="N35" i="9"/>
  <c r="L35" i="9"/>
  <c r="H35" i="9"/>
  <c r="F35" i="9"/>
  <c r="D35" i="9"/>
  <c r="CR34" i="9"/>
  <c r="CP34" i="9"/>
  <c r="CN34" i="9"/>
  <c r="CJ34" i="9"/>
  <c r="CH34" i="9"/>
  <c r="CF34" i="9"/>
  <c r="CB34" i="9"/>
  <c r="BZ34" i="9"/>
  <c r="BX34" i="9"/>
  <c r="BO34" i="9"/>
  <c r="BL34" i="9"/>
  <c r="BJ34" i="9"/>
  <c r="BH34" i="9"/>
  <c r="BD34" i="9"/>
  <c r="BB34" i="9"/>
  <c r="AZ34" i="9"/>
  <c r="AV34" i="9"/>
  <c r="AT34" i="9"/>
  <c r="AR34" i="9"/>
  <c r="AN34" i="9"/>
  <c r="AL34" i="9"/>
  <c r="AJ34" i="9"/>
  <c r="AF34" i="9"/>
  <c r="AD34" i="9"/>
  <c r="AB34" i="9"/>
  <c r="X34" i="9"/>
  <c r="V34" i="9"/>
  <c r="T34" i="9"/>
  <c r="P34" i="9"/>
  <c r="N34" i="9"/>
  <c r="L34" i="9"/>
  <c r="H34" i="9"/>
  <c r="F34" i="9"/>
  <c r="D34" i="9"/>
  <c r="CR33" i="9"/>
  <c r="CP33" i="9"/>
  <c r="CN33" i="9"/>
  <c r="CJ33" i="9"/>
  <c r="CH33" i="9"/>
  <c r="CF33" i="9"/>
  <c r="CB33" i="9"/>
  <c r="BZ33" i="9"/>
  <c r="BX33" i="9"/>
  <c r="BT33" i="9"/>
  <c r="BR33" i="9"/>
  <c r="BP33" i="9"/>
  <c r="BL33" i="9"/>
  <c r="BJ33" i="9"/>
  <c r="BH33" i="9"/>
  <c r="BD33" i="9"/>
  <c r="BB33" i="9"/>
  <c r="AZ33" i="9"/>
  <c r="AV33" i="9"/>
  <c r="AT33" i="9"/>
  <c r="AR33" i="9"/>
  <c r="AN33" i="9"/>
  <c r="AL33" i="9"/>
  <c r="AJ33" i="9"/>
  <c r="AF33" i="9"/>
  <c r="AD33" i="9"/>
  <c r="AB33" i="9"/>
  <c r="X33" i="9"/>
  <c r="V33" i="9"/>
  <c r="T33" i="9"/>
  <c r="P33" i="9"/>
  <c r="N33" i="9"/>
  <c r="L33" i="9"/>
  <c r="H33" i="9"/>
  <c r="F33" i="9"/>
  <c r="D33" i="9"/>
  <c r="CR32" i="9"/>
  <c r="CP32" i="9"/>
  <c r="CN32" i="9"/>
  <c r="CJ32" i="9"/>
  <c r="CH32" i="9"/>
  <c r="CF32" i="9"/>
  <c r="CB32" i="9"/>
  <c r="BZ32" i="9"/>
  <c r="BX32" i="9"/>
  <c r="BT32" i="9"/>
  <c r="BR32" i="9"/>
  <c r="BP32" i="9"/>
  <c r="BL32" i="9"/>
  <c r="BJ32" i="9"/>
  <c r="BH32" i="9"/>
  <c r="BD32" i="9"/>
  <c r="BB32" i="9"/>
  <c r="AZ32" i="9"/>
  <c r="AV32" i="9"/>
  <c r="AT32" i="9"/>
  <c r="AR32" i="9"/>
  <c r="AN32" i="9"/>
  <c r="AL32" i="9"/>
  <c r="AJ32" i="9"/>
  <c r="AF32" i="9"/>
  <c r="AD32" i="9"/>
  <c r="AB32" i="9"/>
  <c r="X32" i="9"/>
  <c r="V32" i="9"/>
  <c r="T32" i="9"/>
  <c r="P32" i="9"/>
  <c r="N32" i="9"/>
  <c r="L32" i="9"/>
  <c r="H32" i="9"/>
  <c r="F32" i="9"/>
  <c r="D32" i="9"/>
  <c r="CR31" i="9"/>
  <c r="CP31" i="9"/>
  <c r="CN31" i="9"/>
  <c r="BT31" i="9"/>
  <c r="BR31" i="9"/>
  <c r="BP31" i="9"/>
  <c r="BD31" i="9"/>
  <c r="BB31" i="9"/>
  <c r="AZ31" i="9"/>
  <c r="AB31" i="9"/>
  <c r="CR30" i="9"/>
  <c r="CP30" i="9"/>
  <c r="CN30" i="9"/>
  <c r="CJ30" i="9"/>
  <c r="CH30" i="9"/>
  <c r="CF30" i="9"/>
  <c r="CB30" i="9"/>
  <c r="BZ30" i="9"/>
  <c r="BX30" i="9"/>
  <c r="BT30" i="9"/>
  <c r="BR30" i="9"/>
  <c r="BP30" i="9"/>
  <c r="BL30" i="9"/>
  <c r="BJ30" i="9"/>
  <c r="BH30" i="9"/>
  <c r="BD30" i="9"/>
  <c r="BB30" i="9"/>
  <c r="AZ30" i="9"/>
  <c r="AV30" i="9"/>
  <c r="AT30" i="9"/>
  <c r="AR30" i="9"/>
  <c r="AN30" i="9"/>
  <c r="AL30" i="9"/>
  <c r="AJ30" i="9"/>
  <c r="AF30" i="9"/>
  <c r="AD30" i="9"/>
  <c r="AB30" i="9"/>
  <c r="X30" i="9"/>
  <c r="V30" i="9"/>
  <c r="T30" i="9"/>
  <c r="P30" i="9"/>
  <c r="N30" i="9"/>
  <c r="L30" i="9"/>
  <c r="H30" i="9"/>
  <c r="F30" i="9"/>
  <c r="D30" i="9"/>
  <c r="CR29" i="9"/>
  <c r="CP29" i="9"/>
  <c r="CN29" i="9"/>
  <c r="CJ29" i="9"/>
  <c r="CH29" i="9"/>
  <c r="CF29" i="9"/>
  <c r="CB29" i="9"/>
  <c r="BZ29" i="9"/>
  <c r="BX29" i="9"/>
  <c r="BT29" i="9"/>
  <c r="BR29" i="9"/>
  <c r="BP29" i="9"/>
  <c r="BL29" i="9"/>
  <c r="BJ29" i="9"/>
  <c r="BH29" i="9"/>
  <c r="BD29" i="9"/>
  <c r="BB29" i="9"/>
  <c r="AZ29" i="9"/>
  <c r="AV29" i="9"/>
  <c r="AT29" i="9"/>
  <c r="AR29" i="9"/>
  <c r="AN29" i="9"/>
  <c r="AL29" i="9"/>
  <c r="AJ29" i="9"/>
  <c r="AF29" i="9"/>
  <c r="AD29" i="9"/>
  <c r="AB29" i="9"/>
  <c r="X29" i="9"/>
  <c r="V29" i="9"/>
  <c r="T29" i="9"/>
  <c r="P29" i="9"/>
  <c r="N29" i="9"/>
  <c r="L29" i="9"/>
  <c r="H29" i="9"/>
  <c r="F29" i="9"/>
  <c r="D29" i="9"/>
  <c r="CR28" i="9"/>
  <c r="CP28" i="9"/>
  <c r="CN28" i="9"/>
  <c r="CJ28" i="9"/>
  <c r="CH28" i="9"/>
  <c r="CF28" i="9"/>
  <c r="CB28" i="9"/>
  <c r="BZ28" i="9"/>
  <c r="BX28" i="9"/>
  <c r="BT28" i="9"/>
  <c r="BR28" i="9"/>
  <c r="BP28" i="9"/>
  <c r="BL28" i="9"/>
  <c r="BJ28" i="9"/>
  <c r="BH28" i="9"/>
  <c r="BD28" i="9"/>
  <c r="BB28" i="9"/>
  <c r="AZ28" i="9"/>
  <c r="AV28" i="9"/>
  <c r="AT28" i="9"/>
  <c r="AR28" i="9"/>
  <c r="AN28" i="9"/>
  <c r="AL28" i="9"/>
  <c r="AJ28" i="9"/>
  <c r="AF28" i="9"/>
  <c r="AD28" i="9"/>
  <c r="AB28" i="9"/>
  <c r="X28" i="9"/>
  <c r="V28" i="9"/>
  <c r="T28" i="9"/>
  <c r="P28" i="9"/>
  <c r="N28" i="9"/>
  <c r="L28" i="9"/>
  <c r="H28" i="9"/>
  <c r="F28" i="9"/>
  <c r="D28" i="9"/>
  <c r="CR27" i="9"/>
  <c r="CP27" i="9"/>
  <c r="CN27" i="9"/>
  <c r="CJ27" i="9"/>
  <c r="CH27" i="9"/>
  <c r="CF27" i="9"/>
  <c r="CB27" i="9"/>
  <c r="BZ27" i="9"/>
  <c r="BX27" i="9"/>
  <c r="BT27" i="9"/>
  <c r="BR27" i="9"/>
  <c r="BP27" i="9"/>
  <c r="BL27" i="9"/>
  <c r="BJ27" i="9"/>
  <c r="BH27" i="9"/>
  <c r="BD27" i="9"/>
  <c r="BB27" i="9"/>
  <c r="AZ27" i="9"/>
  <c r="AV27" i="9"/>
  <c r="AT27" i="9"/>
  <c r="AR27" i="9"/>
  <c r="AN27" i="9"/>
  <c r="AL27" i="9"/>
  <c r="AJ27" i="9"/>
  <c r="AF27" i="9"/>
  <c r="AD27" i="9"/>
  <c r="AB27" i="9"/>
  <c r="X27" i="9"/>
  <c r="V27" i="9"/>
  <c r="T27" i="9"/>
  <c r="P27" i="9"/>
  <c r="N27" i="9"/>
  <c r="L27" i="9"/>
  <c r="H27" i="9"/>
  <c r="F27" i="9"/>
  <c r="D27" i="9"/>
  <c r="CR26" i="9"/>
  <c r="CP26" i="9"/>
  <c r="CN26" i="9"/>
  <c r="CJ26" i="9"/>
  <c r="CH26" i="9"/>
  <c r="CF26" i="9"/>
  <c r="CB26" i="9"/>
  <c r="BZ26" i="9"/>
  <c r="BX26" i="9"/>
  <c r="BT26" i="9"/>
  <c r="BR26" i="9"/>
  <c r="BP26" i="9"/>
  <c r="BL26" i="9"/>
  <c r="BJ26" i="9"/>
  <c r="BH26" i="9"/>
  <c r="BD26" i="9"/>
  <c r="BB26" i="9"/>
  <c r="AZ26" i="9"/>
  <c r="AV26" i="9"/>
  <c r="AT26" i="9"/>
  <c r="AR26" i="9"/>
  <c r="AN26" i="9"/>
  <c r="AL26" i="9"/>
  <c r="AJ26" i="9"/>
  <c r="AF26" i="9"/>
  <c r="AD26" i="9"/>
  <c r="AB26" i="9"/>
  <c r="X26" i="9"/>
  <c r="V26" i="9"/>
  <c r="T26" i="9"/>
  <c r="P26" i="9"/>
  <c r="N26" i="9"/>
  <c r="L26" i="9"/>
  <c r="H26" i="9"/>
  <c r="F26" i="9"/>
  <c r="D26" i="9"/>
  <c r="CR25" i="9"/>
  <c r="CP25" i="9"/>
  <c r="CN25" i="9"/>
  <c r="CJ25" i="9"/>
  <c r="CH25" i="9"/>
  <c r="CF25" i="9"/>
  <c r="CB25" i="9"/>
  <c r="BZ25" i="9"/>
  <c r="BX25" i="9"/>
  <c r="BT25" i="9"/>
  <c r="BR25" i="9"/>
  <c r="BP25" i="9"/>
  <c r="BL25" i="9"/>
  <c r="BJ25" i="9"/>
  <c r="BH25" i="9"/>
  <c r="BD25" i="9"/>
  <c r="BB25" i="9"/>
  <c r="AZ25" i="9"/>
  <c r="AV25" i="9"/>
  <c r="AT25" i="9"/>
  <c r="AR25" i="9"/>
  <c r="AN25" i="9"/>
  <c r="AL25" i="9"/>
  <c r="AJ25" i="9"/>
  <c r="AF25" i="9"/>
  <c r="AD25" i="9"/>
  <c r="AB25" i="9"/>
  <c r="X25" i="9"/>
  <c r="V25" i="9"/>
  <c r="T25" i="9"/>
  <c r="P25" i="9"/>
  <c r="N25" i="9"/>
  <c r="L25" i="9"/>
  <c r="H25" i="9"/>
  <c r="F25" i="9"/>
  <c r="D25" i="9"/>
  <c r="CN24" i="9"/>
  <c r="BT24" i="9"/>
  <c r="BR24" i="9"/>
  <c r="BP24" i="9"/>
  <c r="BD24" i="9"/>
  <c r="BB24" i="9"/>
  <c r="AZ24" i="9"/>
  <c r="AB24" i="9"/>
  <c r="P24" i="9"/>
  <c r="N24" i="9"/>
  <c r="L24" i="9"/>
  <c r="CR23" i="9"/>
  <c r="CP23" i="9"/>
  <c r="CN23" i="9"/>
  <c r="CJ23" i="9"/>
  <c r="CH23" i="9"/>
  <c r="CF23" i="9"/>
  <c r="CB23" i="9"/>
  <c r="BZ23" i="9"/>
  <c r="BX23" i="9"/>
  <c r="BT23" i="9"/>
  <c r="BR23" i="9"/>
  <c r="BP23" i="9"/>
  <c r="BL23" i="9"/>
  <c r="BJ23" i="9"/>
  <c r="BH23" i="9"/>
  <c r="BD23" i="9"/>
  <c r="BB23" i="9"/>
  <c r="AZ23" i="9"/>
  <c r="AV23" i="9"/>
  <c r="AT23" i="9"/>
  <c r="AR23" i="9"/>
  <c r="AN23" i="9"/>
  <c r="AL23" i="9"/>
  <c r="AJ23" i="9"/>
  <c r="AF23" i="9"/>
  <c r="AD23" i="9"/>
  <c r="AB23" i="9"/>
  <c r="X23" i="9"/>
  <c r="V23" i="9"/>
  <c r="T23" i="9"/>
  <c r="P23" i="9"/>
  <c r="N23" i="9"/>
  <c r="L23" i="9"/>
  <c r="H23" i="9"/>
  <c r="F23" i="9"/>
  <c r="D23" i="9"/>
  <c r="CR22" i="9"/>
  <c r="CP22" i="9"/>
  <c r="CN22" i="9"/>
  <c r="CJ22" i="9"/>
  <c r="CH22" i="9"/>
  <c r="CF22" i="9"/>
  <c r="CB22" i="9"/>
  <c r="BZ22" i="9"/>
  <c r="BX22" i="9"/>
  <c r="BT22" i="9"/>
  <c r="BR22" i="9"/>
  <c r="BP22" i="9"/>
  <c r="BL22" i="9"/>
  <c r="BJ22" i="9"/>
  <c r="BH22" i="9"/>
  <c r="BD22" i="9"/>
  <c r="BB22" i="9"/>
  <c r="AZ22" i="9"/>
  <c r="AV22" i="9"/>
  <c r="AT22" i="9"/>
  <c r="AR22" i="9"/>
  <c r="AN22" i="9"/>
  <c r="AL22" i="9"/>
  <c r="AJ22" i="9"/>
  <c r="AF22" i="9"/>
  <c r="AD22" i="9"/>
  <c r="AB22" i="9"/>
  <c r="X22" i="9"/>
  <c r="V22" i="9"/>
  <c r="T22" i="9"/>
  <c r="P22" i="9"/>
  <c r="N22" i="9"/>
  <c r="L22" i="9"/>
  <c r="H22" i="9"/>
  <c r="F22" i="9"/>
  <c r="D22" i="9"/>
  <c r="CR21" i="9"/>
  <c r="CP21" i="9"/>
  <c r="CN21" i="9"/>
  <c r="CJ21" i="9"/>
  <c r="CH21" i="9"/>
  <c r="CF21" i="9"/>
  <c r="CB21" i="9"/>
  <c r="BZ21" i="9"/>
  <c r="BX21" i="9"/>
  <c r="BT21" i="9"/>
  <c r="BR21" i="9"/>
  <c r="BP21" i="9"/>
  <c r="BL21" i="9"/>
  <c r="BJ21" i="9"/>
  <c r="BH21" i="9"/>
  <c r="BD21" i="9"/>
  <c r="BB21" i="9"/>
  <c r="AZ21" i="9"/>
  <c r="AV21" i="9"/>
  <c r="AT21" i="9"/>
  <c r="AR21" i="9"/>
  <c r="AN21" i="9"/>
  <c r="AL21" i="9"/>
  <c r="AJ21" i="9"/>
  <c r="AF21" i="9"/>
  <c r="AD21" i="9"/>
  <c r="AB21" i="9"/>
  <c r="X21" i="9"/>
  <c r="V21" i="9"/>
  <c r="T21" i="9"/>
  <c r="P21" i="9"/>
  <c r="N21" i="9"/>
  <c r="L21" i="9"/>
  <c r="H21" i="9"/>
  <c r="F21" i="9"/>
  <c r="D21" i="9"/>
  <c r="CR20" i="9"/>
  <c r="CP20" i="9"/>
  <c r="CN20" i="9"/>
  <c r="CJ20" i="9"/>
  <c r="CH20" i="9"/>
  <c r="CF20" i="9"/>
  <c r="CB20" i="9"/>
  <c r="BZ20" i="9"/>
  <c r="BX20" i="9"/>
  <c r="BT20" i="9"/>
  <c r="BR20" i="9"/>
  <c r="BP20" i="9"/>
  <c r="BL20" i="9"/>
  <c r="BJ20" i="9"/>
  <c r="BH20" i="9"/>
  <c r="BD20" i="9"/>
  <c r="BB20" i="9"/>
  <c r="AZ20" i="9"/>
  <c r="AV20" i="9"/>
  <c r="AT20" i="9"/>
  <c r="AR20" i="9"/>
  <c r="AN20" i="9"/>
  <c r="AL20" i="9"/>
  <c r="AJ20" i="9"/>
  <c r="AF20" i="9"/>
  <c r="AD20" i="9"/>
  <c r="AB20" i="9"/>
  <c r="X20" i="9"/>
  <c r="V20" i="9"/>
  <c r="T20" i="9"/>
  <c r="P20" i="9"/>
  <c r="N20" i="9"/>
  <c r="L20" i="9"/>
  <c r="H20" i="9"/>
  <c r="F20" i="9"/>
  <c r="D20" i="9"/>
  <c r="CR19" i="9"/>
  <c r="CP19" i="9"/>
  <c r="CN19" i="9"/>
  <c r="CJ19" i="9"/>
  <c r="CH19" i="9"/>
  <c r="CF19" i="9"/>
  <c r="CB19" i="9"/>
  <c r="BZ19" i="9"/>
  <c r="BX19" i="9"/>
  <c r="BT19" i="9"/>
  <c r="BR19" i="9"/>
  <c r="BP19" i="9"/>
  <c r="BL19" i="9"/>
  <c r="BJ19" i="9"/>
  <c r="BH19" i="9"/>
  <c r="BD19" i="9"/>
  <c r="BB19" i="9"/>
  <c r="AZ19" i="9"/>
  <c r="AV19" i="9"/>
  <c r="AT19" i="9"/>
  <c r="AR19" i="9"/>
  <c r="AN19" i="9"/>
  <c r="AL19" i="9"/>
  <c r="AJ19" i="9"/>
  <c r="AF19" i="9"/>
  <c r="AD19" i="9"/>
  <c r="AB19" i="9"/>
  <c r="X19" i="9"/>
  <c r="V19" i="9"/>
  <c r="T19" i="9"/>
  <c r="P19" i="9"/>
  <c r="N19" i="9"/>
  <c r="L19" i="9"/>
  <c r="H19" i="9"/>
  <c r="F19" i="9"/>
  <c r="D19" i="9"/>
  <c r="CR18" i="9"/>
  <c r="CP18" i="9"/>
  <c r="CN18" i="9"/>
  <c r="CJ18" i="9"/>
  <c r="CH18" i="9"/>
  <c r="CF18" i="9"/>
  <c r="CB18" i="9"/>
  <c r="BZ18" i="9"/>
  <c r="BX18" i="9"/>
  <c r="BT18" i="9"/>
  <c r="BR18" i="9"/>
  <c r="BP18" i="9"/>
  <c r="BL18" i="9"/>
  <c r="BJ18" i="9"/>
  <c r="BH18" i="9"/>
  <c r="BD18" i="9"/>
  <c r="BB18" i="9"/>
  <c r="AZ18" i="9"/>
  <c r="AV18" i="9"/>
  <c r="AT18" i="9"/>
  <c r="AR18" i="9"/>
  <c r="AN18" i="9"/>
  <c r="AL18" i="9"/>
  <c r="AJ18" i="9"/>
  <c r="AF18" i="9"/>
  <c r="AD18" i="9"/>
  <c r="AB18" i="9"/>
  <c r="X18" i="9"/>
  <c r="V18" i="9"/>
  <c r="T18" i="9"/>
  <c r="P18" i="9"/>
  <c r="N18" i="9"/>
  <c r="L18" i="9"/>
  <c r="H18" i="9"/>
  <c r="F18" i="9"/>
  <c r="D18" i="9"/>
  <c r="BX17" i="9"/>
  <c r="BH17" i="9"/>
  <c r="BD17" i="9"/>
  <c r="BB17" i="9"/>
  <c r="AZ17" i="9"/>
  <c r="AF17" i="9"/>
  <c r="AD17" i="9"/>
  <c r="AB17" i="9"/>
  <c r="L17" i="9"/>
  <c r="CR16" i="9"/>
  <c r="CP16" i="9"/>
  <c r="CN16" i="9"/>
  <c r="CJ16" i="9"/>
  <c r="CH16" i="9"/>
  <c r="CF16" i="9"/>
  <c r="CB16" i="9"/>
  <c r="BZ16" i="9"/>
  <c r="BX16" i="9"/>
  <c r="BT16" i="9"/>
  <c r="BR16" i="9"/>
  <c r="BP16" i="9"/>
  <c r="BL16" i="9"/>
  <c r="BJ16" i="9"/>
  <c r="BH16" i="9"/>
  <c r="BD16" i="9"/>
  <c r="BB16" i="9"/>
  <c r="AZ16" i="9"/>
  <c r="AV16" i="9"/>
  <c r="AT16" i="9"/>
  <c r="AR16" i="9"/>
  <c r="AN16" i="9"/>
  <c r="AL16" i="9"/>
  <c r="AJ16" i="9"/>
  <c r="AF16" i="9"/>
  <c r="AD16" i="9"/>
  <c r="AB16" i="9"/>
  <c r="X16" i="9"/>
  <c r="V16" i="9"/>
  <c r="T16" i="9"/>
  <c r="P16" i="9"/>
  <c r="N16" i="9"/>
  <c r="L16" i="9"/>
  <c r="H16" i="9"/>
  <c r="F16" i="9"/>
  <c r="D16" i="9"/>
  <c r="CR15" i="9"/>
  <c r="CP15" i="9"/>
  <c r="CN15" i="9"/>
  <c r="CJ15" i="9"/>
  <c r="CH15" i="9"/>
  <c r="CF15" i="9"/>
  <c r="CB15" i="9"/>
  <c r="BZ15" i="9"/>
  <c r="BX15" i="9"/>
  <c r="BT15" i="9"/>
  <c r="BR15" i="9"/>
  <c r="BP15" i="9"/>
  <c r="BL15" i="9"/>
  <c r="BJ15" i="9"/>
  <c r="BH15" i="9"/>
  <c r="BD15" i="9"/>
  <c r="BB15" i="9"/>
  <c r="AZ15" i="9"/>
  <c r="AV15" i="9"/>
  <c r="AT15" i="9"/>
  <c r="AR15" i="9"/>
  <c r="AN15" i="9"/>
  <c r="AL15" i="9"/>
  <c r="AJ15" i="9"/>
  <c r="AF15" i="9"/>
  <c r="AD15" i="9"/>
  <c r="AB15" i="9"/>
  <c r="X15" i="9"/>
  <c r="V15" i="9"/>
  <c r="T15" i="9"/>
  <c r="P15" i="9"/>
  <c r="N15" i="9"/>
  <c r="L15" i="9"/>
  <c r="H15" i="9"/>
  <c r="F15" i="9"/>
  <c r="D15" i="9"/>
  <c r="CR14" i="9"/>
  <c r="CP14" i="9"/>
  <c r="CN14" i="9"/>
  <c r="CJ14" i="9"/>
  <c r="CH14" i="9"/>
  <c r="CF14" i="9"/>
  <c r="CB14" i="9"/>
  <c r="BZ14" i="9"/>
  <c r="BX14" i="9"/>
  <c r="BT14" i="9"/>
  <c r="BR14" i="9"/>
  <c r="BP14" i="9"/>
  <c r="BL14" i="9"/>
  <c r="BJ14" i="9"/>
  <c r="BH14" i="9"/>
  <c r="BD14" i="9"/>
  <c r="BB14" i="9"/>
  <c r="AZ14" i="9"/>
  <c r="AV14" i="9"/>
  <c r="AT14" i="9"/>
  <c r="AR14" i="9"/>
  <c r="AN14" i="9"/>
  <c r="AL14" i="9"/>
  <c r="AJ14" i="9"/>
  <c r="AF14" i="9"/>
  <c r="AD14" i="9"/>
  <c r="AB14" i="9"/>
  <c r="X14" i="9"/>
  <c r="V14" i="9"/>
  <c r="T14" i="9"/>
  <c r="P14" i="9"/>
  <c r="N14" i="9"/>
  <c r="L14" i="9"/>
  <c r="H14" i="9"/>
  <c r="F14" i="9"/>
  <c r="D14" i="9"/>
  <c r="CR13" i="9"/>
  <c r="CP13" i="9"/>
  <c r="CN13" i="9"/>
  <c r="CJ13" i="9"/>
  <c r="CH13" i="9"/>
  <c r="CF13" i="9"/>
  <c r="CB13" i="9"/>
  <c r="BZ13" i="9"/>
  <c r="BX13" i="9"/>
  <c r="BT13" i="9"/>
  <c r="BR13" i="9"/>
  <c r="BP13" i="9"/>
  <c r="BL13" i="9"/>
  <c r="BJ13" i="9"/>
  <c r="BH13" i="9"/>
  <c r="BD13" i="9"/>
  <c r="BB13" i="9"/>
  <c r="AZ13" i="9"/>
  <c r="AV13" i="9"/>
  <c r="AT13" i="9"/>
  <c r="AR13" i="9"/>
  <c r="AN13" i="9"/>
  <c r="AL13" i="9"/>
  <c r="AJ13" i="9"/>
  <c r="AF13" i="9"/>
  <c r="AD13" i="9"/>
  <c r="AB13" i="9"/>
  <c r="X13" i="9"/>
  <c r="V13" i="9"/>
  <c r="T13" i="9"/>
  <c r="P13" i="9"/>
  <c r="N13" i="9"/>
  <c r="L13" i="9"/>
  <c r="H13" i="9"/>
  <c r="F13" i="9"/>
  <c r="D13" i="9"/>
  <c r="CR12" i="9"/>
  <c r="CP12" i="9"/>
  <c r="CN12" i="9"/>
  <c r="CJ12" i="9"/>
  <c r="CH12" i="9"/>
  <c r="CF12" i="9"/>
  <c r="CB12" i="9"/>
  <c r="BZ12" i="9"/>
  <c r="BX12" i="9"/>
  <c r="BT12" i="9"/>
  <c r="BR12" i="9"/>
  <c r="BP12" i="9"/>
  <c r="BL12" i="9"/>
  <c r="BJ12" i="9"/>
  <c r="BH12" i="9"/>
  <c r="BD12" i="9"/>
  <c r="BB12" i="9"/>
  <c r="AZ12" i="9"/>
  <c r="AV12" i="9"/>
  <c r="AT12" i="9"/>
  <c r="AR12" i="9"/>
  <c r="AN12" i="9"/>
  <c r="AL12" i="9"/>
  <c r="AJ12" i="9"/>
  <c r="AF12" i="9"/>
  <c r="AD12" i="9"/>
  <c r="AB12" i="9"/>
  <c r="X12" i="9"/>
  <c r="V12" i="9"/>
  <c r="T12" i="9"/>
  <c r="P12" i="9"/>
  <c r="N12" i="9"/>
  <c r="L12" i="9"/>
  <c r="H12" i="9"/>
  <c r="F12" i="9"/>
  <c r="D12" i="9"/>
  <c r="CR11" i="9"/>
  <c r="CP11" i="9"/>
  <c r="CN11" i="9"/>
  <c r="CJ11" i="9"/>
  <c r="CH11" i="9"/>
  <c r="CF11" i="9"/>
  <c r="CB11" i="9"/>
  <c r="BZ11" i="9"/>
  <c r="BX11" i="9"/>
  <c r="BT11" i="9"/>
  <c r="BR11" i="9"/>
  <c r="BP11" i="9"/>
  <c r="BL11" i="9"/>
  <c r="BJ11" i="9"/>
  <c r="BH11" i="9"/>
  <c r="BD11" i="9"/>
  <c r="BB11" i="9"/>
  <c r="AZ11" i="9"/>
  <c r="AV11" i="9"/>
  <c r="AT11" i="9"/>
  <c r="AR11" i="9"/>
  <c r="AP11" i="9"/>
  <c r="AP12" i="9"/>
  <c r="AN11" i="9"/>
  <c r="AL11" i="9"/>
  <c r="AJ11" i="9"/>
  <c r="AF11" i="9"/>
  <c r="AD11" i="9"/>
  <c r="AB11" i="9"/>
  <c r="X11" i="9"/>
  <c r="V11" i="9"/>
  <c r="T11" i="9"/>
  <c r="P11" i="9"/>
  <c r="N11" i="9"/>
  <c r="L11" i="9"/>
  <c r="H11" i="9"/>
  <c r="F11" i="9"/>
  <c r="D11" i="9"/>
  <c r="CD10" i="9"/>
  <c r="CD11" i="9"/>
  <c r="CD12" i="9"/>
  <c r="CB10" i="9"/>
  <c r="BZ10" i="9"/>
  <c r="BX10" i="9"/>
  <c r="BL10" i="9"/>
  <c r="BJ10" i="9"/>
  <c r="BH10" i="9"/>
  <c r="BD10" i="9"/>
  <c r="BB10" i="9"/>
  <c r="AZ10" i="9"/>
  <c r="AF10" i="9"/>
  <c r="AD10" i="9"/>
  <c r="AB10" i="9"/>
  <c r="R10" i="9"/>
  <c r="R11" i="9"/>
  <c r="P10" i="9"/>
  <c r="N10" i="9"/>
  <c r="L10" i="9"/>
  <c r="J10" i="9"/>
  <c r="J11" i="9"/>
  <c r="J12" i="9"/>
  <c r="CR9" i="9"/>
  <c r="CP9" i="9"/>
  <c r="CN9" i="9"/>
  <c r="CJ9" i="9"/>
  <c r="CH9" i="9"/>
  <c r="CF9" i="9"/>
  <c r="CB9" i="9"/>
  <c r="BZ9" i="9"/>
  <c r="BX9" i="9"/>
  <c r="BT9" i="9"/>
  <c r="BR9" i="9"/>
  <c r="BP9" i="9"/>
  <c r="BL9" i="9"/>
  <c r="BJ9" i="9"/>
  <c r="BH9" i="9"/>
  <c r="BF9" i="9"/>
  <c r="BF10" i="9"/>
  <c r="BD9" i="9"/>
  <c r="BB9" i="9"/>
  <c r="AZ9" i="9"/>
  <c r="AV9" i="9"/>
  <c r="AT9" i="9"/>
  <c r="AQ9" i="9"/>
  <c r="AN9" i="9"/>
  <c r="AL9" i="9"/>
  <c r="AJ9" i="9"/>
  <c r="AF9" i="9"/>
  <c r="AD9" i="9"/>
  <c r="AB9" i="9"/>
  <c r="X9" i="9"/>
  <c r="V9" i="9"/>
  <c r="T9" i="9"/>
  <c r="P9" i="9"/>
  <c r="N9" i="9"/>
  <c r="L9" i="9"/>
  <c r="H9" i="9"/>
  <c r="F9" i="9"/>
  <c r="D9" i="9"/>
  <c r="CR8" i="9"/>
  <c r="CP8" i="9"/>
  <c r="CN8" i="9"/>
  <c r="CE8" i="9"/>
  <c r="CB8" i="9"/>
  <c r="BZ8" i="9"/>
  <c r="BX8" i="9"/>
  <c r="BT8" i="9"/>
  <c r="BR8" i="9"/>
  <c r="BP8" i="9"/>
  <c r="BL8" i="9"/>
  <c r="BJ8" i="9"/>
  <c r="BH8" i="9"/>
  <c r="BD8" i="9"/>
  <c r="BB8" i="9"/>
  <c r="AZ8" i="9"/>
  <c r="AV8" i="9"/>
  <c r="AT8" i="9"/>
  <c r="AQ8" i="9"/>
  <c r="AN8" i="9"/>
  <c r="AL8" i="9"/>
  <c r="AJ8" i="9"/>
  <c r="AH8" i="9"/>
  <c r="AF8" i="9"/>
  <c r="AD8" i="9"/>
  <c r="AB8" i="9"/>
  <c r="S8" i="9"/>
  <c r="K8" i="9"/>
  <c r="H8" i="9"/>
  <c r="F8" i="9"/>
  <c r="D8" i="9"/>
  <c r="CR7" i="9"/>
  <c r="CP7" i="9"/>
  <c r="CN7" i="9"/>
  <c r="CE7" i="9"/>
  <c r="CB7" i="9"/>
  <c r="BZ7" i="9"/>
  <c r="BX7" i="9"/>
  <c r="BV7" i="9"/>
  <c r="BT7" i="9"/>
  <c r="BR7" i="9"/>
  <c r="BP7" i="9"/>
  <c r="BG7" i="9"/>
  <c r="BD7" i="9"/>
  <c r="BB7" i="9"/>
  <c r="AZ7" i="9"/>
  <c r="AQ7" i="9"/>
  <c r="AN7" i="9"/>
  <c r="AL7" i="9"/>
  <c r="AJ7" i="9"/>
  <c r="AF7" i="9"/>
  <c r="AD7" i="9"/>
  <c r="AB7" i="9"/>
  <c r="S7" i="9"/>
  <c r="K7" i="9"/>
  <c r="H7" i="9"/>
  <c r="F7" i="9"/>
  <c r="D7" i="9"/>
  <c r="B7" i="9"/>
  <c r="B8" i="9"/>
  <c r="B9" i="9"/>
  <c r="CR6" i="9"/>
  <c r="CP6" i="9"/>
  <c r="CN6" i="9"/>
  <c r="CE6" i="9"/>
  <c r="CB6" i="9"/>
  <c r="BZ6" i="9"/>
  <c r="BX6" i="9"/>
  <c r="BT6" i="9"/>
  <c r="BR6" i="9"/>
  <c r="BP6" i="9"/>
  <c r="BG6" i="9"/>
  <c r="BD6" i="9"/>
  <c r="BB6" i="9"/>
  <c r="AZ6" i="9"/>
  <c r="AX6" i="9"/>
  <c r="AQ6" i="9"/>
  <c r="AI6" i="9"/>
  <c r="AF6" i="9"/>
  <c r="AD6" i="9"/>
  <c r="AB6" i="9"/>
  <c r="Z6" i="9"/>
  <c r="S6" i="9"/>
  <c r="K6" i="9"/>
  <c r="H6" i="9"/>
  <c r="F6" i="9"/>
  <c r="D6" i="9"/>
  <c r="CR5" i="9"/>
  <c r="CP5" i="9"/>
  <c r="CN5" i="9"/>
  <c r="CL5" i="9"/>
  <c r="CL6" i="9"/>
  <c r="CE5" i="9"/>
  <c r="BW5" i="9"/>
  <c r="BT5" i="9"/>
  <c r="BR5" i="9"/>
  <c r="BP5" i="9"/>
  <c r="BN5" i="9"/>
  <c r="BN6" i="9"/>
  <c r="BG5" i="9"/>
  <c r="BD5" i="9"/>
  <c r="BB5" i="9"/>
  <c r="AZ5" i="9"/>
  <c r="AQ5" i="9"/>
  <c r="AF5" i="9"/>
  <c r="AD5" i="9"/>
  <c r="AB5" i="9"/>
  <c r="S5" i="9"/>
  <c r="K5" i="9"/>
  <c r="C5" i="9"/>
  <c r="CR4" i="9"/>
  <c r="CP4" i="9"/>
  <c r="CN4" i="9"/>
  <c r="CE4" i="9"/>
  <c r="BW4" i="9"/>
  <c r="BT4" i="9"/>
  <c r="BR4" i="9"/>
  <c r="BP4" i="9"/>
  <c r="BG4" i="9"/>
  <c r="AY4" i="9"/>
  <c r="AQ4" i="9"/>
  <c r="AA4" i="9"/>
  <c r="S4" i="9"/>
  <c r="K4" i="9"/>
  <c r="C4" i="9"/>
  <c r="CM3" i="9"/>
  <c r="CE3" i="9"/>
  <c r="BW3" i="9"/>
  <c r="BO3" i="9"/>
  <c r="BG3" i="9"/>
  <c r="AY3" i="9"/>
  <c r="AQ3" i="9"/>
  <c r="AI3" i="9"/>
  <c r="AA3" i="9"/>
  <c r="S3" i="9"/>
  <c r="K3" i="9"/>
  <c r="C3" i="9"/>
  <c r="AQ9" i="1"/>
  <c r="S8" i="1"/>
  <c r="C21" i="1"/>
  <c r="S9" i="9"/>
  <c r="AA5" i="9"/>
  <c r="K9" i="9"/>
  <c r="BG10" i="9"/>
  <c r="BW6" i="9"/>
  <c r="BG8" i="9"/>
  <c r="S10" i="9"/>
  <c r="AR9" i="1"/>
  <c r="V8" i="1"/>
  <c r="AY5" i="9"/>
  <c r="K10" i="9"/>
  <c r="CE9" i="9"/>
  <c r="X8" i="1"/>
  <c r="AI7" i="9"/>
  <c r="T8" i="1"/>
  <c r="AT9" i="1"/>
  <c r="CM4" i="9"/>
  <c r="AY6" i="9"/>
  <c r="K13" i="4"/>
  <c r="AI8" i="9"/>
  <c r="CE10" i="9"/>
  <c r="AA6" i="9"/>
  <c r="AQ10" i="9"/>
  <c r="C6" i="9"/>
  <c r="BO4" i="9"/>
  <c r="G13" i="4"/>
  <c r="AV9" i="1"/>
  <c r="O13" i="4"/>
  <c r="CL7" i="9"/>
  <c r="CL8" i="9"/>
  <c r="CL9" i="9"/>
  <c r="J13" i="9"/>
  <c r="AP13" i="9"/>
  <c r="AP14" i="9"/>
  <c r="AX7" i="9"/>
  <c r="AX8" i="9"/>
  <c r="AX9" i="9"/>
  <c r="BN7" i="9"/>
  <c r="CD13" i="9"/>
  <c r="B10" i="9"/>
  <c r="R12" i="9"/>
  <c r="BF11" i="9"/>
  <c r="BV8" i="9"/>
  <c r="AH9" i="9"/>
  <c r="Z7" i="9"/>
  <c r="CM41" i="7"/>
  <c r="CE41" i="7"/>
  <c r="BW41" i="7"/>
  <c r="BO41" i="7"/>
  <c r="BG41" i="7"/>
  <c r="AY41" i="7"/>
  <c r="AI41" i="7"/>
  <c r="AA41" i="7"/>
  <c r="S41" i="7"/>
  <c r="K41" i="7"/>
  <c r="C41" i="7"/>
  <c r="CM40" i="7"/>
  <c r="CE40" i="7"/>
  <c r="BW40" i="7"/>
  <c r="BO40" i="7"/>
  <c r="BG40" i="7"/>
  <c r="AY40" i="7"/>
  <c r="AI40" i="7"/>
  <c r="AA40" i="7"/>
  <c r="S40" i="7"/>
  <c r="K40" i="7"/>
  <c r="C40" i="7"/>
  <c r="CM39" i="7"/>
  <c r="CE39" i="7"/>
  <c r="BW39" i="7"/>
  <c r="BO39" i="7"/>
  <c r="BG39" i="7"/>
  <c r="BD39" i="7"/>
  <c r="BB39" i="7"/>
  <c r="AZ39" i="7"/>
  <c r="AY39" i="7"/>
  <c r="AV39" i="7"/>
  <c r="AT39" i="7"/>
  <c r="AR39" i="7"/>
  <c r="AN39" i="7"/>
  <c r="AI39" i="7"/>
  <c r="AF39" i="7"/>
  <c r="AA39" i="7"/>
  <c r="X39" i="7"/>
  <c r="V39" i="7"/>
  <c r="T39" i="7"/>
  <c r="K39" i="7"/>
  <c r="C39" i="7"/>
  <c r="CR38" i="7"/>
  <c r="CP38" i="7"/>
  <c r="CN38" i="7"/>
  <c r="CM38" i="7"/>
  <c r="BW38" i="7"/>
  <c r="BO38" i="7"/>
  <c r="BD38" i="7"/>
  <c r="BB38" i="7"/>
  <c r="AZ38" i="7"/>
  <c r="AY38" i="7"/>
  <c r="AN38" i="7"/>
  <c r="AI38" i="7"/>
  <c r="AF38" i="7"/>
  <c r="AA38" i="7"/>
  <c r="K38" i="7"/>
  <c r="C38" i="7"/>
  <c r="CR37" i="7"/>
  <c r="CP37" i="7"/>
  <c r="CN37" i="7"/>
  <c r="CM37" i="7"/>
  <c r="CJ37" i="7"/>
  <c r="CH37" i="7"/>
  <c r="CF37" i="7"/>
  <c r="BW37" i="7"/>
  <c r="BO37" i="7"/>
  <c r="BL37" i="7"/>
  <c r="BJ37" i="7"/>
  <c r="BH37" i="7"/>
  <c r="BD37" i="7"/>
  <c r="BB37" i="7"/>
  <c r="AZ37" i="7"/>
  <c r="AY37" i="7"/>
  <c r="AV37" i="7"/>
  <c r="AT37" i="7"/>
  <c r="AR37" i="7"/>
  <c r="AN37" i="7"/>
  <c r="AL37" i="7"/>
  <c r="AJ37" i="7"/>
  <c r="AF37" i="7"/>
  <c r="AA37" i="7"/>
  <c r="X37" i="7"/>
  <c r="V37" i="7"/>
  <c r="T37" i="7"/>
  <c r="K37" i="7"/>
  <c r="C37" i="7"/>
  <c r="CR36" i="7"/>
  <c r="CP36" i="7"/>
  <c r="CN36" i="7"/>
  <c r="CM36" i="7"/>
  <c r="CJ36" i="7"/>
  <c r="CH36" i="7"/>
  <c r="CF36" i="7"/>
  <c r="CB36" i="7"/>
  <c r="BZ36" i="7"/>
  <c r="BX36" i="7"/>
  <c r="BO36" i="7"/>
  <c r="BL36" i="7"/>
  <c r="BJ36" i="7"/>
  <c r="BH36" i="7"/>
  <c r="BD36" i="7"/>
  <c r="BB36" i="7"/>
  <c r="AZ36" i="7"/>
  <c r="AY36" i="7"/>
  <c r="AV36" i="7"/>
  <c r="AT36" i="7"/>
  <c r="AR36" i="7"/>
  <c r="AN36" i="7"/>
  <c r="AL36" i="7"/>
  <c r="AJ36" i="7"/>
  <c r="AF36" i="7"/>
  <c r="AA36" i="7"/>
  <c r="X36" i="7"/>
  <c r="V36" i="7"/>
  <c r="T36" i="7"/>
  <c r="P36" i="7"/>
  <c r="N36" i="7"/>
  <c r="L36" i="7"/>
  <c r="H36" i="7"/>
  <c r="F36" i="7"/>
  <c r="D36" i="7"/>
  <c r="CR35" i="7"/>
  <c r="CP35" i="7"/>
  <c r="CN35" i="7"/>
  <c r="CM35" i="7"/>
  <c r="CJ35" i="7"/>
  <c r="CH35" i="7"/>
  <c r="CF35" i="7"/>
  <c r="CB35" i="7"/>
  <c r="BZ35" i="7"/>
  <c r="BX35" i="7"/>
  <c r="BO35" i="7"/>
  <c r="BL35" i="7"/>
  <c r="BJ35" i="7"/>
  <c r="BH35" i="7"/>
  <c r="BD35" i="7"/>
  <c r="BB35" i="7"/>
  <c r="AZ35" i="7"/>
  <c r="AV35" i="7"/>
  <c r="AT35" i="7"/>
  <c r="AR35" i="7"/>
  <c r="AN35" i="7"/>
  <c r="AL35" i="7"/>
  <c r="AJ35" i="7"/>
  <c r="AF35" i="7"/>
  <c r="AA35" i="7"/>
  <c r="X35" i="7"/>
  <c r="V35" i="7"/>
  <c r="T35" i="7"/>
  <c r="P35" i="7"/>
  <c r="N35" i="7"/>
  <c r="L35" i="7"/>
  <c r="H35" i="7"/>
  <c r="F35" i="7"/>
  <c r="D35" i="7"/>
  <c r="CR34" i="7"/>
  <c r="CP34" i="7"/>
  <c r="CN34" i="7"/>
  <c r="CJ34" i="7"/>
  <c r="CH34" i="7"/>
  <c r="CF34" i="7"/>
  <c r="CB34" i="7"/>
  <c r="BZ34" i="7"/>
  <c r="BX34" i="7"/>
  <c r="BO34" i="7"/>
  <c r="BL34" i="7"/>
  <c r="BJ34" i="7"/>
  <c r="BH34" i="7"/>
  <c r="BD34" i="7"/>
  <c r="BB34" i="7"/>
  <c r="AZ34" i="7"/>
  <c r="AV34" i="7"/>
  <c r="AT34" i="7"/>
  <c r="AR34" i="7"/>
  <c r="AN34" i="7"/>
  <c r="AL34" i="7"/>
  <c r="AJ34" i="7"/>
  <c r="AF34" i="7"/>
  <c r="AD34" i="7"/>
  <c r="AB34" i="7"/>
  <c r="X34" i="7"/>
  <c r="V34" i="7"/>
  <c r="T34" i="7"/>
  <c r="P34" i="7"/>
  <c r="N34" i="7"/>
  <c r="L34" i="7"/>
  <c r="H34" i="7"/>
  <c r="F34" i="7"/>
  <c r="D34" i="7"/>
  <c r="CR33" i="7"/>
  <c r="CP33" i="7"/>
  <c r="CN33" i="7"/>
  <c r="CJ33" i="7"/>
  <c r="CH33" i="7"/>
  <c r="CF33" i="7"/>
  <c r="CB33" i="7"/>
  <c r="BZ33" i="7"/>
  <c r="BX33" i="7"/>
  <c r="BT33" i="7"/>
  <c r="BR33" i="7"/>
  <c r="BP33" i="7"/>
  <c r="BL33" i="7"/>
  <c r="BJ33" i="7"/>
  <c r="BH33" i="7"/>
  <c r="BD33" i="7"/>
  <c r="BB33" i="7"/>
  <c r="AZ33" i="7"/>
  <c r="AV33" i="7"/>
  <c r="AT33" i="7"/>
  <c r="AR33" i="7"/>
  <c r="AN33" i="7"/>
  <c r="AL33" i="7"/>
  <c r="AJ33" i="7"/>
  <c r="AF33" i="7"/>
  <c r="AD33" i="7"/>
  <c r="AB33" i="7"/>
  <c r="X33" i="7"/>
  <c r="V33" i="7"/>
  <c r="T33" i="7"/>
  <c r="P33" i="7"/>
  <c r="N33" i="7"/>
  <c r="L33" i="7"/>
  <c r="H33" i="7"/>
  <c r="F33" i="7"/>
  <c r="D33" i="7"/>
  <c r="CR32" i="7"/>
  <c r="CP32" i="7"/>
  <c r="CN32" i="7"/>
  <c r="CJ32" i="7"/>
  <c r="CH32" i="7"/>
  <c r="CF32" i="7"/>
  <c r="CB32" i="7"/>
  <c r="BZ32" i="7"/>
  <c r="BX32" i="7"/>
  <c r="BT32" i="7"/>
  <c r="BR32" i="7"/>
  <c r="BP32" i="7"/>
  <c r="BL32" i="7"/>
  <c r="BJ32" i="7"/>
  <c r="BH32" i="7"/>
  <c r="BD32" i="7"/>
  <c r="BB32" i="7"/>
  <c r="AZ32" i="7"/>
  <c r="AV32" i="7"/>
  <c r="AT32" i="7"/>
  <c r="AR32" i="7"/>
  <c r="AN32" i="7"/>
  <c r="AL32" i="7"/>
  <c r="AJ32" i="7"/>
  <c r="AF32" i="7"/>
  <c r="AD32" i="7"/>
  <c r="AB32" i="7"/>
  <c r="X32" i="7"/>
  <c r="V32" i="7"/>
  <c r="T32" i="7"/>
  <c r="P32" i="7"/>
  <c r="N32" i="7"/>
  <c r="L32" i="7"/>
  <c r="H32" i="7"/>
  <c r="F32" i="7"/>
  <c r="D32" i="7"/>
  <c r="CR31" i="7"/>
  <c r="CP31" i="7"/>
  <c r="CN31" i="7"/>
  <c r="BT31" i="7"/>
  <c r="BR31" i="7"/>
  <c r="BP31" i="7"/>
  <c r="BD31" i="7"/>
  <c r="BB31" i="7"/>
  <c r="AZ31" i="7"/>
  <c r="AB31" i="7"/>
  <c r="CR30" i="7"/>
  <c r="CP30" i="7"/>
  <c r="CN30" i="7"/>
  <c r="CJ30" i="7"/>
  <c r="CH30" i="7"/>
  <c r="CF30" i="7"/>
  <c r="CB30" i="7"/>
  <c r="BZ30" i="7"/>
  <c r="BX30" i="7"/>
  <c r="BT30" i="7"/>
  <c r="BR30" i="7"/>
  <c r="BP30" i="7"/>
  <c r="BL30" i="7"/>
  <c r="BJ30" i="7"/>
  <c r="BH30" i="7"/>
  <c r="BD30" i="7"/>
  <c r="BB30" i="7"/>
  <c r="AZ30" i="7"/>
  <c r="AV30" i="7"/>
  <c r="AT30" i="7"/>
  <c r="AR30" i="7"/>
  <c r="AN30" i="7"/>
  <c r="AL30" i="7"/>
  <c r="AJ30" i="7"/>
  <c r="AF30" i="7"/>
  <c r="AD30" i="7"/>
  <c r="AB30" i="7"/>
  <c r="X30" i="7"/>
  <c r="V30" i="7"/>
  <c r="T30" i="7"/>
  <c r="P30" i="7"/>
  <c r="N30" i="7"/>
  <c r="L30" i="7"/>
  <c r="H30" i="7"/>
  <c r="F30" i="7"/>
  <c r="D30" i="7"/>
  <c r="CR29" i="7"/>
  <c r="CP29" i="7"/>
  <c r="CN29" i="7"/>
  <c r="CJ29" i="7"/>
  <c r="CH29" i="7"/>
  <c r="CF29" i="7"/>
  <c r="CB29" i="7"/>
  <c r="BZ29" i="7"/>
  <c r="BX29" i="7"/>
  <c r="BT29" i="7"/>
  <c r="BR29" i="7"/>
  <c r="BP29" i="7"/>
  <c r="BL29" i="7"/>
  <c r="BJ29" i="7"/>
  <c r="BH29" i="7"/>
  <c r="BD29" i="7"/>
  <c r="BB29" i="7"/>
  <c r="AZ29" i="7"/>
  <c r="AV29" i="7"/>
  <c r="AT29" i="7"/>
  <c r="AR29" i="7"/>
  <c r="AN29" i="7"/>
  <c r="AL29" i="7"/>
  <c r="AJ29" i="7"/>
  <c r="AF29" i="7"/>
  <c r="AD29" i="7"/>
  <c r="AB29" i="7"/>
  <c r="X29" i="7"/>
  <c r="V29" i="7"/>
  <c r="T29" i="7"/>
  <c r="P29" i="7"/>
  <c r="N29" i="7"/>
  <c r="L29" i="7"/>
  <c r="H29" i="7"/>
  <c r="F29" i="7"/>
  <c r="D29" i="7"/>
  <c r="CR28" i="7"/>
  <c r="CP28" i="7"/>
  <c r="CN28" i="7"/>
  <c r="CJ28" i="7"/>
  <c r="CH28" i="7"/>
  <c r="CF28" i="7"/>
  <c r="CB28" i="7"/>
  <c r="BZ28" i="7"/>
  <c r="BX28" i="7"/>
  <c r="BT28" i="7"/>
  <c r="BR28" i="7"/>
  <c r="BP28" i="7"/>
  <c r="BL28" i="7"/>
  <c r="BJ28" i="7"/>
  <c r="BH28" i="7"/>
  <c r="BD28" i="7"/>
  <c r="BB28" i="7"/>
  <c r="AZ28" i="7"/>
  <c r="AV28" i="7"/>
  <c r="AT28" i="7"/>
  <c r="AR28" i="7"/>
  <c r="AN28" i="7"/>
  <c r="AL28" i="7"/>
  <c r="AJ28" i="7"/>
  <c r="AF28" i="7"/>
  <c r="AD28" i="7"/>
  <c r="AB28" i="7"/>
  <c r="X28" i="7"/>
  <c r="V28" i="7"/>
  <c r="T28" i="7"/>
  <c r="P28" i="7"/>
  <c r="N28" i="7"/>
  <c r="L28" i="7"/>
  <c r="H28" i="7"/>
  <c r="F28" i="7"/>
  <c r="D28" i="7"/>
  <c r="CR27" i="7"/>
  <c r="CP27" i="7"/>
  <c r="CN27" i="7"/>
  <c r="CJ27" i="7"/>
  <c r="CH27" i="7"/>
  <c r="CF27" i="7"/>
  <c r="CB27" i="7"/>
  <c r="BZ27" i="7"/>
  <c r="BX27" i="7"/>
  <c r="BT27" i="7"/>
  <c r="BR27" i="7"/>
  <c r="BP27" i="7"/>
  <c r="BL27" i="7"/>
  <c r="BJ27" i="7"/>
  <c r="BH27" i="7"/>
  <c r="BD27" i="7"/>
  <c r="BB27" i="7"/>
  <c r="AZ27" i="7"/>
  <c r="AV27" i="7"/>
  <c r="AT27" i="7"/>
  <c r="AR27" i="7"/>
  <c r="AN27" i="7"/>
  <c r="AL27" i="7"/>
  <c r="AJ27" i="7"/>
  <c r="AF27" i="7"/>
  <c r="AD27" i="7"/>
  <c r="AB27" i="7"/>
  <c r="X27" i="7"/>
  <c r="V27" i="7"/>
  <c r="T27" i="7"/>
  <c r="P27" i="7"/>
  <c r="N27" i="7"/>
  <c r="L27" i="7"/>
  <c r="H27" i="7"/>
  <c r="F27" i="7"/>
  <c r="D27" i="7"/>
  <c r="CR26" i="7"/>
  <c r="CP26" i="7"/>
  <c r="CN26" i="7"/>
  <c r="CJ26" i="7"/>
  <c r="CH26" i="7"/>
  <c r="CF26" i="7"/>
  <c r="CB26" i="7"/>
  <c r="BZ26" i="7"/>
  <c r="BX26" i="7"/>
  <c r="BT26" i="7"/>
  <c r="BR26" i="7"/>
  <c r="BP26" i="7"/>
  <c r="BL26" i="7"/>
  <c r="BJ26" i="7"/>
  <c r="BH26" i="7"/>
  <c r="BD26" i="7"/>
  <c r="BB26" i="7"/>
  <c r="AZ26" i="7"/>
  <c r="AV26" i="7"/>
  <c r="AT26" i="7"/>
  <c r="AR26" i="7"/>
  <c r="AN26" i="7"/>
  <c r="AL26" i="7"/>
  <c r="AJ26" i="7"/>
  <c r="AF26" i="7"/>
  <c r="AD26" i="7"/>
  <c r="AB26" i="7"/>
  <c r="X26" i="7"/>
  <c r="V26" i="7"/>
  <c r="T26" i="7"/>
  <c r="P26" i="7"/>
  <c r="N26" i="7"/>
  <c r="L26" i="7"/>
  <c r="H26" i="7"/>
  <c r="F26" i="7"/>
  <c r="D26" i="7"/>
  <c r="CR25" i="7"/>
  <c r="CP25" i="7"/>
  <c r="CN25" i="7"/>
  <c r="CJ25" i="7"/>
  <c r="CH25" i="7"/>
  <c r="CF25" i="7"/>
  <c r="CB25" i="7"/>
  <c r="BZ25" i="7"/>
  <c r="BX25" i="7"/>
  <c r="BT25" i="7"/>
  <c r="BR25" i="7"/>
  <c r="BP25" i="7"/>
  <c r="BL25" i="7"/>
  <c r="BJ25" i="7"/>
  <c r="BH25" i="7"/>
  <c r="BD25" i="7"/>
  <c r="BB25" i="7"/>
  <c r="AZ25" i="7"/>
  <c r="AV25" i="7"/>
  <c r="AT25" i="7"/>
  <c r="AR25" i="7"/>
  <c r="AN25" i="7"/>
  <c r="AL25" i="7"/>
  <c r="AJ25" i="7"/>
  <c r="AF25" i="7"/>
  <c r="AD25" i="7"/>
  <c r="AB25" i="7"/>
  <c r="X25" i="7"/>
  <c r="V25" i="7"/>
  <c r="T25" i="7"/>
  <c r="P25" i="7"/>
  <c r="N25" i="7"/>
  <c r="L25" i="7"/>
  <c r="H25" i="7"/>
  <c r="F25" i="7"/>
  <c r="D25" i="7"/>
  <c r="CN24" i="7"/>
  <c r="BT24" i="7"/>
  <c r="BR24" i="7"/>
  <c r="BP24" i="7"/>
  <c r="BD24" i="7"/>
  <c r="BB24" i="7"/>
  <c r="AZ24" i="7"/>
  <c r="AB24" i="7"/>
  <c r="P24" i="7"/>
  <c r="N24" i="7"/>
  <c r="L24" i="7"/>
  <c r="CR23" i="7"/>
  <c r="CP23" i="7"/>
  <c r="CN23" i="7"/>
  <c r="CJ23" i="7"/>
  <c r="CH23" i="7"/>
  <c r="CF23" i="7"/>
  <c r="CB23" i="7"/>
  <c r="BZ23" i="7"/>
  <c r="BX23" i="7"/>
  <c r="BT23" i="7"/>
  <c r="BR23" i="7"/>
  <c r="BP23" i="7"/>
  <c r="BL23" i="7"/>
  <c r="BJ23" i="7"/>
  <c r="BH23" i="7"/>
  <c r="BD23" i="7"/>
  <c r="BB23" i="7"/>
  <c r="AZ23" i="7"/>
  <c r="AV23" i="7"/>
  <c r="AT23" i="7"/>
  <c r="AR23" i="7"/>
  <c r="AN23" i="7"/>
  <c r="AL23" i="7"/>
  <c r="AJ23" i="7"/>
  <c r="AF23" i="7"/>
  <c r="AD23" i="7"/>
  <c r="AB23" i="7"/>
  <c r="X23" i="7"/>
  <c r="V23" i="7"/>
  <c r="T23" i="7"/>
  <c r="P23" i="7"/>
  <c r="N23" i="7"/>
  <c r="L23" i="7"/>
  <c r="H23" i="7"/>
  <c r="F23" i="7"/>
  <c r="D23" i="7"/>
  <c r="CR22" i="7"/>
  <c r="CP22" i="7"/>
  <c r="CN22" i="7"/>
  <c r="CJ22" i="7"/>
  <c r="CH22" i="7"/>
  <c r="CF22" i="7"/>
  <c r="CB22" i="7"/>
  <c r="BZ22" i="7"/>
  <c r="BX22" i="7"/>
  <c r="BT22" i="7"/>
  <c r="BR22" i="7"/>
  <c r="BP22" i="7"/>
  <c r="BL22" i="7"/>
  <c r="BJ22" i="7"/>
  <c r="BH22" i="7"/>
  <c r="BD22" i="7"/>
  <c r="BB22" i="7"/>
  <c r="AZ22" i="7"/>
  <c r="AV22" i="7"/>
  <c r="AT22" i="7"/>
  <c r="AR22" i="7"/>
  <c r="AN22" i="7"/>
  <c r="AL22" i="7"/>
  <c r="AJ22" i="7"/>
  <c r="AF22" i="7"/>
  <c r="AD22" i="7"/>
  <c r="AB22" i="7"/>
  <c r="X22" i="7"/>
  <c r="V22" i="7"/>
  <c r="T22" i="7"/>
  <c r="P22" i="7"/>
  <c r="N22" i="7"/>
  <c r="L22" i="7"/>
  <c r="H22" i="7"/>
  <c r="F22" i="7"/>
  <c r="D22" i="7"/>
  <c r="CR21" i="7"/>
  <c r="CP21" i="7"/>
  <c r="CN21" i="7"/>
  <c r="CJ21" i="7"/>
  <c r="CH21" i="7"/>
  <c r="CF21" i="7"/>
  <c r="CB21" i="7"/>
  <c r="BZ21" i="7"/>
  <c r="BX21" i="7"/>
  <c r="BT21" i="7"/>
  <c r="BR21" i="7"/>
  <c r="BP21" i="7"/>
  <c r="BL21" i="7"/>
  <c r="BJ21" i="7"/>
  <c r="BH21" i="7"/>
  <c r="BD21" i="7"/>
  <c r="BB21" i="7"/>
  <c r="AZ21" i="7"/>
  <c r="AV21" i="7"/>
  <c r="AT21" i="7"/>
  <c r="AR21" i="7"/>
  <c r="AN21" i="7"/>
  <c r="AL21" i="7"/>
  <c r="AJ21" i="7"/>
  <c r="AF21" i="7"/>
  <c r="AD21" i="7"/>
  <c r="AB21" i="7"/>
  <c r="X21" i="7"/>
  <c r="V21" i="7"/>
  <c r="T21" i="7"/>
  <c r="P21" i="7"/>
  <c r="N21" i="7"/>
  <c r="L21" i="7"/>
  <c r="H21" i="7"/>
  <c r="F21" i="7"/>
  <c r="D21" i="7"/>
  <c r="CR20" i="7"/>
  <c r="CP20" i="7"/>
  <c r="CN20" i="7"/>
  <c r="CJ20" i="7"/>
  <c r="CH20" i="7"/>
  <c r="CF20" i="7"/>
  <c r="CB20" i="7"/>
  <c r="BZ20" i="7"/>
  <c r="BX20" i="7"/>
  <c r="BT20" i="7"/>
  <c r="BR20" i="7"/>
  <c r="BP20" i="7"/>
  <c r="BL20" i="7"/>
  <c r="BJ20" i="7"/>
  <c r="BH20" i="7"/>
  <c r="BD20" i="7"/>
  <c r="BB20" i="7"/>
  <c r="AZ20" i="7"/>
  <c r="AV20" i="7"/>
  <c r="AT20" i="7"/>
  <c r="AR20" i="7"/>
  <c r="AN20" i="7"/>
  <c r="AL20" i="7"/>
  <c r="AJ20" i="7"/>
  <c r="AF20" i="7"/>
  <c r="AD20" i="7"/>
  <c r="AB20" i="7"/>
  <c r="X20" i="7"/>
  <c r="V20" i="7"/>
  <c r="T20" i="7"/>
  <c r="P20" i="7"/>
  <c r="N20" i="7"/>
  <c r="L20" i="7"/>
  <c r="H20" i="7"/>
  <c r="F20" i="7"/>
  <c r="D20" i="7"/>
  <c r="CR19" i="7"/>
  <c r="CP19" i="7"/>
  <c r="CN19" i="7"/>
  <c r="CJ19" i="7"/>
  <c r="CH19" i="7"/>
  <c r="CF19" i="7"/>
  <c r="CB19" i="7"/>
  <c r="BZ19" i="7"/>
  <c r="BX19" i="7"/>
  <c r="BT19" i="7"/>
  <c r="BR19" i="7"/>
  <c r="BP19" i="7"/>
  <c r="BL19" i="7"/>
  <c r="BJ19" i="7"/>
  <c r="BH19" i="7"/>
  <c r="BD19" i="7"/>
  <c r="BB19" i="7"/>
  <c r="AZ19" i="7"/>
  <c r="AV19" i="7"/>
  <c r="AT19" i="7"/>
  <c r="AR19" i="7"/>
  <c r="AN19" i="7"/>
  <c r="AL19" i="7"/>
  <c r="AJ19" i="7"/>
  <c r="AF19" i="7"/>
  <c r="AD19" i="7"/>
  <c r="AB19" i="7"/>
  <c r="X19" i="7"/>
  <c r="V19" i="7"/>
  <c r="T19" i="7"/>
  <c r="P19" i="7"/>
  <c r="N19" i="7"/>
  <c r="L19" i="7"/>
  <c r="H19" i="7"/>
  <c r="F19" i="7"/>
  <c r="D19" i="7"/>
  <c r="CR18" i="7"/>
  <c r="CP18" i="7"/>
  <c r="CN18" i="7"/>
  <c r="CJ18" i="7"/>
  <c r="CH18" i="7"/>
  <c r="CF18" i="7"/>
  <c r="CB18" i="7"/>
  <c r="BZ18" i="7"/>
  <c r="BX18" i="7"/>
  <c r="BT18" i="7"/>
  <c r="BR18" i="7"/>
  <c r="BP18" i="7"/>
  <c r="BL18" i="7"/>
  <c r="BJ18" i="7"/>
  <c r="BH18" i="7"/>
  <c r="BD18" i="7"/>
  <c r="BB18" i="7"/>
  <c r="AZ18" i="7"/>
  <c r="AV18" i="7"/>
  <c r="AT18" i="7"/>
  <c r="AR18" i="7"/>
  <c r="AN18" i="7"/>
  <c r="AL18" i="7"/>
  <c r="AJ18" i="7"/>
  <c r="AF18" i="7"/>
  <c r="AD18" i="7"/>
  <c r="AB18" i="7"/>
  <c r="X18" i="7"/>
  <c r="V18" i="7"/>
  <c r="T18" i="7"/>
  <c r="P18" i="7"/>
  <c r="N18" i="7"/>
  <c r="L18" i="7"/>
  <c r="H18" i="7"/>
  <c r="F18" i="7"/>
  <c r="D18" i="7"/>
  <c r="BX17" i="7"/>
  <c r="BH17" i="7"/>
  <c r="BD17" i="7"/>
  <c r="BB17" i="7"/>
  <c r="AZ17" i="7"/>
  <c r="AF17" i="7"/>
  <c r="AD17" i="7"/>
  <c r="AB17" i="7"/>
  <c r="L17" i="7"/>
  <c r="CR16" i="7"/>
  <c r="CP16" i="7"/>
  <c r="CN16" i="7"/>
  <c r="CJ16" i="7"/>
  <c r="CH16" i="7"/>
  <c r="CF16" i="7"/>
  <c r="CB16" i="7"/>
  <c r="BZ16" i="7"/>
  <c r="BX16" i="7"/>
  <c r="BT16" i="7"/>
  <c r="BR16" i="7"/>
  <c r="BP16" i="7"/>
  <c r="BL16" i="7"/>
  <c r="BJ16" i="7"/>
  <c r="BH16" i="7"/>
  <c r="BD16" i="7"/>
  <c r="BB16" i="7"/>
  <c r="AZ16" i="7"/>
  <c r="AV16" i="7"/>
  <c r="AT16" i="7"/>
  <c r="AR16" i="7"/>
  <c r="AN16" i="7"/>
  <c r="AL16" i="7"/>
  <c r="AJ16" i="7"/>
  <c r="AF16" i="7"/>
  <c r="AD16" i="7"/>
  <c r="AB16" i="7"/>
  <c r="X16" i="7"/>
  <c r="V16" i="7"/>
  <c r="T16" i="7"/>
  <c r="P16" i="7"/>
  <c r="N16" i="7"/>
  <c r="L16" i="7"/>
  <c r="H16" i="7"/>
  <c r="F16" i="7"/>
  <c r="D16" i="7"/>
  <c r="CR15" i="7"/>
  <c r="CP15" i="7"/>
  <c r="CN15" i="7"/>
  <c r="CJ15" i="7"/>
  <c r="CH15" i="7"/>
  <c r="CF15" i="7"/>
  <c r="CB15" i="7"/>
  <c r="BZ15" i="7"/>
  <c r="BX15" i="7"/>
  <c r="BT15" i="7"/>
  <c r="BR15" i="7"/>
  <c r="BP15" i="7"/>
  <c r="BL15" i="7"/>
  <c r="BJ15" i="7"/>
  <c r="BH15" i="7"/>
  <c r="BD15" i="7"/>
  <c r="BB15" i="7"/>
  <c r="AZ15" i="7"/>
  <c r="AV15" i="7"/>
  <c r="AT15" i="7"/>
  <c r="AR15" i="7"/>
  <c r="AN15" i="7"/>
  <c r="AL15" i="7"/>
  <c r="AJ15" i="7"/>
  <c r="AF15" i="7"/>
  <c r="AD15" i="7"/>
  <c r="AB15" i="7"/>
  <c r="X15" i="7"/>
  <c r="V15" i="7"/>
  <c r="T15" i="7"/>
  <c r="P15" i="7"/>
  <c r="N15" i="7"/>
  <c r="L15" i="7"/>
  <c r="H15" i="7"/>
  <c r="F15" i="7"/>
  <c r="D15" i="7"/>
  <c r="CR14" i="7"/>
  <c r="CP14" i="7"/>
  <c r="CN14" i="7"/>
  <c r="CJ14" i="7"/>
  <c r="CH14" i="7"/>
  <c r="CF14" i="7"/>
  <c r="CB14" i="7"/>
  <c r="BZ14" i="7"/>
  <c r="BX14" i="7"/>
  <c r="BT14" i="7"/>
  <c r="BR14" i="7"/>
  <c r="BP14" i="7"/>
  <c r="BL14" i="7"/>
  <c r="BJ14" i="7"/>
  <c r="BH14" i="7"/>
  <c r="BD14" i="7"/>
  <c r="BB14" i="7"/>
  <c r="AZ14" i="7"/>
  <c r="AV14" i="7"/>
  <c r="AT14" i="7"/>
  <c r="AR14" i="7"/>
  <c r="AN14" i="7"/>
  <c r="AL14" i="7"/>
  <c r="AJ14" i="7"/>
  <c r="AF14" i="7"/>
  <c r="AD14" i="7"/>
  <c r="AB14" i="7"/>
  <c r="X14" i="7"/>
  <c r="V14" i="7"/>
  <c r="T14" i="7"/>
  <c r="P14" i="7"/>
  <c r="N14" i="7"/>
  <c r="L14" i="7"/>
  <c r="H14" i="7"/>
  <c r="F14" i="7"/>
  <c r="D14" i="7"/>
  <c r="CR13" i="7"/>
  <c r="CP13" i="7"/>
  <c r="CN13" i="7"/>
  <c r="CJ13" i="7"/>
  <c r="CH13" i="7"/>
  <c r="CF13" i="7"/>
  <c r="CB13" i="7"/>
  <c r="BZ13" i="7"/>
  <c r="BX13" i="7"/>
  <c r="BT13" i="7"/>
  <c r="BR13" i="7"/>
  <c r="BP13" i="7"/>
  <c r="BL13" i="7"/>
  <c r="BJ13" i="7"/>
  <c r="BH13" i="7"/>
  <c r="BD13" i="7"/>
  <c r="BB13" i="7"/>
  <c r="AZ13" i="7"/>
  <c r="AV13" i="7"/>
  <c r="AT13" i="7"/>
  <c r="AR13" i="7"/>
  <c r="AN13" i="7"/>
  <c r="AL13" i="7"/>
  <c r="AJ13" i="7"/>
  <c r="AF13" i="7"/>
  <c r="AD13" i="7"/>
  <c r="AB13" i="7"/>
  <c r="X13" i="7"/>
  <c r="V13" i="7"/>
  <c r="T13" i="7"/>
  <c r="P13" i="7"/>
  <c r="N13" i="7"/>
  <c r="L13" i="7"/>
  <c r="H13" i="7"/>
  <c r="F13" i="7"/>
  <c r="D13" i="7"/>
  <c r="CR12" i="7"/>
  <c r="CP12" i="7"/>
  <c r="CN12" i="7"/>
  <c r="CJ12" i="7"/>
  <c r="CH12" i="7"/>
  <c r="CF12" i="7"/>
  <c r="CB12" i="7"/>
  <c r="BZ12" i="7"/>
  <c r="BX12" i="7"/>
  <c r="BT12" i="7"/>
  <c r="BR12" i="7"/>
  <c r="BP12" i="7"/>
  <c r="BL12" i="7"/>
  <c r="BJ12" i="7"/>
  <c r="BH12" i="7"/>
  <c r="BD12" i="7"/>
  <c r="BB12" i="7"/>
  <c r="AZ12" i="7"/>
  <c r="AV12" i="7"/>
  <c r="AT12" i="7"/>
  <c r="AR12" i="7"/>
  <c r="AN12" i="7"/>
  <c r="AL12" i="7"/>
  <c r="AJ12" i="7"/>
  <c r="AF12" i="7"/>
  <c r="AD12" i="7"/>
  <c r="AB12" i="7"/>
  <c r="X12" i="7"/>
  <c r="V12" i="7"/>
  <c r="T12" i="7"/>
  <c r="P12" i="7"/>
  <c r="N12" i="7"/>
  <c r="L12" i="7"/>
  <c r="H12" i="7"/>
  <c r="F12" i="7"/>
  <c r="D12" i="7"/>
  <c r="CR11" i="7"/>
  <c r="CP11" i="7"/>
  <c r="CN11" i="7"/>
  <c r="CJ11" i="7"/>
  <c r="CH11" i="7"/>
  <c r="CF11" i="7"/>
  <c r="CB11" i="7"/>
  <c r="BZ11" i="7"/>
  <c r="BX11" i="7"/>
  <c r="BT11" i="7"/>
  <c r="BR11" i="7"/>
  <c r="BP11" i="7"/>
  <c r="BL11" i="7"/>
  <c r="BJ11" i="7"/>
  <c r="BH11" i="7"/>
  <c r="BD11" i="7"/>
  <c r="BB11" i="7"/>
  <c r="AZ11" i="7"/>
  <c r="AV11" i="7"/>
  <c r="AT11" i="7"/>
  <c r="AR11" i="7"/>
  <c r="AP11" i="7"/>
  <c r="AP12" i="7"/>
  <c r="AP13" i="7"/>
  <c r="AN11" i="7"/>
  <c r="AL11" i="7"/>
  <c r="AJ11" i="7"/>
  <c r="AF11" i="7"/>
  <c r="AD11" i="7"/>
  <c r="AB11" i="7"/>
  <c r="X11" i="7"/>
  <c r="V11" i="7"/>
  <c r="T11" i="7"/>
  <c r="P11" i="7"/>
  <c r="N11" i="7"/>
  <c r="L11" i="7"/>
  <c r="H11" i="7"/>
  <c r="F11" i="7"/>
  <c r="D11" i="7"/>
  <c r="CD10" i="7"/>
  <c r="CD11" i="7"/>
  <c r="CB10" i="7"/>
  <c r="BZ10" i="7"/>
  <c r="BX10" i="7"/>
  <c r="BL10" i="7"/>
  <c r="BJ10" i="7"/>
  <c r="BH10" i="7"/>
  <c r="BD10" i="7"/>
  <c r="BB10" i="7"/>
  <c r="AZ10" i="7"/>
  <c r="AF10" i="7"/>
  <c r="AD10" i="7"/>
  <c r="AB10" i="7"/>
  <c r="R10" i="7"/>
  <c r="R11" i="7"/>
  <c r="R12" i="7"/>
  <c r="R13" i="7"/>
  <c r="P10" i="7"/>
  <c r="N10" i="7"/>
  <c r="L10" i="7"/>
  <c r="J10" i="7"/>
  <c r="CR9" i="7"/>
  <c r="CP9" i="7"/>
  <c r="CN9" i="7"/>
  <c r="CJ9" i="7"/>
  <c r="CH9" i="7"/>
  <c r="CF9" i="7"/>
  <c r="CB9" i="7"/>
  <c r="BZ9" i="7"/>
  <c r="BX9" i="7"/>
  <c r="BT9" i="7"/>
  <c r="BR9" i="7"/>
  <c r="BP9" i="7"/>
  <c r="BL9" i="7"/>
  <c r="BJ9" i="7"/>
  <c r="BH9" i="7"/>
  <c r="BF9" i="7"/>
  <c r="BF10" i="7"/>
  <c r="BF11" i="7"/>
  <c r="BD9" i="7"/>
  <c r="BB9" i="7"/>
  <c r="AZ9" i="7"/>
  <c r="AV9" i="7"/>
  <c r="AT9" i="7"/>
  <c r="AQ9" i="7"/>
  <c r="AN9" i="7"/>
  <c r="AL9" i="7"/>
  <c r="AJ9" i="7"/>
  <c r="AF9" i="7"/>
  <c r="AD9" i="7"/>
  <c r="AB9" i="7"/>
  <c r="X9" i="7"/>
  <c r="V9" i="7"/>
  <c r="T9" i="7"/>
  <c r="P9" i="7"/>
  <c r="N9" i="7"/>
  <c r="L9" i="7"/>
  <c r="H9" i="7"/>
  <c r="F9" i="7"/>
  <c r="D9" i="7"/>
  <c r="CR8" i="7"/>
  <c r="CP8" i="7"/>
  <c r="CN8" i="7"/>
  <c r="CE8" i="7"/>
  <c r="CB8" i="7"/>
  <c r="BZ8" i="7"/>
  <c r="BX8" i="7"/>
  <c r="BT8" i="7"/>
  <c r="BR8" i="7"/>
  <c r="BP8" i="7"/>
  <c r="BL8" i="7"/>
  <c r="BJ8" i="7"/>
  <c r="BH8" i="7"/>
  <c r="BD8" i="7"/>
  <c r="BB8" i="7"/>
  <c r="AZ8" i="7"/>
  <c r="AV8" i="7"/>
  <c r="AT8" i="7"/>
  <c r="AQ8" i="7"/>
  <c r="AN8" i="7"/>
  <c r="AL8" i="7"/>
  <c r="AJ8" i="7"/>
  <c r="AH8" i="7"/>
  <c r="AH9" i="7"/>
  <c r="AF8" i="7"/>
  <c r="AD8" i="7"/>
  <c r="AB8" i="7"/>
  <c r="S8" i="7"/>
  <c r="K8" i="7"/>
  <c r="H8" i="7"/>
  <c r="F8" i="7"/>
  <c r="D8" i="7"/>
  <c r="CR7" i="7"/>
  <c r="CP7" i="7"/>
  <c r="CN7" i="7"/>
  <c r="CE7" i="7"/>
  <c r="CB7" i="7"/>
  <c r="BZ7" i="7"/>
  <c r="BX7" i="7"/>
  <c r="BV7" i="7"/>
  <c r="BT7" i="7"/>
  <c r="BR7" i="7"/>
  <c r="BP7" i="7"/>
  <c r="BG7" i="7"/>
  <c r="BD7" i="7"/>
  <c r="BB7" i="7"/>
  <c r="AZ7" i="7"/>
  <c r="AQ7" i="7"/>
  <c r="AN7" i="7"/>
  <c r="AL7" i="7"/>
  <c r="AJ7" i="7"/>
  <c r="AF7" i="7"/>
  <c r="AD7" i="7"/>
  <c r="AB7" i="7"/>
  <c r="S7" i="7"/>
  <c r="K7" i="7"/>
  <c r="H7" i="7"/>
  <c r="F7" i="7"/>
  <c r="D7" i="7"/>
  <c r="B7" i="7"/>
  <c r="B8" i="7"/>
  <c r="CR6" i="7"/>
  <c r="CP6" i="7"/>
  <c r="CN6" i="7"/>
  <c r="CE6" i="7"/>
  <c r="CB6" i="7"/>
  <c r="BZ6" i="7"/>
  <c r="BX6" i="7"/>
  <c r="BT6" i="7"/>
  <c r="BR6" i="7"/>
  <c r="BP6" i="7"/>
  <c r="BG6" i="7"/>
  <c r="BD6" i="7"/>
  <c r="BB6" i="7"/>
  <c r="AZ6" i="7"/>
  <c r="AX6" i="7"/>
  <c r="AX7" i="7"/>
  <c r="AX8" i="7"/>
  <c r="AX9" i="7"/>
  <c r="AX10" i="7"/>
  <c r="AQ6" i="7"/>
  <c r="AI6" i="7"/>
  <c r="AF6" i="7"/>
  <c r="AD6" i="7"/>
  <c r="AB6" i="7"/>
  <c r="Z6" i="7"/>
  <c r="Z7" i="7"/>
  <c r="Z8" i="7"/>
  <c r="S6" i="7"/>
  <c r="K6" i="7"/>
  <c r="H6" i="7"/>
  <c r="F6" i="7"/>
  <c r="D6" i="7"/>
  <c r="CR5" i="7"/>
  <c r="CP5" i="7"/>
  <c r="CN5" i="7"/>
  <c r="CL5" i="7"/>
  <c r="CL6" i="7"/>
  <c r="CL7" i="7"/>
  <c r="CL8" i="7"/>
  <c r="CE5" i="7"/>
  <c r="BW5" i="7"/>
  <c r="BT5" i="7"/>
  <c r="BR5" i="7"/>
  <c r="BP5" i="7"/>
  <c r="BN5" i="7"/>
  <c r="BN6" i="7"/>
  <c r="BG5" i="7"/>
  <c r="BD5" i="7"/>
  <c r="BB5" i="7"/>
  <c r="AZ5" i="7"/>
  <c r="AQ5" i="7"/>
  <c r="AF5" i="7"/>
  <c r="AD5" i="7"/>
  <c r="AB5" i="7"/>
  <c r="S5" i="7"/>
  <c r="K5" i="7"/>
  <c r="C5" i="7"/>
  <c r="CR4" i="7"/>
  <c r="CP4" i="7"/>
  <c r="CN4" i="7"/>
  <c r="CE4" i="7"/>
  <c r="BW4" i="7"/>
  <c r="BT4" i="7"/>
  <c r="BR4" i="7"/>
  <c r="BP4" i="7"/>
  <c r="BG4" i="7"/>
  <c r="AY4" i="7"/>
  <c r="AQ4" i="7"/>
  <c r="AA4" i="7"/>
  <c r="S4" i="7"/>
  <c r="K4" i="7"/>
  <c r="C4" i="7"/>
  <c r="CM3" i="7"/>
  <c r="CE3" i="7"/>
  <c r="BW3" i="7"/>
  <c r="BO3" i="7"/>
  <c r="BG3" i="7"/>
  <c r="AY3" i="7"/>
  <c r="AQ3" i="7"/>
  <c r="AI3" i="7"/>
  <c r="AA3" i="7"/>
  <c r="S3" i="7"/>
  <c r="K3" i="7"/>
  <c r="C3" i="7"/>
  <c r="AT10" i="1"/>
  <c r="AR10" i="1"/>
  <c r="AV10" i="1"/>
  <c r="V9" i="1"/>
  <c r="S9" i="1"/>
  <c r="T9" i="1"/>
  <c r="X9" i="1"/>
  <c r="C22" i="1"/>
  <c r="C7" i="9"/>
  <c r="AY6" i="7"/>
  <c r="CM6" i="9"/>
  <c r="C6" i="7"/>
  <c r="CM5" i="9"/>
  <c r="K10" i="7"/>
  <c r="AY8" i="9"/>
  <c r="BW7" i="9"/>
  <c r="AY7" i="9"/>
  <c r="K9" i="7"/>
  <c r="BG8" i="7"/>
  <c r="CM4" i="7"/>
  <c r="BW6" i="7"/>
  <c r="BO6" i="9"/>
  <c r="AQ11" i="9"/>
  <c r="AQ10" i="7"/>
  <c r="S9" i="7"/>
  <c r="CM7" i="7"/>
  <c r="C9" i="9"/>
  <c r="CE11" i="9"/>
  <c r="S11" i="9"/>
  <c r="AQ13" i="9"/>
  <c r="K11" i="9"/>
  <c r="AQ12" i="9"/>
  <c r="C8" i="9"/>
  <c r="CE12" i="9"/>
  <c r="CE9" i="7"/>
  <c r="AY5" i="7"/>
  <c r="BO4" i="7"/>
  <c r="AA5" i="7"/>
  <c r="CM8" i="9"/>
  <c r="K13" i="9"/>
  <c r="BG9" i="9"/>
  <c r="CM7" i="9"/>
  <c r="K12" i="9"/>
  <c r="C8" i="7"/>
  <c r="BO5" i="9"/>
  <c r="AI7" i="7"/>
  <c r="S13" i="7"/>
  <c r="J11" i="7"/>
  <c r="J14" i="9"/>
  <c r="J15" i="9"/>
  <c r="AH10" i="7"/>
  <c r="AH11" i="7"/>
  <c r="AP14" i="7"/>
  <c r="BN7" i="7"/>
  <c r="BV9" i="9"/>
  <c r="B11" i="9"/>
  <c r="Z8" i="9"/>
  <c r="CL10" i="9"/>
  <c r="CD14" i="9"/>
  <c r="AH10" i="9"/>
  <c r="R13" i="9"/>
  <c r="AX10" i="9"/>
  <c r="AP15" i="9"/>
  <c r="BF12" i="9"/>
  <c r="BN8" i="9"/>
  <c r="Z9" i="7"/>
  <c r="BV8" i="7"/>
  <c r="BF12" i="7"/>
  <c r="J12" i="7"/>
  <c r="AX11" i="7"/>
  <c r="CD12" i="7"/>
  <c r="B9" i="7"/>
  <c r="CL9" i="7"/>
  <c r="R14" i="7"/>
  <c r="X10" i="1"/>
  <c r="T10" i="1"/>
  <c r="V10" i="1"/>
  <c r="C23" i="1"/>
  <c r="G51" i="4"/>
  <c r="O11" i="4"/>
  <c r="S10" i="7"/>
  <c r="O42" i="4"/>
  <c r="K39" i="4"/>
  <c r="O17" i="4"/>
  <c r="BG11" i="9"/>
  <c r="O14" i="4"/>
  <c r="C12" i="4"/>
  <c r="C25" i="4"/>
  <c r="K33" i="4"/>
  <c r="C6" i="4"/>
  <c r="BW7" i="7"/>
  <c r="C48" i="4"/>
  <c r="O39" i="4"/>
  <c r="S11" i="7"/>
  <c r="C4" i="4"/>
  <c r="G26" i="4"/>
  <c r="C45" i="4"/>
  <c r="K5" i="4"/>
  <c r="G20" i="4"/>
  <c r="K37" i="4"/>
  <c r="G6" i="4"/>
  <c r="K47" i="4"/>
  <c r="C20" i="4"/>
  <c r="AQ14" i="9"/>
  <c r="G33" i="4"/>
  <c r="O25" i="4"/>
  <c r="CM6" i="7"/>
  <c r="G14" i="4"/>
  <c r="K6" i="4"/>
  <c r="AA7" i="7"/>
  <c r="AY7" i="7"/>
  <c r="C17" i="4"/>
  <c r="C36" i="4"/>
  <c r="S12" i="9"/>
  <c r="K51" i="4"/>
  <c r="CE11" i="7"/>
  <c r="G21" i="4"/>
  <c r="C11" i="4"/>
  <c r="O51" i="4"/>
  <c r="CE10" i="7"/>
  <c r="K42" i="4"/>
  <c r="CE13" i="9"/>
  <c r="BG10" i="7"/>
  <c r="CM9" i="9"/>
  <c r="K11" i="7"/>
  <c r="AY8" i="7"/>
  <c r="G12" i="4"/>
  <c r="O21" i="4"/>
  <c r="C51" i="4"/>
  <c r="O36" i="4"/>
  <c r="G17" i="4"/>
  <c r="BG9" i="7"/>
  <c r="C26" i="4"/>
  <c r="O47" i="4"/>
  <c r="K17" i="4"/>
  <c r="K14" i="4"/>
  <c r="K20" i="4"/>
  <c r="CM8" i="7"/>
  <c r="K26" i="4"/>
  <c r="BO6" i="7"/>
  <c r="O4" i="4"/>
  <c r="BG11" i="7"/>
  <c r="K21" i="4"/>
  <c r="C47" i="4"/>
  <c r="AI9" i="7"/>
  <c r="C37" i="4"/>
  <c r="AY9" i="9"/>
  <c r="K36" i="4"/>
  <c r="O26" i="4"/>
  <c r="K25" i="4"/>
  <c r="AQ14" i="7"/>
  <c r="C39" i="4"/>
  <c r="C21" i="4"/>
  <c r="AI9" i="9"/>
  <c r="K45" i="4"/>
  <c r="K4" i="4"/>
  <c r="AI8" i="7"/>
  <c r="CM5" i="7"/>
  <c r="K11" i="4"/>
  <c r="O6" i="4"/>
  <c r="AA6" i="7"/>
  <c r="AY10" i="7"/>
  <c r="O5" i="4"/>
  <c r="C10" i="9"/>
  <c r="AQ13" i="7"/>
  <c r="AY9" i="7"/>
  <c r="G37" i="4"/>
  <c r="AQ12" i="7"/>
  <c r="C5" i="4"/>
  <c r="C42" i="4"/>
  <c r="G5" i="4"/>
  <c r="G45" i="4"/>
  <c r="O33" i="4"/>
  <c r="BO7" i="9"/>
  <c r="AQ11" i="7"/>
  <c r="G42" i="4"/>
  <c r="G4" i="4"/>
  <c r="K12" i="4"/>
  <c r="S12" i="7"/>
  <c r="BW8" i="9"/>
  <c r="BO5" i="7"/>
  <c r="G39" i="4"/>
  <c r="AA7" i="9"/>
  <c r="G25" i="4"/>
  <c r="G11" i="4"/>
  <c r="G47" i="4"/>
  <c r="C7" i="7"/>
  <c r="O48" i="4"/>
  <c r="AA8" i="7"/>
  <c r="C14" i="4"/>
  <c r="K15" i="4"/>
  <c r="G15" i="4"/>
  <c r="C15" i="4"/>
  <c r="K40" i="4"/>
  <c r="G40" i="4"/>
  <c r="C40" i="4"/>
  <c r="AP15" i="7"/>
  <c r="C23" i="4"/>
  <c r="BN8" i="7"/>
  <c r="O45" i="4"/>
  <c r="O49" i="4"/>
  <c r="O37" i="4"/>
  <c r="O40" i="4"/>
  <c r="O20" i="4"/>
  <c r="O12" i="4"/>
  <c r="O15" i="4"/>
  <c r="BN9" i="9"/>
  <c r="AX11" i="9"/>
  <c r="CL11" i="9"/>
  <c r="J16" i="9"/>
  <c r="R14" i="9"/>
  <c r="Z9" i="9"/>
  <c r="BF13" i="9"/>
  <c r="B12" i="9"/>
  <c r="AH11" i="9"/>
  <c r="AP16" i="9"/>
  <c r="CD15" i="9"/>
  <c r="BV10" i="9"/>
  <c r="AX12" i="7"/>
  <c r="AP16" i="7"/>
  <c r="CD13" i="7"/>
  <c r="AH12" i="7"/>
  <c r="R15" i="7"/>
  <c r="BF13" i="7"/>
  <c r="CL10" i="7"/>
  <c r="B10" i="7"/>
  <c r="BV9" i="7"/>
  <c r="J13" i="7"/>
  <c r="Z10" i="7"/>
  <c r="O52" i="4"/>
  <c r="K52" i="4"/>
  <c r="G52" i="4"/>
  <c r="C52" i="4"/>
  <c r="P51" i="4"/>
  <c r="P47" i="4"/>
  <c r="P48" i="4"/>
  <c r="P42" i="4"/>
  <c r="P36" i="4"/>
  <c r="P39" i="4"/>
  <c r="P33" i="4"/>
  <c r="P25" i="4"/>
  <c r="P26" i="4"/>
  <c r="P21" i="4"/>
  <c r="P17" i="4"/>
  <c r="P11" i="4"/>
  <c r="P14" i="4"/>
  <c r="P5" i="4"/>
  <c r="P6" i="4"/>
  <c r="P4" i="4"/>
  <c r="K49" i="4"/>
  <c r="G49" i="4"/>
  <c r="C49" i="4"/>
  <c r="K43" i="4"/>
  <c r="O43" i="4"/>
  <c r="C43" i="4"/>
  <c r="G43" i="4"/>
  <c r="O34" i="4"/>
  <c r="K34" i="4"/>
  <c r="G34" i="4"/>
  <c r="C34" i="4"/>
  <c r="O18" i="4"/>
  <c r="K18" i="4"/>
  <c r="G18" i="4"/>
  <c r="C18" i="4"/>
  <c r="O27" i="4"/>
  <c r="K27" i="4"/>
  <c r="G27" i="4"/>
  <c r="C27" i="4"/>
  <c r="K23" i="4"/>
  <c r="G23" i="4"/>
  <c r="O7" i="4"/>
  <c r="K7" i="4"/>
  <c r="K9" i="4"/>
  <c r="G7" i="4"/>
  <c r="G9" i="4"/>
  <c r="C7" i="4"/>
  <c r="C9" i="4"/>
  <c r="X11" i="1"/>
  <c r="S11" i="1"/>
  <c r="F24" i="1"/>
  <c r="D24" i="1"/>
  <c r="H24" i="1"/>
  <c r="K15" i="9"/>
  <c r="AI11" i="7"/>
  <c r="BW9" i="9"/>
  <c r="CM10" i="9"/>
  <c r="BO8" i="9"/>
  <c r="AI10" i="9"/>
  <c r="AQ15" i="9"/>
  <c r="BO7" i="7"/>
  <c r="AI10" i="7"/>
  <c r="BG12" i="7"/>
  <c r="BW8" i="7"/>
  <c r="T11" i="1"/>
  <c r="C11" i="9"/>
  <c r="K14" i="9"/>
  <c r="AQ15" i="7"/>
  <c r="S13" i="9"/>
  <c r="CE14" i="9"/>
  <c r="K12" i="7"/>
  <c r="C9" i="7"/>
  <c r="AA8" i="9"/>
  <c r="BG12" i="9"/>
  <c r="V11" i="1"/>
  <c r="CE12" i="7"/>
  <c r="CM9" i="7"/>
  <c r="S14" i="7"/>
  <c r="AY11" i="7"/>
  <c r="AA9" i="7"/>
  <c r="AY10" i="9"/>
  <c r="P20" i="4"/>
  <c r="O23" i="4"/>
  <c r="BN9" i="7"/>
  <c r="O9" i="4"/>
  <c r="Q9" i="4"/>
  <c r="B13" i="9"/>
  <c r="BW46" i="1"/>
  <c r="BW46" i="9"/>
  <c r="BF14" i="9"/>
  <c r="AX12" i="9"/>
  <c r="BV11" i="9"/>
  <c r="J17" i="9"/>
  <c r="CD16" i="9"/>
  <c r="CL12" i="9"/>
  <c r="Z10" i="9"/>
  <c r="AP17" i="9"/>
  <c r="BN10" i="9"/>
  <c r="AH12" i="9"/>
  <c r="R15" i="9"/>
  <c r="P52" i="4"/>
  <c r="Z11" i="7"/>
  <c r="CL11" i="7"/>
  <c r="AH13" i="7"/>
  <c r="J14" i="7"/>
  <c r="BF14" i="7"/>
  <c r="AP17" i="7"/>
  <c r="BV10" i="7"/>
  <c r="R16" i="7"/>
  <c r="CD14" i="7"/>
  <c r="B11" i="7"/>
  <c r="AX13" i="7"/>
  <c r="P49" i="4"/>
  <c r="P43" i="4"/>
  <c r="P15" i="4"/>
  <c r="P34" i="4"/>
  <c r="P7" i="4"/>
  <c r="P18" i="4"/>
  <c r="C25" i="1"/>
  <c r="AQ16" i="9"/>
  <c r="BG13" i="9"/>
  <c r="S14" i="9"/>
  <c r="CE15" i="9"/>
  <c r="AI12" i="7"/>
  <c r="AQ16" i="7"/>
  <c r="AA9" i="9"/>
  <c r="BW9" i="7"/>
  <c r="BO8" i="7"/>
  <c r="CM11" i="9"/>
  <c r="C10" i="7"/>
  <c r="AY11" i="9"/>
  <c r="CM10" i="7"/>
  <c r="K13" i="7"/>
  <c r="BW10" i="9"/>
  <c r="BG13" i="7"/>
  <c r="AY12" i="7"/>
  <c r="C12" i="9"/>
  <c r="CE13" i="7"/>
  <c r="AA10" i="7"/>
  <c r="K16" i="9"/>
  <c r="S15" i="7"/>
  <c r="BO9" i="9"/>
  <c r="AI11" i="9"/>
  <c r="P23" i="4"/>
  <c r="BW47" i="9"/>
  <c r="BW47" i="1"/>
  <c r="BN10" i="7"/>
  <c r="Q7" i="4"/>
  <c r="P40" i="4"/>
  <c r="Q8" i="4"/>
  <c r="Q5" i="4"/>
  <c r="Q6" i="4"/>
  <c r="Q4" i="4"/>
  <c r="P9" i="4"/>
  <c r="CL13" i="9"/>
  <c r="AX13" i="9"/>
  <c r="BF15" i="9"/>
  <c r="CD17" i="9"/>
  <c r="BN11" i="9"/>
  <c r="J18" i="9"/>
  <c r="R16" i="9"/>
  <c r="AP18" i="9"/>
  <c r="AH13" i="9"/>
  <c r="Z11" i="9"/>
  <c r="BV12" i="9"/>
  <c r="B14" i="9"/>
  <c r="AH14" i="7"/>
  <c r="AX14" i="7"/>
  <c r="R17" i="7"/>
  <c r="J15" i="7"/>
  <c r="AP18" i="7"/>
  <c r="B12" i="7"/>
  <c r="BV11" i="7"/>
  <c r="CL12" i="7"/>
  <c r="CD15" i="7"/>
  <c r="BF15" i="7"/>
  <c r="Z12" i="7"/>
  <c r="AQ11" i="1"/>
  <c r="C26" i="1"/>
  <c r="AQ17" i="9"/>
  <c r="AY12" i="9"/>
  <c r="C11" i="7"/>
  <c r="BW11" i="9"/>
  <c r="AY13" i="7"/>
  <c r="CM12" i="9"/>
  <c r="BG14" i="7"/>
  <c r="K17" i="9"/>
  <c r="CM11" i="7"/>
  <c r="AA10" i="9"/>
  <c r="BW10" i="7"/>
  <c r="AI13" i="7"/>
  <c r="CE14" i="7"/>
  <c r="S15" i="9"/>
  <c r="BO10" i="9"/>
  <c r="S16" i="7"/>
  <c r="AA11" i="7"/>
  <c r="AI12" i="9"/>
  <c r="CE16" i="9"/>
  <c r="K14" i="7"/>
  <c r="AQ17" i="7"/>
  <c r="BO9" i="7"/>
  <c r="C13" i="9"/>
  <c r="BG14" i="9"/>
  <c r="BN11" i="7"/>
  <c r="AP19" i="9"/>
  <c r="CD18" i="9"/>
  <c r="B15" i="9"/>
  <c r="BV13" i="9"/>
  <c r="R17" i="9"/>
  <c r="BF16" i="9"/>
  <c r="Z12" i="9"/>
  <c r="J19" i="9"/>
  <c r="AX14" i="9"/>
  <c r="CL14" i="9"/>
  <c r="AH14" i="9"/>
  <c r="BN12" i="9"/>
  <c r="R18" i="7"/>
  <c r="CL13" i="7"/>
  <c r="J16" i="7"/>
  <c r="Z13" i="7"/>
  <c r="BF16" i="7"/>
  <c r="B13" i="7"/>
  <c r="AX15" i="7"/>
  <c r="BV12" i="7"/>
  <c r="CD16" i="7"/>
  <c r="AP19" i="7"/>
  <c r="AH15" i="7"/>
  <c r="AQ12" i="1"/>
  <c r="C27" i="1"/>
  <c r="BG15" i="7"/>
  <c r="BW12" i="9"/>
  <c r="AQ18" i="7"/>
  <c r="C12" i="7"/>
  <c r="BO11" i="9"/>
  <c r="AQ18" i="9"/>
  <c r="BW11" i="7"/>
  <c r="AV11" i="1"/>
  <c r="AR11" i="1"/>
  <c r="K15" i="7"/>
  <c r="AA11" i="9"/>
  <c r="C14" i="9"/>
  <c r="BG15" i="9"/>
  <c r="AY14" i="7"/>
  <c r="BO10" i="7"/>
  <c r="CM13" i="9"/>
  <c r="CE15" i="7"/>
  <c r="CE17" i="9"/>
  <c r="AI13" i="9"/>
  <c r="AI14" i="7"/>
  <c r="CM12" i="7"/>
  <c r="AT12" i="1"/>
  <c r="AY13" i="9"/>
  <c r="S16" i="9"/>
  <c r="S17" i="7"/>
  <c r="AT11" i="1"/>
  <c r="AR12" i="1"/>
  <c r="AA12" i="7"/>
  <c r="K18" i="9"/>
  <c r="BN12" i="7"/>
  <c r="J20" i="9"/>
  <c r="BN13" i="9"/>
  <c r="BV14" i="9"/>
  <c r="Z13" i="9"/>
  <c r="AH15" i="9"/>
  <c r="B16" i="9"/>
  <c r="CL15" i="9"/>
  <c r="BF17" i="9"/>
  <c r="CD19" i="9"/>
  <c r="AX15" i="9"/>
  <c r="AP20" i="9"/>
  <c r="R18" i="9"/>
  <c r="AH16" i="7"/>
  <c r="AX16" i="7"/>
  <c r="J17" i="7"/>
  <c r="CL14" i="7"/>
  <c r="B14" i="7"/>
  <c r="CD17" i="7"/>
  <c r="BF17" i="7"/>
  <c r="Z14" i="7"/>
  <c r="AP20" i="7"/>
  <c r="BV13" i="7"/>
  <c r="R19" i="7"/>
  <c r="AQ13" i="1"/>
  <c r="C28" i="1"/>
  <c r="CM13" i="7"/>
  <c r="AQ19" i="9"/>
  <c r="AI15" i="7"/>
  <c r="AY15" i="7"/>
  <c r="S17" i="9"/>
  <c r="K19" i="9"/>
  <c r="AA12" i="9"/>
  <c r="BL11" i="1"/>
  <c r="BG16" i="9"/>
  <c r="BO12" i="9"/>
  <c r="AI14" i="9"/>
  <c r="K16" i="7"/>
  <c r="AQ19" i="7"/>
  <c r="CE18" i="9"/>
  <c r="AA13" i="7"/>
  <c r="BW13" i="9"/>
  <c r="CM14" i="9"/>
  <c r="C15" i="9"/>
  <c r="AV12" i="1"/>
  <c r="S18" i="7"/>
  <c r="BG16" i="7"/>
  <c r="AY14" i="9"/>
  <c r="BW12" i="7"/>
  <c r="BH11" i="1"/>
  <c r="AV13" i="1"/>
  <c r="CE16" i="7"/>
  <c r="AT13" i="1"/>
  <c r="BO11" i="7"/>
  <c r="C13" i="7"/>
  <c r="BN13" i="7"/>
  <c r="R19" i="9"/>
  <c r="BF18" i="9"/>
  <c r="Z14" i="9"/>
  <c r="AP21" i="9"/>
  <c r="CL16" i="9"/>
  <c r="BV15" i="9"/>
  <c r="AX16" i="9"/>
  <c r="BN14" i="9"/>
  <c r="B17" i="9"/>
  <c r="CD20" i="9"/>
  <c r="AH16" i="9"/>
  <c r="J21" i="9"/>
  <c r="R20" i="7"/>
  <c r="AP21" i="7"/>
  <c r="CD18" i="7"/>
  <c r="AX17" i="7"/>
  <c r="BF18" i="7"/>
  <c r="BV14" i="7"/>
  <c r="B15" i="7"/>
  <c r="CL15" i="7"/>
  <c r="J18" i="7"/>
  <c r="Z15" i="7"/>
  <c r="AH17" i="7"/>
  <c r="AQ14" i="1"/>
  <c r="S12" i="1"/>
  <c r="K11" i="1"/>
  <c r="C29" i="1"/>
  <c r="X12" i="1"/>
  <c r="S18" i="9"/>
  <c r="BH12" i="1"/>
  <c r="BO12" i="7"/>
  <c r="BW13" i="7"/>
  <c r="K17" i="7"/>
  <c r="CE17" i="7"/>
  <c r="BG17" i="9"/>
  <c r="CM15" i="9"/>
  <c r="AY16" i="7"/>
  <c r="BG17" i="7"/>
  <c r="BW14" i="9"/>
  <c r="AI16" i="7"/>
  <c r="AA14" i="7"/>
  <c r="AT14" i="1"/>
  <c r="AY15" i="9"/>
  <c r="AB9" i="1"/>
  <c r="BL12" i="1"/>
  <c r="BD9" i="1"/>
  <c r="AQ20" i="9"/>
  <c r="BJ11" i="1"/>
  <c r="P11" i="1"/>
  <c r="CM14" i="7"/>
  <c r="AA13" i="9"/>
  <c r="AQ20" i="7"/>
  <c r="BB9" i="1"/>
  <c r="S19" i="7"/>
  <c r="C16" i="9"/>
  <c r="CE19" i="9"/>
  <c r="K20" i="9"/>
  <c r="V12" i="1"/>
  <c r="AV14" i="1"/>
  <c r="C14" i="7"/>
  <c r="AZ9" i="1"/>
  <c r="AR13" i="1"/>
  <c r="BO13" i="9"/>
  <c r="AI15" i="9"/>
  <c r="T12" i="1"/>
  <c r="L11" i="1"/>
  <c r="BJ12" i="1"/>
  <c r="AR14" i="1"/>
  <c r="AD9" i="1"/>
  <c r="BN14" i="7"/>
  <c r="AP22" i="9"/>
  <c r="J22" i="9"/>
  <c r="BN15" i="9"/>
  <c r="AH17" i="9"/>
  <c r="AX17" i="9"/>
  <c r="Z15" i="9"/>
  <c r="CD21" i="9"/>
  <c r="BV16" i="9"/>
  <c r="BF19" i="9"/>
  <c r="CL17" i="9"/>
  <c r="R20" i="9"/>
  <c r="B18" i="9"/>
  <c r="AX18" i="7"/>
  <c r="CD19" i="7"/>
  <c r="BV15" i="7"/>
  <c r="AH18" i="7"/>
  <c r="Z16" i="7"/>
  <c r="AP22" i="7"/>
  <c r="R21" i="7"/>
  <c r="CL16" i="7"/>
  <c r="B16" i="7"/>
  <c r="J19" i="7"/>
  <c r="BF19" i="7"/>
  <c r="CE12" i="1"/>
  <c r="BG13" i="1"/>
  <c r="AQ15" i="1"/>
  <c r="S13" i="1"/>
  <c r="K12" i="1"/>
  <c r="C30" i="1"/>
  <c r="AY17" i="7"/>
  <c r="S19" i="9"/>
  <c r="BH13" i="1"/>
  <c r="AQ21" i="9"/>
  <c r="K18" i="7"/>
  <c r="C17" i="9"/>
  <c r="CM15" i="7"/>
  <c r="C15" i="7"/>
  <c r="T13" i="1"/>
  <c r="N12" i="1"/>
  <c r="CE18" i="7"/>
  <c r="BW15" i="9"/>
  <c r="AQ21" i="7"/>
  <c r="L12" i="1"/>
  <c r="CM16" i="9"/>
  <c r="AA14" i="9"/>
  <c r="N11" i="1"/>
  <c r="AI16" i="9"/>
  <c r="X13" i="1"/>
  <c r="AR15" i="1"/>
  <c r="AY16" i="9"/>
  <c r="BO14" i="9"/>
  <c r="AA15" i="7"/>
  <c r="AI17" i="7"/>
  <c r="BO13" i="7"/>
  <c r="K21" i="9"/>
  <c r="S20" i="7"/>
  <c r="BJ13" i="1"/>
  <c r="BG18" i="7"/>
  <c r="BW14" i="7"/>
  <c r="BG18" i="9"/>
  <c r="AF9" i="1"/>
  <c r="CE20" i="9"/>
  <c r="V13" i="1"/>
  <c r="BL13" i="1"/>
  <c r="BN15" i="7"/>
  <c r="BV17" i="9"/>
  <c r="B19" i="9"/>
  <c r="AH18" i="9"/>
  <c r="R21" i="9"/>
  <c r="CD22" i="9"/>
  <c r="BN16" i="9"/>
  <c r="CL18" i="9"/>
  <c r="Z16" i="9"/>
  <c r="J23" i="9"/>
  <c r="AP23" i="9"/>
  <c r="BF20" i="9"/>
  <c r="AX18" i="9"/>
  <c r="BF20" i="7"/>
  <c r="AH19" i="7"/>
  <c r="CL17" i="7"/>
  <c r="BV16" i="7"/>
  <c r="J20" i="7"/>
  <c r="AP23" i="7"/>
  <c r="B17" i="7"/>
  <c r="Z17" i="7"/>
  <c r="AX19" i="7"/>
  <c r="R22" i="7"/>
  <c r="CD20" i="7"/>
  <c r="CR7" i="1"/>
  <c r="CP7" i="1"/>
  <c r="BR7" i="1"/>
  <c r="CN7" i="1"/>
  <c r="BT7" i="1"/>
  <c r="BP7" i="1"/>
  <c r="CE13" i="1"/>
  <c r="BG14" i="1"/>
  <c r="AY11" i="1"/>
  <c r="AQ16" i="1"/>
  <c r="AA11" i="1"/>
  <c r="S14" i="1"/>
  <c r="K13" i="1"/>
  <c r="D31" i="1"/>
  <c r="F31" i="1"/>
  <c r="H31" i="1"/>
  <c r="BG19" i="7"/>
  <c r="BO14" i="7"/>
  <c r="V14" i="1"/>
  <c r="X14" i="1"/>
  <c r="S20" i="9"/>
  <c r="BJ14" i="1"/>
  <c r="K19" i="7"/>
  <c r="AL11" i="1"/>
  <c r="CJ12" i="1"/>
  <c r="BG19" i="9"/>
  <c r="P12" i="1"/>
  <c r="AB11" i="1"/>
  <c r="AN11" i="1"/>
  <c r="AY17" i="9"/>
  <c r="C18" i="9"/>
  <c r="T14" i="1"/>
  <c r="CF12" i="1"/>
  <c r="AI17" i="9"/>
  <c r="C16" i="7"/>
  <c r="AY18" i="7"/>
  <c r="AA16" i="7"/>
  <c r="AQ22" i="9"/>
  <c r="CE19" i="7"/>
  <c r="BW15" i="7"/>
  <c r="BB11" i="1"/>
  <c r="AV15" i="1"/>
  <c r="BH14" i="1"/>
  <c r="AA15" i="9"/>
  <c r="S21" i="7"/>
  <c r="CM17" i="9"/>
  <c r="AJ11" i="1"/>
  <c r="BO15" i="9"/>
  <c r="BL14" i="1"/>
  <c r="CH12" i="1"/>
  <c r="CM16" i="7"/>
  <c r="K22" i="9"/>
  <c r="AI18" i="7"/>
  <c r="AR16" i="1"/>
  <c r="AQ22" i="7"/>
  <c r="P13" i="1"/>
  <c r="BW16" i="9"/>
  <c r="CE21" i="9"/>
  <c r="AT15" i="1"/>
  <c r="L13" i="1"/>
  <c r="BN16" i="7"/>
  <c r="Z17" i="9"/>
  <c r="R22" i="9"/>
  <c r="AX19" i="9"/>
  <c r="CL19" i="9"/>
  <c r="BF21" i="9"/>
  <c r="BN17" i="9"/>
  <c r="CD23" i="9"/>
  <c r="AH19" i="9"/>
  <c r="AP24" i="9"/>
  <c r="B20" i="9"/>
  <c r="J24" i="9"/>
  <c r="BV18" i="9"/>
  <c r="CL18" i="7"/>
  <c r="B18" i="7"/>
  <c r="R23" i="7"/>
  <c r="J21" i="7"/>
  <c r="AH20" i="7"/>
  <c r="AP24" i="7"/>
  <c r="Z18" i="7"/>
  <c r="BF21" i="7"/>
  <c r="CD21" i="7"/>
  <c r="AX20" i="7"/>
  <c r="BV17" i="7"/>
  <c r="CE14" i="1"/>
  <c r="BG15" i="1"/>
  <c r="AY12" i="1"/>
  <c r="AV17" i="1"/>
  <c r="AT17" i="1"/>
  <c r="AR17" i="1"/>
  <c r="AA12" i="1"/>
  <c r="S15" i="1"/>
  <c r="K14" i="1"/>
  <c r="C32" i="1"/>
  <c r="AQ23" i="9"/>
  <c r="BR8" i="1"/>
  <c r="AT16" i="1"/>
  <c r="AY19" i="7"/>
  <c r="BZ10" i="1"/>
  <c r="K20" i="7"/>
  <c r="CM17" i="7"/>
  <c r="CB10" i="1"/>
  <c r="BD12" i="1"/>
  <c r="BG20" i="7"/>
  <c r="CF13" i="1"/>
  <c r="BP8" i="1"/>
  <c r="CR8" i="1"/>
  <c r="AL12" i="1"/>
  <c r="AA17" i="7"/>
  <c r="AZ11" i="1"/>
  <c r="K23" i="9"/>
  <c r="AJ12" i="1"/>
  <c r="N14" i="1"/>
  <c r="AY18" i="9"/>
  <c r="AF12" i="1"/>
  <c r="X15" i="1"/>
  <c r="S22" i="7"/>
  <c r="CJ13" i="1"/>
  <c r="C17" i="7"/>
  <c r="CE20" i="7"/>
  <c r="CN8" i="1"/>
  <c r="BG20" i="9"/>
  <c r="BT8" i="1"/>
  <c r="AI19" i="7"/>
  <c r="P14" i="1"/>
  <c r="BL15" i="1"/>
  <c r="CH13" i="1"/>
  <c r="AF11" i="1"/>
  <c r="H10" i="1"/>
  <c r="F10" i="1"/>
  <c r="BW17" i="9"/>
  <c r="BD11" i="1"/>
  <c r="BJ15" i="1"/>
  <c r="CM18" i="9"/>
  <c r="BW16" i="7"/>
  <c r="S21" i="9"/>
  <c r="AQ23" i="7"/>
  <c r="C19" i="9"/>
  <c r="N13" i="1"/>
  <c r="D10" i="1"/>
  <c r="BO15" i="7"/>
  <c r="CE22" i="9"/>
  <c r="BX10" i="1"/>
  <c r="CP8" i="1"/>
  <c r="AI18" i="9"/>
  <c r="AA16" i="9"/>
  <c r="AD11" i="1"/>
  <c r="BO16" i="9"/>
  <c r="AV16" i="1"/>
  <c r="BN17" i="7"/>
  <c r="AH20" i="9"/>
  <c r="BV19" i="9"/>
  <c r="CL20" i="9"/>
  <c r="CD24" i="9"/>
  <c r="J25" i="9"/>
  <c r="AX20" i="9"/>
  <c r="B21" i="9"/>
  <c r="BN18" i="9"/>
  <c r="R23" i="9"/>
  <c r="AP25" i="9"/>
  <c r="BF22" i="9"/>
  <c r="Z18" i="9"/>
  <c r="J22" i="7"/>
  <c r="AX21" i="7"/>
  <c r="R24" i="7"/>
  <c r="BF22" i="7"/>
  <c r="AP25" i="7"/>
  <c r="B19" i="7"/>
  <c r="Z19" i="7"/>
  <c r="AH21" i="7"/>
  <c r="BV18" i="7"/>
  <c r="CD22" i="7"/>
  <c r="CL19" i="7"/>
  <c r="CH15" i="1"/>
  <c r="CJ15" i="1"/>
  <c r="CF15" i="1"/>
  <c r="CE15" i="1"/>
  <c r="BW12" i="1"/>
  <c r="BP10" i="1"/>
  <c r="BR10" i="1"/>
  <c r="BT10" i="1"/>
  <c r="BG16" i="1"/>
  <c r="AY13" i="1"/>
  <c r="AQ18" i="1"/>
  <c r="AI13" i="1"/>
  <c r="AA13" i="1"/>
  <c r="S16" i="1"/>
  <c r="K15" i="1"/>
  <c r="C33" i="1"/>
  <c r="CB11" i="1"/>
  <c r="T15" i="1"/>
  <c r="S22" i="9"/>
  <c r="D12" i="1"/>
  <c r="N15" i="1"/>
  <c r="AN13" i="1"/>
  <c r="AZ12" i="1"/>
  <c r="H11" i="1"/>
  <c r="CH14" i="1"/>
  <c r="L15" i="1"/>
  <c r="BO16" i="7"/>
  <c r="AN12" i="1"/>
  <c r="AR18" i="1"/>
  <c r="D11" i="1"/>
  <c r="AI19" i="9"/>
  <c r="BZ11" i="1"/>
  <c r="P15" i="1"/>
  <c r="BG21" i="7"/>
  <c r="CE21" i="7"/>
  <c r="AQ24" i="9"/>
  <c r="AF13" i="1"/>
  <c r="CR9" i="1"/>
  <c r="AQ24" i="7"/>
  <c r="L14" i="1"/>
  <c r="C18" i="7"/>
  <c r="S23" i="7"/>
  <c r="H12" i="1"/>
  <c r="X16" i="1"/>
  <c r="AI20" i="7"/>
  <c r="K24" i="9"/>
  <c r="BT9" i="1"/>
  <c r="AD12" i="1"/>
  <c r="BR9" i="1"/>
  <c r="BP9" i="1"/>
  <c r="AB12" i="1"/>
  <c r="AA17" i="9"/>
  <c r="BB12" i="1"/>
  <c r="BO17" i="9"/>
  <c r="CM18" i="7"/>
  <c r="K21" i="7"/>
  <c r="AT18" i="1"/>
  <c r="CF14" i="1"/>
  <c r="AA18" i="7"/>
  <c r="CM19" i="9"/>
  <c r="AY20" i="7"/>
  <c r="CP9" i="1"/>
  <c r="AY19" i="9"/>
  <c r="V15" i="1"/>
  <c r="BW18" i="9"/>
  <c r="BW17" i="7"/>
  <c r="F11" i="1"/>
  <c r="C20" i="9"/>
  <c r="CJ14" i="1"/>
  <c r="CE23" i="9"/>
  <c r="BD13" i="1"/>
  <c r="BX11" i="1"/>
  <c r="BH15" i="1"/>
  <c r="AJ13" i="1"/>
  <c r="BG21" i="9"/>
  <c r="AV18" i="1"/>
  <c r="CN9" i="1"/>
  <c r="BN18" i="7"/>
  <c r="CD25" i="9"/>
  <c r="Z19" i="9"/>
  <c r="BN19" i="9"/>
  <c r="BF23" i="9"/>
  <c r="B22" i="9"/>
  <c r="CL21" i="9"/>
  <c r="AX21" i="9"/>
  <c r="BV20" i="9"/>
  <c r="AP26" i="9"/>
  <c r="R24" i="9"/>
  <c r="J26" i="9"/>
  <c r="AH21" i="9"/>
  <c r="B20" i="7"/>
  <c r="CD23" i="7"/>
  <c r="Z20" i="7"/>
  <c r="BF23" i="7"/>
  <c r="R25" i="7"/>
  <c r="AP26" i="7"/>
  <c r="AX22" i="7"/>
  <c r="J23" i="7"/>
  <c r="CL20" i="7"/>
  <c r="BV19" i="7"/>
  <c r="AH22" i="7"/>
  <c r="CM11" i="1"/>
  <c r="CE16" i="1"/>
  <c r="BW13" i="1"/>
  <c r="BO11" i="1"/>
  <c r="BL17" i="1"/>
  <c r="BJ17" i="1"/>
  <c r="BH17" i="1"/>
  <c r="AY14" i="1"/>
  <c r="AQ19" i="1"/>
  <c r="AI14" i="1"/>
  <c r="AA14" i="1"/>
  <c r="X17" i="1"/>
  <c r="T17" i="1"/>
  <c r="V17" i="1"/>
  <c r="K16" i="1"/>
  <c r="C34" i="1"/>
  <c r="AQ25" i="7"/>
  <c r="S24" i="7"/>
  <c r="BB14" i="1"/>
  <c r="CE24" i="9"/>
  <c r="BG22" i="7"/>
  <c r="CM19" i="7"/>
  <c r="BO17" i="7"/>
  <c r="F12" i="1"/>
  <c r="T16" i="1"/>
  <c r="F13" i="1"/>
  <c r="BZ12" i="1"/>
  <c r="AI20" i="9"/>
  <c r="BJ16" i="1"/>
  <c r="AL14" i="1"/>
  <c r="H13" i="1"/>
  <c r="BH16" i="1"/>
  <c r="AY20" i="9"/>
  <c r="AB14" i="1"/>
  <c r="AB13" i="1"/>
  <c r="AN14" i="1"/>
  <c r="AY21" i="7"/>
  <c r="AR19" i="1"/>
  <c r="BX12" i="1"/>
  <c r="BW19" i="9"/>
  <c r="AV19" i="1"/>
  <c r="AD14" i="1"/>
  <c r="BW18" i="7"/>
  <c r="S23" i="9"/>
  <c r="AT19" i="1"/>
  <c r="AF14" i="1"/>
  <c r="AD13" i="1"/>
  <c r="AA18" i="9"/>
  <c r="AJ14" i="1"/>
  <c r="CB12" i="1"/>
  <c r="BG22" i="9"/>
  <c r="K25" i="9"/>
  <c r="P16" i="1"/>
  <c r="BO18" i="9"/>
  <c r="BD14" i="1"/>
  <c r="C19" i="7"/>
  <c r="AL13" i="1"/>
  <c r="C21" i="9"/>
  <c r="V16" i="1"/>
  <c r="CE22" i="7"/>
  <c r="AA19" i="7"/>
  <c r="BB13" i="1"/>
  <c r="K22" i="7"/>
  <c r="BL16" i="1"/>
  <c r="AQ25" i="9"/>
  <c r="AZ13" i="1"/>
  <c r="D13" i="1"/>
  <c r="CM20" i="9"/>
  <c r="AI21" i="7"/>
  <c r="BN19" i="7"/>
  <c r="BF24" i="9"/>
  <c r="AH22" i="9"/>
  <c r="BV21" i="9"/>
  <c r="J27" i="9"/>
  <c r="AX22" i="9"/>
  <c r="BN20" i="9"/>
  <c r="R25" i="9"/>
  <c r="CL22" i="9"/>
  <c r="Z20" i="9"/>
  <c r="B23" i="9"/>
  <c r="AP27" i="9"/>
  <c r="CD26" i="9"/>
  <c r="AH23" i="7"/>
  <c r="BF24" i="7"/>
  <c r="AX23" i="7"/>
  <c r="BV20" i="7"/>
  <c r="Z21" i="7"/>
  <c r="CL21" i="7"/>
  <c r="R26" i="7"/>
  <c r="CD24" i="7"/>
  <c r="AP27" i="7"/>
  <c r="J24" i="7"/>
  <c r="B21" i="7"/>
  <c r="CM12" i="1"/>
  <c r="CF17" i="1"/>
  <c r="CJ17" i="1"/>
  <c r="CH17" i="1"/>
  <c r="BW14" i="1"/>
  <c r="BO12" i="1"/>
  <c r="BG18" i="1"/>
  <c r="AY15" i="1"/>
  <c r="AQ20" i="1"/>
  <c r="AI15" i="1"/>
  <c r="AA15" i="1"/>
  <c r="S18" i="1"/>
  <c r="L17" i="1"/>
  <c r="P17" i="1"/>
  <c r="N17" i="1"/>
  <c r="C35" i="1"/>
  <c r="AJ15" i="1"/>
  <c r="L16" i="1"/>
  <c r="BD15" i="1"/>
  <c r="AZ14" i="1"/>
  <c r="BP11" i="1"/>
  <c r="CR11" i="1"/>
  <c r="D14" i="1"/>
  <c r="AV20" i="1"/>
  <c r="CN11" i="1"/>
  <c r="AR20" i="1"/>
  <c r="CP11" i="1"/>
  <c r="CE23" i="7"/>
  <c r="F14" i="1"/>
  <c r="BG23" i="7"/>
  <c r="AI22" i="7"/>
  <c r="CM21" i="9"/>
  <c r="K26" i="9"/>
  <c r="AY22" i="7"/>
  <c r="CE25" i="9"/>
  <c r="BO19" i="9"/>
  <c r="H14" i="1"/>
  <c r="BT11" i="1"/>
  <c r="AI21" i="9"/>
  <c r="BX13" i="1"/>
  <c r="AA20" i="7"/>
  <c r="AQ26" i="7"/>
  <c r="AY21" i="9"/>
  <c r="X18" i="1"/>
  <c r="S25" i="7"/>
  <c r="C20" i="7"/>
  <c r="CB13" i="1"/>
  <c r="BO18" i="7"/>
  <c r="AF15" i="1"/>
  <c r="N16" i="1"/>
  <c r="BR11" i="1"/>
  <c r="C22" i="9"/>
  <c r="CF16" i="1"/>
  <c r="AQ26" i="9"/>
  <c r="AA19" i="9"/>
  <c r="AT20" i="1"/>
  <c r="K23" i="7"/>
  <c r="CH16" i="1"/>
  <c r="V18" i="1"/>
  <c r="AN15" i="1"/>
  <c r="BG23" i="9"/>
  <c r="BW19" i="7"/>
  <c r="S24" i="9"/>
  <c r="CJ16" i="1"/>
  <c r="BW20" i="9"/>
  <c r="BZ13" i="1"/>
  <c r="CM20" i="7"/>
  <c r="BN20" i="7"/>
  <c r="J28" i="9"/>
  <c r="CD27" i="9"/>
  <c r="CL23" i="9"/>
  <c r="R26" i="9"/>
  <c r="AP28" i="9"/>
  <c r="BV22" i="9"/>
  <c r="B24" i="9"/>
  <c r="BN21" i="9"/>
  <c r="AH23" i="9"/>
  <c r="AX23" i="9"/>
  <c r="BF25" i="9"/>
  <c r="Z21" i="9"/>
  <c r="AX24" i="7"/>
  <c r="R27" i="7"/>
  <c r="Z22" i="7"/>
  <c r="BV21" i="7"/>
  <c r="B22" i="7"/>
  <c r="CL22" i="7"/>
  <c r="BF25" i="7"/>
  <c r="J25" i="7"/>
  <c r="AP28" i="7"/>
  <c r="CD25" i="7"/>
  <c r="AH24" i="7"/>
  <c r="CM13" i="1"/>
  <c r="CE18" i="1"/>
  <c r="BW15" i="1"/>
  <c r="BO13" i="1"/>
  <c r="BG19" i="1"/>
  <c r="AY16" i="1"/>
  <c r="AQ21" i="1"/>
  <c r="AI16" i="1"/>
  <c r="AA16" i="1"/>
  <c r="S19" i="1"/>
  <c r="K18" i="1"/>
  <c r="C36" i="1"/>
  <c r="C21" i="7"/>
  <c r="AZ16" i="1"/>
  <c r="CR12" i="1"/>
  <c r="T19" i="1"/>
  <c r="AL16" i="1"/>
  <c r="BH18" i="1"/>
  <c r="BB15" i="1"/>
  <c r="BX14" i="1"/>
  <c r="K27" i="9"/>
  <c r="AA21" i="7"/>
  <c r="BO20" i="9"/>
  <c r="CF18" i="1"/>
  <c r="AB16" i="1"/>
  <c r="CB14" i="1"/>
  <c r="S25" i="9"/>
  <c r="AL15" i="1"/>
  <c r="BW20" i="7"/>
  <c r="BG24" i="9"/>
  <c r="CH18" i="1"/>
  <c r="BZ14" i="1"/>
  <c r="C23" i="9"/>
  <c r="BP12" i="1"/>
  <c r="BO19" i="7"/>
  <c r="CM22" i="9"/>
  <c r="S26" i="7"/>
  <c r="N18" i="1"/>
  <c r="AR21" i="1"/>
  <c r="D15" i="1"/>
  <c r="AY23" i="7"/>
  <c r="AQ27" i="7"/>
  <c r="AZ15" i="1"/>
  <c r="BL18" i="1"/>
  <c r="K24" i="7"/>
  <c r="T18" i="1"/>
  <c r="AJ16" i="1"/>
  <c r="AD15" i="1"/>
  <c r="V19" i="1"/>
  <c r="AN16" i="1"/>
  <c r="CE24" i="7"/>
  <c r="BJ18" i="1"/>
  <c r="BT12" i="1"/>
  <c r="AD16" i="1"/>
  <c r="AQ27" i="9"/>
  <c r="BW21" i="9"/>
  <c r="AY22" i="9"/>
  <c r="CM21" i="7"/>
  <c r="X19" i="1"/>
  <c r="AI22" i="9"/>
  <c r="CN12" i="1"/>
  <c r="CE26" i="9"/>
  <c r="CP12" i="1"/>
  <c r="H15" i="1"/>
  <c r="AA20" i="9"/>
  <c r="BR12" i="1"/>
  <c r="AI23" i="7"/>
  <c r="AT21" i="1"/>
  <c r="AV21" i="1"/>
  <c r="BG24" i="7"/>
  <c r="CJ18" i="1"/>
  <c r="AB15" i="1"/>
  <c r="BN21" i="7"/>
  <c r="BN22" i="9"/>
  <c r="Z22" i="9"/>
  <c r="R27" i="9"/>
  <c r="BF26" i="9"/>
  <c r="B25" i="9"/>
  <c r="CL24" i="9"/>
  <c r="AX24" i="9"/>
  <c r="CD28" i="9"/>
  <c r="BV23" i="9"/>
  <c r="AH24" i="9"/>
  <c r="AP29" i="9"/>
  <c r="J29" i="9"/>
  <c r="CL23" i="7"/>
  <c r="Z23" i="7"/>
  <c r="R28" i="7"/>
  <c r="B23" i="7"/>
  <c r="AH25" i="7"/>
  <c r="BF26" i="7"/>
  <c r="CD26" i="7"/>
  <c r="AP29" i="7"/>
  <c r="J26" i="7"/>
  <c r="BV22" i="7"/>
  <c r="AX25" i="7"/>
  <c r="CM14" i="1"/>
  <c r="CE19" i="1"/>
  <c r="BW16" i="1"/>
  <c r="BO14" i="1"/>
  <c r="BG20" i="1"/>
  <c r="AQ22" i="1"/>
  <c r="AJ17" i="1"/>
  <c r="AL17" i="1"/>
  <c r="AN17" i="1"/>
  <c r="S20" i="1"/>
  <c r="K19" i="1"/>
  <c r="C37" i="1"/>
  <c r="AB17" i="1"/>
  <c r="AT22" i="1"/>
  <c r="AV22" i="1"/>
  <c r="CJ19" i="1"/>
  <c r="AQ28" i="7"/>
  <c r="F16" i="1"/>
  <c r="BD16" i="1"/>
  <c r="AY23" i="9"/>
  <c r="AR22" i="1"/>
  <c r="AF16" i="1"/>
  <c r="AQ28" i="9"/>
  <c r="CR13" i="1"/>
  <c r="T20" i="1"/>
  <c r="CM23" i="9"/>
  <c r="CE25" i="7"/>
  <c r="AI24" i="7"/>
  <c r="BO21" i="9"/>
  <c r="CP13" i="1"/>
  <c r="C22" i="7"/>
  <c r="S27" i="7"/>
  <c r="BG25" i="7"/>
  <c r="AZ17" i="1"/>
  <c r="BG25" i="9"/>
  <c r="BJ19" i="1"/>
  <c r="AF17" i="1"/>
  <c r="F15" i="1"/>
  <c r="BP13" i="1"/>
  <c r="AA22" i="7"/>
  <c r="CN13" i="1"/>
  <c r="BT13" i="1"/>
  <c r="N19" i="1"/>
  <c r="C24" i="9"/>
  <c r="AI23" i="9"/>
  <c r="V20" i="1"/>
  <c r="BR13" i="1"/>
  <c r="K25" i="7"/>
  <c r="BL19" i="1"/>
  <c r="AY24" i="7"/>
  <c r="S26" i="9"/>
  <c r="BW22" i="9"/>
  <c r="P19" i="1"/>
  <c r="CM22" i="7"/>
  <c r="L18" i="1"/>
  <c r="CB15" i="1"/>
  <c r="K28" i="9"/>
  <c r="AD17" i="1"/>
  <c r="BZ15" i="1"/>
  <c r="BB17" i="1"/>
  <c r="BX15" i="1"/>
  <c r="BB16" i="1"/>
  <c r="P18" i="1"/>
  <c r="BW21" i="7"/>
  <c r="AA21" i="9"/>
  <c r="X20" i="1"/>
  <c r="L19" i="1"/>
  <c r="CE27" i="9"/>
  <c r="BH19" i="1"/>
  <c r="BO20" i="7"/>
  <c r="BN22" i="7"/>
  <c r="CD29" i="9"/>
  <c r="J30" i="9"/>
  <c r="BF27" i="9"/>
  <c r="AX25" i="9"/>
  <c r="R28" i="9"/>
  <c r="AP30" i="9"/>
  <c r="Z23" i="9"/>
  <c r="AH25" i="9"/>
  <c r="CL25" i="9"/>
  <c r="BN23" i="9"/>
  <c r="BV24" i="9"/>
  <c r="B26" i="9"/>
  <c r="B24" i="7"/>
  <c r="AX26" i="7"/>
  <c r="CD27" i="7"/>
  <c r="BV23" i="7"/>
  <c r="BF27" i="7"/>
  <c r="J27" i="7"/>
  <c r="Z24" i="7"/>
  <c r="AP30" i="7"/>
  <c r="CL24" i="7"/>
  <c r="R29" i="7"/>
  <c r="AH26" i="7"/>
  <c r="CM15" i="1"/>
  <c r="CE20" i="1"/>
  <c r="BZ17" i="1"/>
  <c r="CB17" i="1"/>
  <c r="BX17" i="1"/>
  <c r="BO15" i="1"/>
  <c r="BG21" i="1"/>
  <c r="AY18" i="1"/>
  <c r="AQ23" i="1"/>
  <c r="AI18" i="1"/>
  <c r="AA18" i="1"/>
  <c r="S21" i="1"/>
  <c r="K20" i="1"/>
  <c r="D38" i="1"/>
  <c r="F38" i="1"/>
  <c r="H38" i="1"/>
  <c r="CM24" i="9"/>
  <c r="CH20" i="1"/>
  <c r="CB16" i="1"/>
  <c r="CM23" i="7"/>
  <c r="AY25" i="7"/>
  <c r="AR23" i="1"/>
  <c r="AA23" i="7"/>
  <c r="AQ29" i="7"/>
  <c r="BO21" i="7"/>
  <c r="C23" i="7"/>
  <c r="AV23" i="1"/>
  <c r="CJ20" i="1"/>
  <c r="AA22" i="9"/>
  <c r="BD17" i="1"/>
  <c r="BJ20" i="1"/>
  <c r="T21" i="1"/>
  <c r="AN18" i="1"/>
  <c r="BD18" i="1"/>
  <c r="BO22" i="9"/>
  <c r="CN14" i="1"/>
  <c r="L20" i="1"/>
  <c r="AF18" i="1"/>
  <c r="AI25" i="7"/>
  <c r="BW23" i="9"/>
  <c r="K26" i="7"/>
  <c r="BG26" i="9"/>
  <c r="C25" i="9"/>
  <c r="S27" i="9"/>
  <c r="BR14" i="1"/>
  <c r="BH20" i="1"/>
  <c r="BG26" i="7"/>
  <c r="CR14" i="1"/>
  <c r="AQ29" i="9"/>
  <c r="BL20" i="1"/>
  <c r="D16" i="1"/>
  <c r="N20" i="1"/>
  <c r="CF20" i="1"/>
  <c r="BX16" i="1"/>
  <c r="CE26" i="7"/>
  <c r="AD18" i="1"/>
  <c r="BW22" i="7"/>
  <c r="S28" i="7"/>
  <c r="AY24" i="9"/>
  <c r="V21" i="1"/>
  <c r="CP14" i="1"/>
  <c r="CF19" i="1"/>
  <c r="X21" i="1"/>
  <c r="AL18" i="1"/>
  <c r="H16" i="1"/>
  <c r="BT14" i="1"/>
  <c r="AI24" i="9"/>
  <c r="BP14" i="1"/>
  <c r="BZ16" i="1"/>
  <c r="K29" i="9"/>
  <c r="AB18" i="1"/>
  <c r="CE28" i="9"/>
  <c r="CH19" i="1"/>
  <c r="AT23" i="1"/>
  <c r="BN23" i="7"/>
  <c r="AX26" i="9"/>
  <c r="B27" i="9"/>
  <c r="AH26" i="9"/>
  <c r="BF28" i="9"/>
  <c r="BV25" i="9"/>
  <c r="Z24" i="9"/>
  <c r="BN24" i="9"/>
  <c r="J31" i="9"/>
  <c r="AP31" i="9"/>
  <c r="CL26" i="9"/>
  <c r="R29" i="9"/>
  <c r="CD30" i="9"/>
  <c r="AH27" i="7"/>
  <c r="AP31" i="7"/>
  <c r="BV24" i="7"/>
  <c r="CD28" i="7"/>
  <c r="Z25" i="7"/>
  <c r="R30" i="7"/>
  <c r="AX27" i="7"/>
  <c r="J28" i="7"/>
  <c r="BF28" i="7"/>
  <c r="CL25" i="7"/>
  <c r="B25" i="7"/>
  <c r="CM16" i="1"/>
  <c r="CE21" i="1"/>
  <c r="BW18" i="1"/>
  <c r="BO16" i="1"/>
  <c r="BG22" i="1"/>
  <c r="AY19" i="1"/>
  <c r="AR24" i="1"/>
  <c r="AV24" i="1"/>
  <c r="AT24" i="1"/>
  <c r="AI19" i="1"/>
  <c r="AA19" i="1"/>
  <c r="S22" i="1"/>
  <c r="K21" i="1"/>
  <c r="C39" i="1"/>
  <c r="BP15" i="1"/>
  <c r="C24" i="7"/>
  <c r="K27" i="7"/>
  <c r="BH21" i="1"/>
  <c r="AZ18" i="1"/>
  <c r="BG27" i="9"/>
  <c r="AI25" i="9"/>
  <c r="BW24" i="9"/>
  <c r="CE29" i="9"/>
  <c r="BT15" i="1"/>
  <c r="AQ30" i="7"/>
  <c r="AF19" i="1"/>
  <c r="C26" i="9"/>
  <c r="H18" i="1"/>
  <c r="K30" i="9"/>
  <c r="S28" i="9"/>
  <c r="AY25" i="9"/>
  <c r="BO22" i="7"/>
  <c r="D18" i="1"/>
  <c r="P20" i="1"/>
  <c r="CF21" i="1"/>
  <c r="CN15" i="1"/>
  <c r="V22" i="1"/>
  <c r="BJ21" i="1"/>
  <c r="BW23" i="7"/>
  <c r="BG27" i="7"/>
  <c r="S29" i="7"/>
  <c r="F18" i="1"/>
  <c r="CR15" i="1"/>
  <c r="BB19" i="1"/>
  <c r="AY26" i="7"/>
  <c r="AI26" i="7"/>
  <c r="AA24" i="7"/>
  <c r="CM25" i="9"/>
  <c r="AB19" i="1"/>
  <c r="CM24" i="7"/>
  <c r="CP15" i="1"/>
  <c r="BR15" i="1"/>
  <c r="AQ30" i="9"/>
  <c r="AA23" i="9"/>
  <c r="CE27" i="7"/>
  <c r="BB18" i="1"/>
  <c r="BO23" i="9"/>
  <c r="BL21" i="1"/>
  <c r="BN24" i="7"/>
  <c r="CD31" i="9"/>
  <c r="R30" i="9"/>
  <c r="AH27" i="9"/>
  <c r="Z25" i="9"/>
  <c r="B28" i="9"/>
  <c r="AP32" i="9"/>
  <c r="BV26" i="9"/>
  <c r="AX27" i="9"/>
  <c r="BF29" i="9"/>
  <c r="J32" i="9"/>
  <c r="BN25" i="9"/>
  <c r="CL27" i="9"/>
  <c r="B26" i="7"/>
  <c r="AX28" i="7"/>
  <c r="BV25" i="7"/>
  <c r="Z26" i="7"/>
  <c r="R31" i="7"/>
  <c r="BF29" i="7"/>
  <c r="AP32" i="7"/>
  <c r="J29" i="7"/>
  <c r="CL26" i="7"/>
  <c r="CD29" i="7"/>
  <c r="AH28" i="7"/>
  <c r="CN17" i="1"/>
  <c r="CP17" i="1"/>
  <c r="CR17" i="1"/>
  <c r="CE22" i="1"/>
  <c r="BW19" i="1"/>
  <c r="BT17" i="1"/>
  <c r="BP17" i="1"/>
  <c r="BR17" i="1"/>
  <c r="BG23" i="1"/>
  <c r="AY20" i="1"/>
  <c r="AQ25" i="1"/>
  <c r="AI20" i="1"/>
  <c r="AA20" i="1"/>
  <c r="S23" i="1"/>
  <c r="K22" i="1"/>
  <c r="C40" i="1"/>
  <c r="F40" i="1"/>
  <c r="D40" i="1"/>
  <c r="H40" i="1"/>
  <c r="D19" i="1"/>
  <c r="AI26" i="9"/>
  <c r="CJ21" i="1"/>
  <c r="AZ19" i="1"/>
  <c r="CM25" i="7"/>
  <c r="CR16" i="1"/>
  <c r="AD20" i="1"/>
  <c r="P21" i="1"/>
  <c r="AY26" i="9"/>
  <c r="CE30" i="9"/>
  <c r="CF22" i="1"/>
  <c r="T22" i="1"/>
  <c r="BL22" i="1"/>
  <c r="AQ31" i="9"/>
  <c r="AN19" i="1"/>
  <c r="AI27" i="7"/>
  <c r="AT25" i="1"/>
  <c r="CE28" i="7"/>
  <c r="S29" i="9"/>
  <c r="AL19" i="1"/>
  <c r="P22" i="1"/>
  <c r="CP16" i="1"/>
  <c r="T23" i="1"/>
  <c r="CM26" i="9"/>
  <c r="AL20" i="1"/>
  <c r="BX18" i="1"/>
  <c r="CH21" i="1"/>
  <c r="BH22" i="1"/>
  <c r="BT16" i="1"/>
  <c r="L21" i="1"/>
  <c r="BG28" i="7"/>
  <c r="BW25" i="9"/>
  <c r="BW24" i="7"/>
  <c r="AR25" i="1"/>
  <c r="BO24" i="9"/>
  <c r="K31" i="9"/>
  <c r="K28" i="7"/>
  <c r="AZ20" i="1"/>
  <c r="C27" i="9"/>
  <c r="AB20" i="1"/>
  <c r="BJ22" i="1"/>
  <c r="AY27" i="7"/>
  <c r="BR16" i="1"/>
  <c r="X22" i="1"/>
  <c r="BO23" i="7"/>
  <c r="BZ18" i="1"/>
  <c r="H19" i="1"/>
  <c r="CJ22" i="1"/>
  <c r="C25" i="7"/>
  <c r="BG28" i="9"/>
  <c r="AQ31" i="7"/>
  <c r="L22" i="1"/>
  <c r="AD19" i="1"/>
  <c r="BP16" i="1"/>
  <c r="AA24" i="9"/>
  <c r="AF20" i="1"/>
  <c r="BD19" i="1"/>
  <c r="N21" i="1"/>
  <c r="CB18" i="1"/>
  <c r="S30" i="7"/>
  <c r="CN16" i="1"/>
  <c r="N22" i="1"/>
  <c r="AA25" i="7"/>
  <c r="BN25" i="7"/>
  <c r="Z26" i="9"/>
  <c r="CL28" i="9"/>
  <c r="AX28" i="9"/>
  <c r="BV27" i="9"/>
  <c r="BN26" i="9"/>
  <c r="AH28" i="9"/>
  <c r="J33" i="9"/>
  <c r="AP33" i="9"/>
  <c r="R31" i="9"/>
  <c r="BF30" i="9"/>
  <c r="CD32" i="9"/>
  <c r="B29" i="9"/>
  <c r="BV26" i="7"/>
  <c r="AH29" i="7"/>
  <c r="CD30" i="7"/>
  <c r="R32" i="7"/>
  <c r="AX29" i="7"/>
  <c r="CL27" i="7"/>
  <c r="AP33" i="7"/>
  <c r="BF30" i="7"/>
  <c r="Z27" i="7"/>
  <c r="J30" i="7"/>
  <c r="B27" i="7"/>
  <c r="CM18" i="1"/>
  <c r="CE23" i="1"/>
  <c r="BW20" i="1"/>
  <c r="BO18" i="1"/>
  <c r="BJ24" i="1"/>
  <c r="BL24" i="1"/>
  <c r="BH24" i="1"/>
  <c r="AY21" i="1"/>
  <c r="AQ26" i="1"/>
  <c r="AI21" i="1"/>
  <c r="AA21" i="1"/>
  <c r="T24" i="1"/>
  <c r="X24" i="1"/>
  <c r="V24" i="1"/>
  <c r="K23" i="1"/>
  <c r="CJ23" i="1"/>
  <c r="BL23" i="1"/>
  <c r="H20" i="1"/>
  <c r="BD20" i="1"/>
  <c r="CE31" i="9"/>
  <c r="BX19" i="1"/>
  <c r="BZ19" i="1"/>
  <c r="F20" i="1"/>
  <c r="BT18" i="1"/>
  <c r="BB21" i="1"/>
  <c r="BP18" i="1"/>
  <c r="AI27" i="9"/>
  <c r="BW26" i="9"/>
  <c r="BO25" i="9"/>
  <c r="K32" i="9"/>
  <c r="D20" i="1"/>
  <c r="BG29" i="7"/>
  <c r="AA25" i="9"/>
  <c r="AV26" i="1"/>
  <c r="CB19" i="1"/>
  <c r="AA26" i="7"/>
  <c r="X23" i="1"/>
  <c r="CM27" i="9"/>
  <c r="BO24" i="7"/>
  <c r="BG29" i="9"/>
  <c r="C28" i="9"/>
  <c r="CE29" i="7"/>
  <c r="AF21" i="1"/>
  <c r="BB20" i="1"/>
  <c r="AR26" i="1"/>
  <c r="BJ23" i="1"/>
  <c r="S31" i="7"/>
  <c r="AV25" i="1"/>
  <c r="AL21" i="1"/>
  <c r="BW25" i="7"/>
  <c r="AT26" i="1"/>
  <c r="S30" i="9"/>
  <c r="CH22" i="1"/>
  <c r="C26" i="7"/>
  <c r="AN20" i="1"/>
  <c r="AQ32" i="9"/>
  <c r="CM26" i="7"/>
  <c r="AI28" i="7"/>
  <c r="AY28" i="7"/>
  <c r="AZ21" i="1"/>
  <c r="AY27" i="9"/>
  <c r="AN21" i="1"/>
  <c r="BR18" i="1"/>
  <c r="AQ32" i="7"/>
  <c r="F19" i="1"/>
  <c r="V23" i="1"/>
  <c r="K29" i="7"/>
  <c r="BH23" i="1"/>
  <c r="BN26" i="7"/>
  <c r="B30" i="9"/>
  <c r="AP34" i="9"/>
  <c r="BV28" i="9"/>
  <c r="J34" i="9"/>
  <c r="CD33" i="9"/>
  <c r="AX29" i="9"/>
  <c r="CL29" i="9"/>
  <c r="BF31" i="9"/>
  <c r="AH29" i="9"/>
  <c r="R32" i="9"/>
  <c r="BN27" i="9"/>
  <c r="Z27" i="9"/>
  <c r="B28" i="7"/>
  <c r="J31" i="7"/>
  <c r="AX30" i="7"/>
  <c r="AH30" i="7"/>
  <c r="AP34" i="7"/>
  <c r="CL28" i="7"/>
  <c r="BF31" i="7"/>
  <c r="BV27" i="7"/>
  <c r="R33" i="7"/>
  <c r="CD31" i="7"/>
  <c r="Z28" i="7"/>
  <c r="CM19" i="1"/>
  <c r="CF24" i="1"/>
  <c r="CH24" i="1"/>
  <c r="CJ24" i="1"/>
  <c r="BW21" i="1"/>
  <c r="BO19" i="1"/>
  <c r="BG25" i="1"/>
  <c r="AY22" i="1"/>
  <c r="AQ27" i="1"/>
  <c r="AI22" i="1"/>
  <c r="AA22" i="1"/>
  <c r="S25" i="1"/>
  <c r="L24" i="1"/>
  <c r="P24" i="1"/>
  <c r="N24" i="1"/>
  <c r="AD22" i="1"/>
  <c r="V25" i="1"/>
  <c r="AA27" i="7"/>
  <c r="AI29" i="7"/>
  <c r="AN22" i="1"/>
  <c r="BO26" i="9"/>
  <c r="AB21" i="1"/>
  <c r="BW26" i="7"/>
  <c r="AQ33" i="7"/>
  <c r="BZ20" i="1"/>
  <c r="CN18" i="1"/>
  <c r="AA26" i="9"/>
  <c r="K30" i="7"/>
  <c r="X25" i="1"/>
  <c r="BW27" i="9"/>
  <c r="BO25" i="7"/>
  <c r="BG30" i="9"/>
  <c r="AD21" i="1"/>
  <c r="AL22" i="1"/>
  <c r="AQ33" i="9"/>
  <c r="CE30" i="7"/>
  <c r="AY29" i="7"/>
  <c r="L23" i="1"/>
  <c r="BR19" i="1"/>
  <c r="AB22" i="1"/>
  <c r="CM28" i="9"/>
  <c r="CB20" i="1"/>
  <c r="BD21" i="1"/>
  <c r="AZ22" i="1"/>
  <c r="CR18" i="1"/>
  <c r="CM27" i="7"/>
  <c r="S31" i="9"/>
  <c r="CP18" i="1"/>
  <c r="CF23" i="1"/>
  <c r="CH23" i="1"/>
  <c r="S32" i="7"/>
  <c r="T25" i="1"/>
  <c r="BX20" i="1"/>
  <c r="N23" i="1"/>
  <c r="AV27" i="1"/>
  <c r="P23" i="1"/>
  <c r="AI28" i="9"/>
  <c r="CE32" i="9"/>
  <c r="C29" i="9"/>
  <c r="AY28" i="9"/>
  <c r="C27" i="7"/>
  <c r="BG30" i="7"/>
  <c r="F21" i="1"/>
  <c r="K33" i="9"/>
  <c r="BN27" i="7"/>
  <c r="Z28" i="9"/>
  <c r="CL30" i="9"/>
  <c r="R33" i="9"/>
  <c r="BF32" i="9"/>
  <c r="J35" i="9"/>
  <c r="BN28" i="9"/>
  <c r="BV29" i="9"/>
  <c r="AP35" i="9"/>
  <c r="AX30" i="9"/>
  <c r="AH30" i="9"/>
  <c r="CD34" i="9"/>
  <c r="B31" i="9"/>
  <c r="AH31" i="7"/>
  <c r="Z29" i="7"/>
  <c r="CD32" i="7"/>
  <c r="R34" i="7"/>
  <c r="J32" i="7"/>
  <c r="BF32" i="7"/>
  <c r="AP35" i="7"/>
  <c r="AX31" i="7"/>
  <c r="CL29" i="7"/>
  <c r="BV28" i="7"/>
  <c r="B29" i="7"/>
  <c r="CM20" i="1"/>
  <c r="CE25" i="1"/>
  <c r="BW22" i="1"/>
  <c r="BO20" i="1"/>
  <c r="BG26" i="1"/>
  <c r="AY23" i="1"/>
  <c r="AQ28" i="1"/>
  <c r="AI23" i="1"/>
  <c r="AA23" i="1"/>
  <c r="S26" i="1"/>
  <c r="K25" i="1"/>
  <c r="T26" i="1"/>
  <c r="K31" i="7"/>
  <c r="AN23" i="1"/>
  <c r="AV28" i="1"/>
  <c r="N25" i="1"/>
  <c r="CB21" i="1"/>
  <c r="CH25" i="1"/>
  <c r="BJ25" i="1"/>
  <c r="D21" i="1"/>
  <c r="BW28" i="9"/>
  <c r="BD22" i="1"/>
  <c r="AA28" i="7"/>
  <c r="AA27" i="9"/>
  <c r="CM29" i="9"/>
  <c r="AR27" i="1"/>
  <c r="AY29" i="9"/>
  <c r="CM28" i="7"/>
  <c r="CR19" i="1"/>
  <c r="AI29" i="9"/>
  <c r="S32" i="9"/>
  <c r="C30" i="9"/>
  <c r="CE31" i="7"/>
  <c r="BX21" i="1"/>
  <c r="BB22" i="1"/>
  <c r="D22" i="1"/>
  <c r="AT27" i="1"/>
  <c r="BB23" i="1"/>
  <c r="AQ34" i="9"/>
  <c r="F22" i="1"/>
  <c r="BZ21" i="1"/>
  <c r="BD23" i="1"/>
  <c r="AI30" i="7"/>
  <c r="BH25" i="1"/>
  <c r="BO27" i="9"/>
  <c r="AZ23" i="1"/>
  <c r="C28" i="7"/>
  <c r="BP19" i="1"/>
  <c r="CP19" i="1"/>
  <c r="AF22" i="1"/>
  <c r="AF23" i="1"/>
  <c r="CE33" i="9"/>
  <c r="BG31" i="9"/>
  <c r="BO26" i="7"/>
  <c r="K34" i="9"/>
  <c r="BT19" i="1"/>
  <c r="V26" i="1"/>
  <c r="H21" i="1"/>
  <c r="BL25" i="1"/>
  <c r="BG31" i="7"/>
  <c r="AQ34" i="7"/>
  <c r="CN19" i="1"/>
  <c r="AY30" i="7"/>
  <c r="BT20" i="1"/>
  <c r="BW27" i="7"/>
  <c r="S33" i="7"/>
  <c r="BN28" i="7"/>
  <c r="AP36" i="9"/>
  <c r="BV30" i="9"/>
  <c r="AX31" i="9"/>
  <c r="J36" i="9"/>
  <c r="Z29" i="9"/>
  <c r="B32" i="9"/>
  <c r="BF33" i="9"/>
  <c r="CD35" i="9"/>
  <c r="R34" i="9"/>
  <c r="CL31" i="9"/>
  <c r="AH31" i="9"/>
  <c r="BN29" i="9"/>
  <c r="CD33" i="7"/>
  <c r="J33" i="7"/>
  <c r="AP36" i="7"/>
  <c r="BF33" i="7"/>
  <c r="CL30" i="7"/>
  <c r="AH32" i="7"/>
  <c r="B30" i="7"/>
  <c r="BV29" i="7"/>
  <c r="Z30" i="7"/>
  <c r="AX32" i="7"/>
  <c r="R35" i="7"/>
  <c r="CM21" i="1"/>
  <c r="CE26" i="1"/>
  <c r="BW23" i="1"/>
  <c r="BO21" i="1"/>
  <c r="BG27" i="1"/>
  <c r="AQ29" i="1"/>
  <c r="AL24" i="1"/>
  <c r="AJ24" i="1"/>
  <c r="AN24" i="1"/>
  <c r="S27" i="1"/>
  <c r="K26" i="1"/>
  <c r="AV29" i="1"/>
  <c r="BO28" i="9"/>
  <c r="CJ26" i="1"/>
  <c r="N26" i="1"/>
  <c r="BO27" i="7"/>
  <c r="CR20" i="1"/>
  <c r="P26" i="1"/>
  <c r="AQ35" i="9"/>
  <c r="C31" i="9"/>
  <c r="CH26" i="1"/>
  <c r="CE32" i="7"/>
  <c r="S33" i="9"/>
  <c r="CM29" i="7"/>
  <c r="AL23" i="1"/>
  <c r="H22" i="1"/>
  <c r="C29" i="7"/>
  <c r="AZ24" i="1"/>
  <c r="CF26" i="1"/>
  <c r="P25" i="1"/>
  <c r="CP20" i="1"/>
  <c r="AT29" i="1"/>
  <c r="BH26" i="1"/>
  <c r="K35" i="9"/>
  <c r="CB22" i="1"/>
  <c r="X26" i="1"/>
  <c r="BZ22" i="1"/>
  <c r="AR28" i="1"/>
  <c r="AY31" i="7"/>
  <c r="BW29" i="9"/>
  <c r="AR29" i="1"/>
  <c r="CJ25" i="1"/>
  <c r="BP21" i="1"/>
  <c r="AT28" i="1"/>
  <c r="AI30" i="9"/>
  <c r="BG32" i="7"/>
  <c r="BL26" i="1"/>
  <c r="AD23" i="1"/>
  <c r="BR20" i="1"/>
  <c r="F23" i="1"/>
  <c r="BG32" i="9"/>
  <c r="X27" i="1"/>
  <c r="CN20" i="1"/>
  <c r="AB23" i="1"/>
  <c r="BX22" i="1"/>
  <c r="S34" i="7"/>
  <c r="H23" i="1"/>
  <c r="AB24" i="1"/>
  <c r="L26" i="1"/>
  <c r="AI31" i="7"/>
  <c r="AD24" i="1"/>
  <c r="AA29" i="7"/>
  <c r="D23" i="1"/>
  <c r="L25" i="1"/>
  <c r="AF24" i="1"/>
  <c r="AA28" i="9"/>
  <c r="CE34" i="9"/>
  <c r="BP20" i="1"/>
  <c r="K32" i="7"/>
  <c r="CM30" i="9"/>
  <c r="BW28" i="7"/>
  <c r="AQ35" i="7"/>
  <c r="BJ26" i="1"/>
  <c r="CF25" i="1"/>
  <c r="K36" i="9"/>
  <c r="AY30" i="9"/>
  <c r="BN29" i="7"/>
  <c r="BN30" i="9"/>
  <c r="CD36" i="9"/>
  <c r="B33" i="9"/>
  <c r="BV31" i="9"/>
  <c r="AX32" i="9"/>
  <c r="R35" i="9"/>
  <c r="AP37" i="9"/>
  <c r="AH32" i="9"/>
  <c r="BF34" i="9"/>
  <c r="CL32" i="9"/>
  <c r="Z30" i="9"/>
  <c r="AX33" i="7"/>
  <c r="BV30" i="7"/>
  <c r="R36" i="7"/>
  <c r="BF34" i="7"/>
  <c r="B31" i="7"/>
  <c r="AH33" i="7"/>
  <c r="Z31" i="7"/>
  <c r="J34" i="7"/>
  <c r="AP37" i="7"/>
  <c r="CL31" i="7"/>
  <c r="CD34" i="7"/>
  <c r="CM22" i="1"/>
  <c r="CE27" i="1"/>
  <c r="CB24" i="1"/>
  <c r="BZ24" i="1"/>
  <c r="BX24" i="1"/>
  <c r="BO22" i="1"/>
  <c r="BG28" i="1"/>
  <c r="AY25" i="1"/>
  <c r="AQ30" i="1"/>
  <c r="AI25" i="1"/>
  <c r="AA25" i="1"/>
  <c r="S28" i="1"/>
  <c r="K27" i="1"/>
  <c r="BR22" i="1"/>
  <c r="BR21" i="1"/>
  <c r="S35" i="7"/>
  <c r="CH27" i="1"/>
  <c r="AA30" i="7"/>
  <c r="CE33" i="7"/>
  <c r="BJ27" i="1"/>
  <c r="CP21" i="1"/>
  <c r="BT21" i="1"/>
  <c r="AY31" i="9"/>
  <c r="AN25" i="1"/>
  <c r="AI32" i="7"/>
  <c r="AD25" i="1"/>
  <c r="AB25" i="1"/>
  <c r="BL27" i="1"/>
  <c r="AZ25" i="1"/>
  <c r="AA29" i="9"/>
  <c r="T27" i="1"/>
  <c r="BW30" i="9"/>
  <c r="CP22" i="1"/>
  <c r="CR22" i="1"/>
  <c r="BT22" i="1"/>
  <c r="L27" i="1"/>
  <c r="BO29" i="9"/>
  <c r="C30" i="7"/>
  <c r="BO28" i="7"/>
  <c r="BD25" i="1"/>
  <c r="V27" i="1"/>
  <c r="BG33" i="7"/>
  <c r="CN21" i="1"/>
  <c r="S34" i="9"/>
  <c r="CM30" i="7"/>
  <c r="BX23" i="1"/>
  <c r="CF27" i="1"/>
  <c r="CB23" i="1"/>
  <c r="BH27" i="1"/>
  <c r="T28" i="1"/>
  <c r="V28" i="1"/>
  <c r="N27" i="1"/>
  <c r="CR21" i="1"/>
  <c r="CN22" i="1"/>
  <c r="AI31" i="9"/>
  <c r="AF25" i="1"/>
  <c r="C32" i="9"/>
  <c r="BB24" i="1"/>
  <c r="CE35" i="9"/>
  <c r="K33" i="7"/>
  <c r="BW29" i="7"/>
  <c r="P27" i="1"/>
  <c r="AL25" i="1"/>
  <c r="X28" i="1"/>
  <c r="BD24" i="1"/>
  <c r="BP22" i="1"/>
  <c r="AQ36" i="7"/>
  <c r="AQ36" i="9"/>
  <c r="AY32" i="7"/>
  <c r="BZ23" i="1"/>
  <c r="CJ27" i="1"/>
  <c r="BG33" i="9"/>
  <c r="CM31" i="9"/>
  <c r="BN30" i="7"/>
  <c r="AH33" i="9"/>
  <c r="BV32" i="9"/>
  <c r="Z31" i="9"/>
  <c r="AP38" i="9"/>
  <c r="B34" i="9"/>
  <c r="CL33" i="9"/>
  <c r="R36" i="9"/>
  <c r="CD37" i="9"/>
  <c r="BN31" i="9"/>
  <c r="BF35" i="9"/>
  <c r="AX33" i="9"/>
  <c r="CL32" i="7"/>
  <c r="AP38" i="7"/>
  <c r="R37" i="7"/>
  <c r="Z32" i="7"/>
  <c r="AH34" i="7"/>
  <c r="J35" i="7"/>
  <c r="CD35" i="7"/>
  <c r="BF35" i="7"/>
  <c r="BV31" i="7"/>
  <c r="B32" i="7"/>
  <c r="AX34" i="7"/>
  <c r="CM23" i="1"/>
  <c r="CF28" i="1"/>
  <c r="CE28" i="1"/>
  <c r="CJ28" i="1"/>
  <c r="CH28" i="1"/>
  <c r="BW25" i="1"/>
  <c r="BO23" i="1"/>
  <c r="BG29" i="1"/>
  <c r="AY26" i="1"/>
  <c r="AR31" i="1"/>
  <c r="AV31" i="1"/>
  <c r="AT31" i="1"/>
  <c r="AI26" i="1"/>
  <c r="AA26" i="1"/>
  <c r="S29" i="1"/>
  <c r="V29" i="1"/>
  <c r="T29" i="1"/>
  <c r="X29" i="1"/>
  <c r="K28" i="1"/>
  <c r="BB25" i="1"/>
  <c r="BG34" i="9"/>
  <c r="BL28" i="1"/>
  <c r="BG34" i="7"/>
  <c r="N28" i="1"/>
  <c r="BW31" i="9"/>
  <c r="CE36" i="9"/>
  <c r="S35" i="9"/>
  <c r="BH28" i="1"/>
  <c r="BB26" i="1"/>
  <c r="C31" i="7"/>
  <c r="BJ28" i="1"/>
  <c r="AI33" i="7"/>
  <c r="AA31" i="7"/>
  <c r="BP23" i="1"/>
  <c r="AN26" i="1"/>
  <c r="AL26" i="1"/>
  <c r="AA30" i="9"/>
  <c r="AV30" i="1"/>
  <c r="BO30" i="9"/>
  <c r="C33" i="9"/>
  <c r="K34" i="7"/>
  <c r="AQ37" i="9"/>
  <c r="BT23" i="1"/>
  <c r="BO29" i="7"/>
  <c r="AQ37" i="7"/>
  <c r="AT30" i="1"/>
  <c r="CM32" i="9"/>
  <c r="F25" i="1"/>
  <c r="BW30" i="7"/>
  <c r="AY33" i="7"/>
  <c r="AD26" i="1"/>
  <c r="D25" i="1"/>
  <c r="CE34" i="7"/>
  <c r="H25" i="1"/>
  <c r="AI32" i="9"/>
  <c r="CM31" i="7"/>
  <c r="S36" i="7"/>
  <c r="AR30" i="1"/>
  <c r="BR23" i="1"/>
  <c r="AY32" i="9"/>
  <c r="BN31" i="7"/>
  <c r="AP39" i="9"/>
  <c r="CD38" i="9"/>
  <c r="AX34" i="9"/>
  <c r="R37" i="9"/>
  <c r="BF36" i="9"/>
  <c r="Z32" i="9"/>
  <c r="BV33" i="9"/>
  <c r="B35" i="9"/>
  <c r="CL34" i="9"/>
  <c r="BN32" i="9"/>
  <c r="AH34" i="9"/>
  <c r="Z33" i="7"/>
  <c r="J36" i="7"/>
  <c r="BV32" i="7"/>
  <c r="AP39" i="7"/>
  <c r="BF36" i="7"/>
  <c r="AX35" i="7"/>
  <c r="CD36" i="7"/>
  <c r="B33" i="7"/>
  <c r="R38" i="7"/>
  <c r="CL33" i="7"/>
  <c r="AH35" i="7"/>
  <c r="CR24" i="1"/>
  <c r="CP24" i="1"/>
  <c r="CN24" i="1"/>
  <c r="CE29" i="1"/>
  <c r="BW26" i="1"/>
  <c r="BT24" i="1"/>
  <c r="BP24" i="1"/>
  <c r="BR24" i="1"/>
  <c r="BG30" i="1"/>
  <c r="AY27" i="1"/>
  <c r="AQ32" i="1"/>
  <c r="AI27" i="1"/>
  <c r="AA27" i="1"/>
  <c r="S30" i="1"/>
  <c r="K29" i="1"/>
  <c r="BD26" i="1"/>
  <c r="AA32" i="7"/>
  <c r="C32" i="7"/>
  <c r="BX25" i="1"/>
  <c r="BG35" i="7"/>
  <c r="AZ27" i="1"/>
  <c r="CM33" i="9"/>
  <c r="CP23" i="1"/>
  <c r="K35" i="7"/>
  <c r="AY34" i="7"/>
  <c r="AT32" i="1"/>
  <c r="S36" i="9"/>
  <c r="C34" i="9"/>
  <c r="BG35" i="9"/>
  <c r="AY35" i="7"/>
  <c r="AI34" i="7"/>
  <c r="BB27" i="1"/>
  <c r="CH29" i="1"/>
  <c r="AY33" i="9"/>
  <c r="BH29" i="1"/>
  <c r="BW32" i="9"/>
  <c r="CE38" i="9"/>
  <c r="BO30" i="7"/>
  <c r="BZ25" i="1"/>
  <c r="P28" i="1"/>
  <c r="BL29" i="1"/>
  <c r="CR23" i="1"/>
  <c r="BO31" i="9"/>
  <c r="CM32" i="7"/>
  <c r="AD27" i="1"/>
  <c r="S37" i="7"/>
  <c r="L28" i="1"/>
  <c r="AR32" i="1"/>
  <c r="BW31" i="7"/>
  <c r="AQ38" i="7"/>
  <c r="AB27" i="1"/>
  <c r="AI33" i="9"/>
  <c r="AQ39" i="9"/>
  <c r="K36" i="7"/>
  <c r="BJ29" i="1"/>
  <c r="T30" i="1"/>
  <c r="CE35" i="7"/>
  <c r="CN23" i="1"/>
  <c r="AZ26" i="1"/>
  <c r="AA31" i="9"/>
  <c r="AQ39" i="7"/>
  <c r="AF26" i="1"/>
  <c r="CM34" i="9"/>
  <c r="AB26" i="1"/>
  <c r="N29" i="1"/>
  <c r="CB25" i="1"/>
  <c r="AN27" i="1"/>
  <c r="AV32" i="1"/>
  <c r="AQ38" i="9"/>
  <c r="CE37" i="9"/>
  <c r="CF29" i="1"/>
  <c r="F26" i="1"/>
  <c r="BN32" i="7"/>
  <c r="R38" i="9"/>
  <c r="BN33" i="9"/>
  <c r="Z33" i="9"/>
  <c r="B36" i="9"/>
  <c r="BV34" i="9"/>
  <c r="AX35" i="9"/>
  <c r="AH35" i="9"/>
  <c r="BF37" i="9"/>
  <c r="CL34" i="7"/>
  <c r="BV33" i="7"/>
  <c r="R39" i="7"/>
  <c r="AH36" i="7"/>
  <c r="B34" i="7"/>
  <c r="CD37" i="7"/>
  <c r="BF37" i="7"/>
  <c r="Z34" i="7"/>
  <c r="CM25" i="1"/>
  <c r="CE30" i="1"/>
  <c r="BW27" i="1"/>
  <c r="BO25" i="1"/>
  <c r="BL31" i="1"/>
  <c r="BH31" i="1"/>
  <c r="BJ31" i="1"/>
  <c r="AY28" i="1"/>
  <c r="AQ33" i="1"/>
  <c r="AI28" i="1"/>
  <c r="AA28" i="1"/>
  <c r="V31" i="1"/>
  <c r="X31" i="1"/>
  <c r="T31" i="1"/>
  <c r="K30" i="1"/>
  <c r="BX26" i="1"/>
  <c r="S37" i="9"/>
  <c r="AA33" i="7"/>
  <c r="BO33" i="9"/>
  <c r="CJ30" i="1"/>
  <c r="BT25" i="1"/>
  <c r="C35" i="9"/>
  <c r="BO31" i="7"/>
  <c r="BH30" i="1"/>
  <c r="BL30" i="1"/>
  <c r="AD28" i="1"/>
  <c r="BB28" i="1"/>
  <c r="CF30" i="1"/>
  <c r="X30" i="1"/>
  <c r="BJ30" i="1"/>
  <c r="AN28" i="1"/>
  <c r="AI34" i="9"/>
  <c r="CH30" i="1"/>
  <c r="AL28" i="1"/>
  <c r="H27" i="1"/>
  <c r="CB26" i="1"/>
  <c r="BZ26" i="1"/>
  <c r="AF27" i="1"/>
  <c r="V30" i="1"/>
  <c r="BW33" i="9"/>
  <c r="C36" i="9"/>
  <c r="C33" i="7"/>
  <c r="S39" i="7"/>
  <c r="AF28" i="1"/>
  <c r="BG36" i="7"/>
  <c r="CM34" i="7"/>
  <c r="P30" i="1"/>
  <c r="CM33" i="7"/>
  <c r="AA32" i="9"/>
  <c r="S38" i="7"/>
  <c r="BD27" i="1"/>
  <c r="AL27" i="1"/>
  <c r="H26" i="1"/>
  <c r="AA34" i="7"/>
  <c r="BO32" i="9"/>
  <c r="CJ29" i="1"/>
  <c r="BW32" i="7"/>
  <c r="P29" i="1"/>
  <c r="AY35" i="9"/>
  <c r="L29" i="1"/>
  <c r="D26" i="1"/>
  <c r="AR33" i="1"/>
  <c r="AI35" i="7"/>
  <c r="AB28" i="1"/>
  <c r="BG36" i="9"/>
  <c r="CE36" i="7"/>
  <c r="AY34" i="9"/>
  <c r="BN33" i="7"/>
  <c r="BF38" i="9"/>
  <c r="Z34" i="9"/>
  <c r="AH36" i="9"/>
  <c r="BV35" i="9"/>
  <c r="R39" i="9"/>
  <c r="AH37" i="7"/>
  <c r="BF38" i="7"/>
  <c r="BV34" i="7"/>
  <c r="CD38" i="7"/>
  <c r="B35" i="7"/>
  <c r="CM26" i="1"/>
  <c r="CH31" i="1"/>
  <c r="CJ31" i="1"/>
  <c r="CF31" i="1"/>
  <c r="BW28" i="1"/>
  <c r="BO26" i="1"/>
  <c r="BG32" i="1"/>
  <c r="AY29" i="1"/>
  <c r="AQ34" i="1"/>
  <c r="AI29" i="1"/>
  <c r="AA29" i="1"/>
  <c r="S32" i="1"/>
  <c r="L31" i="1"/>
  <c r="N31" i="1"/>
  <c r="P31" i="1"/>
  <c r="CB27" i="1"/>
  <c r="F28" i="1"/>
  <c r="N30" i="1"/>
  <c r="H28" i="1"/>
  <c r="AA34" i="9"/>
  <c r="AT34" i="1"/>
  <c r="L30" i="1"/>
  <c r="BO33" i="7"/>
  <c r="BG38" i="9"/>
  <c r="BP26" i="1"/>
  <c r="X32" i="1"/>
  <c r="D28" i="1"/>
  <c r="AI35" i="9"/>
  <c r="BG37" i="7"/>
  <c r="AD29" i="1"/>
  <c r="D27" i="1"/>
  <c r="AV33" i="1"/>
  <c r="CE37" i="7"/>
  <c r="S39" i="9"/>
  <c r="AI37" i="7"/>
  <c r="AT33" i="1"/>
  <c r="BB29" i="1"/>
  <c r="BP25" i="1"/>
  <c r="AZ28" i="1"/>
  <c r="AZ29" i="1"/>
  <c r="BD28" i="1"/>
  <c r="BG37" i="9"/>
  <c r="BX27" i="1"/>
  <c r="C34" i="7"/>
  <c r="AL29" i="1"/>
  <c r="BR25" i="1"/>
  <c r="AI36" i="7"/>
  <c r="BO32" i="7"/>
  <c r="AB29" i="1"/>
  <c r="BR26" i="1"/>
  <c r="F27" i="1"/>
  <c r="AR34" i="1"/>
  <c r="AF29" i="1"/>
  <c r="CR25" i="1"/>
  <c r="BW33" i="7"/>
  <c r="BW34" i="9"/>
  <c r="CP25" i="1"/>
  <c r="S38" i="9"/>
  <c r="AV34" i="1"/>
  <c r="BT26" i="1"/>
  <c r="BZ27" i="1"/>
  <c r="BG38" i="7"/>
  <c r="CN25" i="1"/>
  <c r="AA33" i="9"/>
  <c r="CE38" i="7"/>
  <c r="BV36" i="9"/>
  <c r="AH37" i="9"/>
  <c r="BV35" i="7"/>
  <c r="B36" i="7"/>
  <c r="CM27" i="1"/>
  <c r="CE32" i="1"/>
  <c r="BW29" i="1"/>
  <c r="BO27" i="1"/>
  <c r="BG33" i="1"/>
  <c r="AY30" i="1"/>
  <c r="AV35" i="1"/>
  <c r="AR35" i="1"/>
  <c r="AT35" i="1"/>
  <c r="AQ35" i="1"/>
  <c r="AI30" i="1"/>
  <c r="AA30" i="1"/>
  <c r="S33" i="1"/>
  <c r="K32" i="1"/>
  <c r="BL32" i="1"/>
  <c r="BD29" i="1"/>
  <c r="BR27" i="1"/>
  <c r="BW35" i="9"/>
  <c r="BW34" i="7"/>
  <c r="AN30" i="1"/>
  <c r="CB28" i="1"/>
  <c r="P32" i="1"/>
  <c r="L32" i="1"/>
  <c r="AI36" i="9"/>
  <c r="V33" i="1"/>
  <c r="CF32" i="1"/>
  <c r="T33" i="1"/>
  <c r="CN26" i="1"/>
  <c r="X33" i="1"/>
  <c r="BW36" i="9"/>
  <c r="BZ28" i="1"/>
  <c r="T32" i="1"/>
  <c r="AB30" i="1"/>
  <c r="BJ32" i="1"/>
  <c r="AZ30" i="1"/>
  <c r="AN29" i="1"/>
  <c r="CR26" i="1"/>
  <c r="BH32" i="1"/>
  <c r="AI37" i="9"/>
  <c r="BB30" i="1"/>
  <c r="H29" i="1"/>
  <c r="BX28" i="1"/>
  <c r="CJ32" i="1"/>
  <c r="V32" i="1"/>
  <c r="AF30" i="1"/>
  <c r="CP26" i="1"/>
  <c r="C35" i="7"/>
  <c r="C36" i="7"/>
  <c r="BV36" i="7"/>
  <c r="CM28" i="1"/>
  <c r="CE33" i="1"/>
  <c r="BW30" i="1"/>
  <c r="BO28" i="1"/>
  <c r="BG34" i="1"/>
  <c r="AR36" i="1"/>
  <c r="AT36" i="1"/>
  <c r="AV36" i="1"/>
  <c r="AQ36" i="1"/>
  <c r="AN31" i="1"/>
  <c r="AL31" i="1"/>
  <c r="AJ31" i="1"/>
  <c r="S34" i="1"/>
  <c r="K33" i="1"/>
  <c r="L33" i="1"/>
  <c r="BL33" i="1"/>
  <c r="AL30" i="1"/>
  <c r="CH32" i="1"/>
  <c r="BT27" i="1"/>
  <c r="V34" i="1"/>
  <c r="BR28" i="1"/>
  <c r="CP27" i="1"/>
  <c r="BW36" i="7"/>
  <c r="CN27" i="1"/>
  <c r="AD30" i="1"/>
  <c r="BT28" i="1"/>
  <c r="CH33" i="1"/>
  <c r="AZ31" i="1"/>
  <c r="BD31" i="1"/>
  <c r="BJ33" i="1"/>
  <c r="CR27" i="1"/>
  <c r="T34" i="1"/>
  <c r="D30" i="1"/>
  <c r="CB29" i="1"/>
  <c r="BH33" i="1"/>
  <c r="BX29" i="1"/>
  <c r="N32" i="1"/>
  <c r="CF33" i="1"/>
  <c r="P33" i="1"/>
  <c r="BZ29" i="1"/>
  <c r="BD30" i="1"/>
  <c r="BP27" i="1"/>
  <c r="BP28" i="1"/>
  <c r="F29" i="1"/>
  <c r="N33" i="1"/>
  <c r="D29" i="1"/>
  <c r="BW35" i="7"/>
  <c r="F30" i="1"/>
  <c r="CJ33" i="1"/>
  <c r="CM29" i="1"/>
  <c r="CE34" i="1"/>
  <c r="BZ31" i="1"/>
  <c r="CB31" i="1"/>
  <c r="BX31" i="1"/>
  <c r="BO29" i="1"/>
  <c r="BH35" i="1"/>
  <c r="BL35" i="1"/>
  <c r="BJ35" i="1"/>
  <c r="BG35" i="1"/>
  <c r="AY32" i="1"/>
  <c r="AI32" i="1"/>
  <c r="AA32" i="1"/>
  <c r="V35" i="1"/>
  <c r="X35" i="1"/>
  <c r="T35" i="1"/>
  <c r="S35" i="1"/>
  <c r="BH34" i="1"/>
  <c r="BT29" i="1"/>
  <c r="CP28" i="1"/>
  <c r="AB32" i="1"/>
  <c r="CN28" i="1"/>
  <c r="X34" i="1"/>
  <c r="BB31" i="1"/>
  <c r="BP29" i="1"/>
  <c r="AZ32" i="1"/>
  <c r="BZ30" i="1"/>
  <c r="AB31" i="1"/>
  <c r="BX30" i="1"/>
  <c r="AF32" i="1"/>
  <c r="BJ34" i="1"/>
  <c r="CJ34" i="1"/>
  <c r="AD31" i="1"/>
  <c r="CH34" i="1"/>
  <c r="CB30" i="1"/>
  <c r="AF31" i="1"/>
  <c r="AD32" i="1"/>
  <c r="BD32" i="1"/>
  <c r="CR28" i="1"/>
  <c r="H30" i="1"/>
  <c r="CF34" i="1"/>
  <c r="AN32" i="1"/>
  <c r="BL34" i="1"/>
  <c r="CM30" i="1"/>
  <c r="CE35" i="1"/>
  <c r="BW32" i="1"/>
  <c r="BO30" i="1"/>
  <c r="AY33" i="1"/>
  <c r="AI33" i="1"/>
  <c r="AA33" i="1"/>
  <c r="V36" i="1"/>
  <c r="X36" i="1"/>
  <c r="T36" i="1"/>
  <c r="S36" i="1"/>
  <c r="CN29" i="1"/>
  <c r="CF35" i="1"/>
  <c r="BR29" i="1"/>
  <c r="CJ35" i="1"/>
  <c r="AN33" i="1"/>
  <c r="BB33" i="1"/>
  <c r="AD33" i="1"/>
  <c r="BB32" i="1"/>
  <c r="AF33" i="1"/>
  <c r="CP29" i="1"/>
  <c r="CR29" i="1"/>
  <c r="BT30" i="1"/>
  <c r="AL32" i="1"/>
  <c r="H32" i="1"/>
  <c r="BW33" i="1"/>
  <c r="AY34" i="1"/>
  <c r="AI34" i="1"/>
  <c r="AA34" i="1"/>
  <c r="CN30" i="1"/>
  <c r="BD33" i="1"/>
  <c r="BR30" i="1"/>
  <c r="D33" i="1"/>
  <c r="AD34" i="1"/>
  <c r="D32" i="1"/>
  <c r="H33" i="1"/>
  <c r="AB33" i="1"/>
  <c r="AF34" i="1"/>
  <c r="AN34" i="1"/>
  <c r="BZ32" i="1"/>
  <c r="BP30" i="1"/>
  <c r="F32" i="1"/>
  <c r="BT31" i="1"/>
  <c r="F33" i="1"/>
  <c r="BX32" i="1"/>
  <c r="CB32" i="1"/>
  <c r="CR30" i="1"/>
  <c r="AZ33" i="1"/>
  <c r="BB34" i="1"/>
  <c r="BP31" i="1"/>
  <c r="CP30" i="1"/>
  <c r="CH35" i="1"/>
  <c r="AB34" i="1"/>
  <c r="AL33" i="1"/>
  <c r="CM32" i="1"/>
  <c r="BW34" i="1"/>
  <c r="BO32" i="1"/>
  <c r="AY35" i="1"/>
  <c r="AI35" i="1"/>
  <c r="AD35" i="1"/>
  <c r="AF35" i="1"/>
  <c r="AB35" i="1"/>
  <c r="AA35" i="1"/>
  <c r="AB36" i="1"/>
  <c r="AF36" i="1"/>
  <c r="AA36" i="1"/>
  <c r="AD36" i="1"/>
  <c r="CP31" i="1"/>
  <c r="BP32" i="1"/>
  <c r="AL34" i="1"/>
  <c r="BD35" i="1"/>
  <c r="AZ34" i="1"/>
  <c r="BD34" i="1"/>
  <c r="BX33" i="1"/>
  <c r="D34" i="1"/>
  <c r="CN31" i="1"/>
  <c r="CB33" i="1"/>
  <c r="BZ33" i="1"/>
  <c r="CR31" i="1"/>
  <c r="F34" i="1"/>
  <c r="BR31" i="1"/>
  <c r="AZ35" i="1"/>
  <c r="CJ39" i="1"/>
  <c r="CM33" i="1"/>
  <c r="BW35" i="1"/>
  <c r="BO33" i="1"/>
  <c r="AY36" i="1"/>
  <c r="AI36" i="1"/>
  <c r="AA37" i="1"/>
  <c r="BT32" i="1"/>
  <c r="AF37" i="1"/>
  <c r="BR32" i="1"/>
  <c r="BR33" i="1"/>
  <c r="BD36" i="1"/>
  <c r="AB37" i="1"/>
  <c r="H34" i="1"/>
  <c r="CB34" i="1"/>
  <c r="AZ36" i="1"/>
  <c r="AN35" i="1"/>
  <c r="BZ34" i="1"/>
  <c r="BB36" i="1"/>
  <c r="CP32" i="1"/>
  <c r="BX34" i="1"/>
  <c r="BB35" i="1"/>
  <c r="AL35" i="1"/>
  <c r="CR32" i="1"/>
  <c r="CN32" i="1"/>
  <c r="CH39" i="1"/>
  <c r="CF39" i="1"/>
  <c r="CJ40" i="1"/>
  <c r="CH40" i="1"/>
  <c r="CF40" i="1"/>
  <c r="CM34" i="1"/>
  <c r="BW36" i="1"/>
  <c r="BT34" i="1"/>
  <c r="BR34" i="1"/>
  <c r="BO34" i="1"/>
  <c r="AY37" i="1"/>
  <c r="AI37" i="1"/>
  <c r="AB38" i="1"/>
  <c r="AF38" i="1"/>
  <c r="AD38" i="1"/>
  <c r="CN33" i="1"/>
  <c r="BD37" i="1"/>
  <c r="AL36" i="1"/>
  <c r="CB35" i="1"/>
  <c r="BP33" i="1"/>
  <c r="H35" i="1"/>
  <c r="AN36" i="1"/>
  <c r="CR33" i="1"/>
  <c r="D35" i="1"/>
  <c r="D36" i="1"/>
  <c r="BX35" i="1"/>
  <c r="BT33" i="1"/>
  <c r="AD37" i="1"/>
  <c r="H36" i="1"/>
  <c r="BZ35" i="1"/>
  <c r="CP33" i="1"/>
  <c r="F35" i="1"/>
  <c r="BP34" i="1"/>
  <c r="CM35" i="1"/>
  <c r="BW37" i="1"/>
  <c r="BT35" i="1"/>
  <c r="BO35" i="1"/>
  <c r="BD39" i="1"/>
  <c r="AZ39" i="1"/>
  <c r="BB39" i="1"/>
  <c r="AY39" i="1"/>
  <c r="AJ38" i="1"/>
  <c r="AN38" i="1"/>
  <c r="AL38" i="1"/>
  <c r="AI39" i="1"/>
  <c r="BX36" i="1"/>
  <c r="BP35" i="1"/>
  <c r="BZ36" i="1"/>
  <c r="BB37" i="1"/>
  <c r="BB38" i="1"/>
  <c r="AZ37" i="1"/>
  <c r="AL39" i="1"/>
  <c r="CP34" i="1"/>
  <c r="D37" i="1"/>
  <c r="H37" i="1"/>
  <c r="CB36" i="1"/>
  <c r="F36" i="1"/>
  <c r="AN39" i="1"/>
  <c r="CN34" i="1"/>
  <c r="CR34" i="1"/>
  <c r="AL37" i="1"/>
  <c r="AN37" i="1"/>
  <c r="BR35" i="1"/>
  <c r="F37" i="1"/>
  <c r="CM36" i="1"/>
  <c r="BZ38" i="1"/>
  <c r="CB38" i="1"/>
  <c r="BX38" i="1"/>
  <c r="BP36" i="1"/>
  <c r="BR36" i="1"/>
  <c r="BT36" i="1"/>
  <c r="BO36" i="1"/>
  <c r="AI40" i="1"/>
  <c r="CP35" i="1"/>
  <c r="BD38" i="1"/>
  <c r="BZ37" i="1"/>
  <c r="AZ38" i="1"/>
  <c r="BX37" i="1"/>
  <c r="CN36" i="1"/>
  <c r="CP36" i="1"/>
  <c r="CR36" i="1"/>
  <c r="AN40" i="1"/>
  <c r="CN35" i="1"/>
  <c r="CR35" i="1"/>
  <c r="CB37" i="1"/>
  <c r="CR37" i="1"/>
  <c r="CP37" i="1"/>
  <c r="CN37" i="1"/>
  <c r="CM37" i="1"/>
  <c r="BZ39" i="1"/>
  <c r="CB39" i="1"/>
  <c r="BX39" i="1"/>
  <c r="BW39" i="1"/>
  <c r="BT37" i="1"/>
  <c r="BP37" i="1"/>
  <c r="BR37" i="1"/>
  <c r="BO37" i="1"/>
  <c r="AI41" i="1"/>
  <c r="H39" i="1"/>
  <c r="D39" i="1"/>
  <c r="AL40" i="1"/>
  <c r="CP38" i="1"/>
  <c r="CR38" i="1"/>
  <c r="CN38" i="1"/>
  <c r="BW40" i="1"/>
  <c r="CB40" i="1"/>
  <c r="BX40" i="1"/>
  <c r="BZ40" i="1"/>
  <c r="F39" i="1"/>
  <c r="AI38" i="1"/>
  <c r="BW10" i="1"/>
  <c r="BO38" i="1"/>
  <c r="AI10" i="1"/>
  <c r="M32" i="4"/>
  <c r="M3" i="4"/>
  <c r="A30" i="4"/>
  <c r="A1" i="4"/>
  <c r="C17" i="1"/>
  <c r="C24" i="1"/>
  <c r="C31" i="1"/>
  <c r="C38" i="1"/>
  <c r="CM31" i="1"/>
  <c r="K10" i="1"/>
  <c r="K17" i="1"/>
  <c r="K24" i="1"/>
  <c r="K31" i="1"/>
  <c r="S10" i="1"/>
  <c r="S17" i="1"/>
  <c r="S24" i="1"/>
  <c r="S31" i="1"/>
  <c r="AA10" i="1"/>
  <c r="AA17" i="1"/>
  <c r="AA24" i="1"/>
  <c r="AA31" i="1"/>
  <c r="AA38" i="1"/>
  <c r="AI17" i="1"/>
  <c r="AI24" i="1"/>
  <c r="AI31" i="1"/>
  <c r="AQ10" i="1"/>
  <c r="AQ17" i="1"/>
  <c r="AQ24" i="1"/>
  <c r="AQ31" i="1"/>
  <c r="AY10" i="1"/>
  <c r="AY17" i="1"/>
  <c r="AY24" i="1"/>
  <c r="AY31" i="1"/>
  <c r="AY38" i="1"/>
  <c r="BG10" i="1"/>
  <c r="BG17" i="1"/>
  <c r="BG24" i="1"/>
  <c r="BG31" i="1"/>
  <c r="BO10" i="1"/>
  <c r="BO17" i="1"/>
  <c r="BO24" i="1"/>
  <c r="BO31" i="1"/>
  <c r="BW17" i="1"/>
  <c r="BW24" i="1"/>
  <c r="BW31" i="1"/>
  <c r="BW38" i="1"/>
  <c r="CE10" i="1"/>
  <c r="CE17" i="1"/>
  <c r="CE24" i="1"/>
  <c r="CE31" i="1"/>
  <c r="CM10" i="1"/>
  <c r="CM17" i="1"/>
  <c r="CM24" i="1"/>
  <c r="CM38" i="1"/>
</calcChain>
</file>

<file path=xl/sharedStrings.xml><?xml version="1.0" encoding="utf-8"?>
<sst xmlns="http://schemas.openxmlformats.org/spreadsheetml/2006/main" count="1737" uniqueCount="152">
  <si>
    <t>Januar</t>
  </si>
  <si>
    <t>Neujahr</t>
  </si>
  <si>
    <t>Berchtoldstag</t>
  </si>
  <si>
    <t>Fr</t>
  </si>
  <si>
    <t>Sa</t>
  </si>
  <si>
    <t>So</t>
  </si>
  <si>
    <t>Di</t>
  </si>
  <si>
    <t>Mi</t>
  </si>
  <si>
    <t>Do</t>
  </si>
  <si>
    <t>Februar</t>
  </si>
  <si>
    <t>März</t>
  </si>
  <si>
    <t>April</t>
  </si>
  <si>
    <t>Ostermontag</t>
  </si>
  <si>
    <t>Mai</t>
  </si>
  <si>
    <t>Muttertag</t>
  </si>
  <si>
    <t>Juni</t>
  </si>
  <si>
    <t>Pfingstmontag</t>
  </si>
  <si>
    <t>Juli</t>
  </si>
  <si>
    <t>August</t>
  </si>
  <si>
    <t>September</t>
  </si>
  <si>
    <t>Oktober</t>
  </si>
  <si>
    <t>November</t>
  </si>
  <si>
    <t>Dezember</t>
  </si>
  <si>
    <t>Weihnachten</t>
  </si>
  <si>
    <t>Stephanstag</t>
  </si>
  <si>
    <t>Mo</t>
  </si>
  <si>
    <t>Aschermi.</t>
  </si>
  <si>
    <t>Weisser So.</t>
  </si>
  <si>
    <t>Ferien Bern</t>
  </si>
  <si>
    <t>Ferien Zürich</t>
  </si>
  <si>
    <t>Ferien JG</t>
  </si>
  <si>
    <t>Grobpla-</t>
  </si>
  <si>
    <t xml:space="preserve">Planung </t>
  </si>
  <si>
    <t>nung 2016</t>
  </si>
  <si>
    <t>2016 def.</t>
  </si>
  <si>
    <t>x</t>
  </si>
  <si>
    <t>Reformationstag</t>
  </si>
  <si>
    <t>Auffahrt</t>
  </si>
  <si>
    <t>M. Himmelfahrt</t>
  </si>
  <si>
    <t>Bettag</t>
  </si>
  <si>
    <t>Datum</t>
  </si>
  <si>
    <t>Ferien ZH</t>
  </si>
  <si>
    <t>Ferien BE</t>
  </si>
  <si>
    <t>PM ZH</t>
  </si>
  <si>
    <t>PM BE</t>
  </si>
  <si>
    <t>Text JP</t>
  </si>
  <si>
    <t>AM BE</t>
  </si>
  <si>
    <t>AM ZH</t>
  </si>
  <si>
    <t>WM ZH</t>
  </si>
  <si>
    <t>Feiertag</t>
  </si>
  <si>
    <t>Heiligabend</t>
  </si>
  <si>
    <t>ev. int. Kongr.</t>
  </si>
  <si>
    <t>EK?</t>
  </si>
  <si>
    <t>GD BE</t>
  </si>
  <si>
    <t>JV ESG+GD BE</t>
  </si>
  <si>
    <t>na + JV BE</t>
  </si>
  <si>
    <t>ab</t>
  </si>
  <si>
    <t>na</t>
  </si>
  <si>
    <t>HSR?</t>
  </si>
  <si>
    <t>na + ab</t>
  </si>
  <si>
    <t>GP PM ZH?</t>
  </si>
  <si>
    <t xml:space="preserve">na </t>
  </si>
  <si>
    <t>na + PT BE?</t>
  </si>
  <si>
    <t>PT ZH?</t>
  </si>
  <si>
    <t>na +PT AM BE?</t>
  </si>
  <si>
    <t>PT AM ZH?</t>
  </si>
  <si>
    <t>GP AM ZH?</t>
  </si>
  <si>
    <t xml:space="preserve">EK? na </t>
  </si>
  <si>
    <t>na + WM BE</t>
  </si>
  <si>
    <t>GP WM ZH?</t>
  </si>
  <si>
    <t>GP WM BE?</t>
  </si>
  <si>
    <t>GD BE Petrus?</t>
  </si>
  <si>
    <t>Passionsmusiken: ZKP / BK separat?</t>
  </si>
  <si>
    <t>Abendmusiken: ZKP / BK separat?</t>
  </si>
  <si>
    <t>Weihnachtsmusiken: ZKP / BK separat?</t>
  </si>
  <si>
    <t>Reisen zkp-&gt;BE:</t>
  </si>
  <si>
    <t>Reisen BK-&gt;ZH:</t>
  </si>
  <si>
    <t/>
  </si>
  <si>
    <t>EK</t>
  </si>
  <si>
    <t>GD ZH</t>
  </si>
  <si>
    <t>GP</t>
  </si>
  <si>
    <t>PT</t>
  </si>
  <si>
    <t>Junge</t>
  </si>
  <si>
    <t>50+</t>
  </si>
  <si>
    <t>GD*BE</t>
  </si>
  <si>
    <t>GP*ZH</t>
  </si>
  <si>
    <t>GP*BE</t>
  </si>
  <si>
    <t>Vespern</t>
  </si>
  <si>
    <t>Projekt 2 AM</t>
  </si>
  <si>
    <t>G6:G370</t>
  </si>
  <si>
    <t>PT*ZH</t>
  </si>
  <si>
    <t>zk</t>
  </si>
  <si>
    <t>zk V</t>
  </si>
  <si>
    <t>PT*BE</t>
  </si>
  <si>
    <t>JV ESG*BE</t>
  </si>
  <si>
    <t>na (Vertr.)</t>
  </si>
  <si>
    <t>na*Vertr.</t>
  </si>
  <si>
    <t>zk*Vertr.</t>
  </si>
  <si>
    <t>ab*Vertr.</t>
  </si>
  <si>
    <t>Proben</t>
  </si>
  <si>
    <t>Gottesdienste</t>
  </si>
  <si>
    <t>Reisen nach ZH</t>
  </si>
  <si>
    <t>Vertretungen JG</t>
  </si>
  <si>
    <t>Proben (inkl. V)</t>
  </si>
  <si>
    <t>GD*ZH</t>
  </si>
  <si>
    <t>Reisen nach BE</t>
  </si>
  <si>
    <t>Version</t>
  </si>
  <si>
    <t>Autor</t>
  </si>
  <si>
    <t>JV ZH?</t>
  </si>
  <si>
    <t>Passionsmusiken: ZKP / BK separat</t>
  </si>
  <si>
    <t>Abendmusiken: ZKP / BK separat</t>
  </si>
  <si>
    <t>Weihnachtsmusiken: ZKP / BK separat</t>
  </si>
  <si>
    <t>na + PT BE</t>
  </si>
  <si>
    <t>PT ZH</t>
  </si>
  <si>
    <t>GP PM BE</t>
  </si>
  <si>
    <t>GP PM ZH</t>
  </si>
  <si>
    <t>(BMKC)</t>
  </si>
  <si>
    <t>na (Kongr.)</t>
  </si>
  <si>
    <t>HSR</t>
  </si>
  <si>
    <t>GD+PT AM ZH</t>
  </si>
  <si>
    <t>GP AM ZH</t>
  </si>
  <si>
    <t>na+GP AM BE</t>
  </si>
  <si>
    <t>GP WM ZH</t>
  </si>
  <si>
    <t>GP WM BE</t>
  </si>
  <si>
    <t>JV ESG*ZH</t>
  </si>
  <si>
    <t>EK / GastV</t>
  </si>
  <si>
    <t>GastV</t>
  </si>
  <si>
    <t>GastV?</t>
  </si>
  <si>
    <t>na Ens.???</t>
  </si>
  <si>
    <t>PT AM BE / GastV</t>
  </si>
  <si>
    <t>na Ens. ???</t>
  </si>
  <si>
    <t>Vespern ESG</t>
  </si>
  <si>
    <t>Vespern mit Chor</t>
  </si>
  <si>
    <t>GD ad hoc BE</t>
  </si>
  <si>
    <t>Bemerkung</t>
  </si>
  <si>
    <t>Herbstmusiken: ZKP / BK separat?</t>
  </si>
  <si>
    <t>G6:G112</t>
  </si>
  <si>
    <t>G113:G183</t>
  </si>
  <si>
    <t>G184:G370</t>
  </si>
  <si>
    <t>HP</t>
  </si>
  <si>
    <t>HP*BE</t>
  </si>
  <si>
    <t>Projekt 3 HM/off. Singen</t>
  </si>
  <si>
    <t>"Projekt" 1 PM</t>
  </si>
  <si>
    <t>Projekt 3 HM</t>
  </si>
  <si>
    <t>G184:G371</t>
  </si>
  <si>
    <t>JP BE</t>
  </si>
  <si>
    <t>von</t>
  </si>
  <si>
    <t>bis</t>
  </si>
  <si>
    <t>Ort</t>
  </si>
  <si>
    <t>V0</t>
  </si>
  <si>
    <t>Abendmusiken: ZKP / BK gemeinsam?</t>
  </si>
  <si>
    <t>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</si>
</sst>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"/>
  </numFmts>
  <fonts count="32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23"/>
      <name val="Calibri"/>
      <family val="2"/>
    </font>
    <font>
      <b/>
      <sz val="10"/>
      <color indexed="23"/>
      <name val="Calibri"/>
      <family val="2"/>
    </font>
    <font>
      <sz val="10"/>
      <color indexed="23"/>
      <name val="Calibri"/>
      <family val="2"/>
    </font>
    <font>
      <sz val="10"/>
      <name val="Calibri"/>
      <family val="2"/>
    </font>
    <font>
      <i/>
      <sz val="10"/>
      <color indexed="8"/>
      <name val="Calibri"/>
      <family val="2"/>
    </font>
    <font>
      <sz val="8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23"/>
      <name val="Calibri"/>
      <family val="2"/>
    </font>
    <font>
      <b/>
      <sz val="10"/>
      <color indexed="23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8"/>
      <color indexed="23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5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5"/>
      <color rgb="FFFF0000"/>
      <name val="Calibri"/>
      <family val="2"/>
      <scheme val="minor"/>
    </font>
    <font>
      <i/>
      <sz val="10"/>
      <color theme="0" tint="-0.499984740745262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</borders>
  <cellStyleXfs count="2">
    <xf numFmtId="0" fontId="0" fillId="0" borderId="0"/>
    <xf numFmtId="9" fontId="24" fillId="0" borderId="0" applyFon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1" fillId="0" borderId="0" xfId="0" applyFont="1" applyAlignment="1">
      <alignment shrinkToFit="1"/>
    </xf>
    <xf numFmtId="0" fontId="1" fillId="0" borderId="0" xfId="0" applyFont="1" applyFill="1"/>
    <xf numFmtId="0" fontId="5" fillId="0" borderId="0" xfId="0" applyFont="1" applyBorder="1"/>
    <xf numFmtId="0" fontId="1" fillId="0" borderId="1" xfId="0" applyFont="1" applyBorder="1"/>
    <xf numFmtId="0" fontId="1" fillId="0" borderId="2" xfId="0" applyFont="1" applyBorder="1" applyAlignment="1">
      <alignment shrinkToFit="1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shrinkToFit="1"/>
    </xf>
    <xf numFmtId="0" fontId="1" fillId="2" borderId="2" xfId="0" applyFont="1" applyFill="1" applyBorder="1" applyAlignment="1">
      <alignment shrinkToFit="1"/>
    </xf>
    <xf numFmtId="0" fontId="1" fillId="2" borderId="3" xfId="0" applyFont="1" applyFill="1" applyBorder="1" applyAlignment="1">
      <alignment shrinkToFit="1"/>
    </xf>
    <xf numFmtId="0" fontId="1" fillId="0" borderId="4" xfId="0" applyFont="1" applyBorder="1" applyAlignment="1">
      <alignment shrinkToFit="1"/>
    </xf>
    <xf numFmtId="0" fontId="1" fillId="0" borderId="5" xfId="0" applyFont="1" applyBorder="1" applyAlignment="1">
      <alignment shrinkToFit="1"/>
    </xf>
    <xf numFmtId="0" fontId="3" fillId="0" borderId="8" xfId="0" applyFont="1" applyBorder="1"/>
    <xf numFmtId="0" fontId="5" fillId="0" borderId="9" xfId="0" applyFont="1" applyFill="1" applyBorder="1" applyAlignment="1">
      <alignment shrinkToFit="1"/>
    </xf>
    <xf numFmtId="0" fontId="5" fillId="0" borderId="9" xfId="0" applyFont="1" applyBorder="1" applyAlignment="1">
      <alignment shrinkToFit="1"/>
    </xf>
    <xf numFmtId="0" fontId="5" fillId="0" borderId="10" xfId="0" applyFont="1" applyBorder="1" applyAlignment="1">
      <alignment shrinkToFit="1"/>
    </xf>
    <xf numFmtId="0" fontId="2" fillId="0" borderId="2" xfId="0" applyFont="1" applyBorder="1" applyAlignment="1">
      <alignment horizontal="center" vertical="center" shrinkToFit="1"/>
    </xf>
    <xf numFmtId="0" fontId="1" fillId="0" borderId="2" xfId="0" applyFont="1" applyBorder="1" applyAlignment="1">
      <alignment horizontal="right" shrinkToFit="1"/>
    </xf>
    <xf numFmtId="0" fontId="7" fillId="3" borderId="6" xfId="0" applyFont="1" applyFill="1" applyBorder="1" applyAlignment="1">
      <alignment horizontal="left" vertical="center" shrinkToFit="1"/>
    </xf>
    <xf numFmtId="0" fontId="2" fillId="0" borderId="2" xfId="0" applyFont="1" applyFill="1" applyBorder="1" applyAlignment="1">
      <alignment horizontal="center" vertical="center" shrinkToFit="1"/>
    </xf>
    <xf numFmtId="0" fontId="1" fillId="0" borderId="2" xfId="0" applyFont="1" applyFill="1" applyBorder="1" applyAlignment="1">
      <alignment shrinkToFit="1"/>
    </xf>
    <xf numFmtId="0" fontId="1" fillId="2" borderId="2" xfId="0" applyFont="1" applyFill="1" applyBorder="1" applyAlignment="1">
      <alignment horizontal="right" shrinkToFit="1"/>
    </xf>
    <xf numFmtId="0" fontId="1" fillId="0" borderId="4" xfId="0" applyFont="1" applyFill="1" applyBorder="1" applyAlignment="1">
      <alignment shrinkToFit="1"/>
    </xf>
    <xf numFmtId="0" fontId="4" fillId="0" borderId="9" xfId="0" applyFont="1" applyFill="1" applyBorder="1" applyAlignment="1">
      <alignment horizontal="center" vertical="center" shrinkToFit="1"/>
    </xf>
    <xf numFmtId="0" fontId="9" fillId="0" borderId="0" xfId="0" applyFont="1"/>
    <xf numFmtId="0" fontId="11" fillId="0" borderId="0" xfId="0" applyFont="1" applyBorder="1"/>
    <xf numFmtId="0" fontId="12" fillId="0" borderId="0" xfId="0" applyFont="1" applyBorder="1"/>
    <xf numFmtId="0" fontId="13" fillId="0" borderId="0" xfId="0" applyFont="1" applyBorder="1"/>
    <xf numFmtId="0" fontId="14" fillId="0" borderId="0" xfId="0" applyFont="1" applyBorder="1"/>
    <xf numFmtId="0" fontId="6" fillId="0" borderId="0" xfId="0" applyFont="1" applyBorder="1"/>
    <xf numFmtId="0" fontId="6" fillId="0" borderId="0" xfId="0" applyFont="1" applyFill="1" applyBorder="1"/>
    <xf numFmtId="0" fontId="9" fillId="0" borderId="0" xfId="0" applyFont="1" applyBorder="1"/>
    <xf numFmtId="0" fontId="10" fillId="0" borderId="0" xfId="0" applyFont="1" applyBorder="1"/>
    <xf numFmtId="0" fontId="1" fillId="0" borderId="0" xfId="0" applyFont="1" applyBorder="1"/>
    <xf numFmtId="0" fontId="1" fillId="0" borderId="0" xfId="0" applyFont="1" applyFill="1" applyBorder="1"/>
    <xf numFmtId="0" fontId="4" fillId="4" borderId="9" xfId="0" applyFont="1" applyFill="1" applyBorder="1" applyAlignment="1">
      <alignment horizontal="center" vertical="center" shrinkToFit="1"/>
    </xf>
    <xf numFmtId="0" fontId="5" fillId="4" borderId="9" xfId="0" applyFont="1" applyFill="1" applyBorder="1" applyAlignment="1">
      <alignment shrinkToFit="1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3" fillId="4" borderId="8" xfId="0" applyFont="1" applyFill="1" applyBorder="1"/>
    <xf numFmtId="0" fontId="5" fillId="4" borderId="10" xfId="0" applyFont="1" applyFill="1" applyBorder="1" applyAlignment="1">
      <alignment shrinkToFit="1"/>
    </xf>
    <xf numFmtId="0" fontId="1" fillId="4" borderId="0" xfId="0" applyFont="1" applyFill="1"/>
    <xf numFmtId="0" fontId="5" fillId="4" borderId="0" xfId="0" applyFont="1" applyFill="1" applyBorder="1"/>
    <xf numFmtId="0" fontId="11" fillId="4" borderId="0" xfId="0" applyFont="1" applyFill="1" applyBorder="1"/>
    <xf numFmtId="0" fontId="12" fillId="4" borderId="0" xfId="0" applyFont="1" applyFill="1" applyBorder="1"/>
    <xf numFmtId="0" fontId="13" fillId="4" borderId="0" xfId="0" applyFont="1" applyFill="1" applyBorder="1"/>
    <xf numFmtId="0" fontId="14" fillId="4" borderId="0" xfId="0" applyFont="1" applyFill="1" applyBorder="1"/>
    <xf numFmtId="0" fontId="6" fillId="4" borderId="0" xfId="0" applyFont="1" applyFill="1" applyBorder="1"/>
    <xf numFmtId="0" fontId="1" fillId="5" borderId="2" xfId="0" applyFont="1" applyFill="1" applyBorder="1" applyAlignment="1">
      <alignment shrinkToFit="1"/>
    </xf>
    <xf numFmtId="0" fontId="1" fillId="5" borderId="3" xfId="0" applyFont="1" applyFill="1" applyBorder="1" applyAlignment="1">
      <alignment shrinkToFit="1"/>
    </xf>
    <xf numFmtId="0" fontId="5" fillId="5" borderId="9" xfId="0" applyFont="1" applyFill="1" applyBorder="1" applyAlignment="1">
      <alignment shrinkToFit="1"/>
    </xf>
    <xf numFmtId="0" fontId="6" fillId="5" borderId="9" xfId="0" applyFont="1" applyFill="1" applyBorder="1" applyAlignment="1">
      <alignment shrinkToFit="1"/>
    </xf>
    <xf numFmtId="0" fontId="3" fillId="0" borderId="13" xfId="0" applyFont="1" applyBorder="1"/>
    <xf numFmtId="0" fontId="3" fillId="4" borderId="13" xfId="0" applyFont="1" applyFill="1" applyBorder="1"/>
    <xf numFmtId="0" fontId="3" fillId="0" borderId="9" xfId="0" applyFont="1" applyBorder="1"/>
    <xf numFmtId="0" fontId="3" fillId="4" borderId="9" xfId="0" applyFont="1" applyFill="1" applyBorder="1"/>
    <xf numFmtId="0" fontId="3" fillId="4" borderId="11" xfId="0" applyFont="1" applyFill="1" applyBorder="1"/>
    <xf numFmtId="0" fontId="1" fillId="0" borderId="6" xfId="0" applyFont="1" applyBorder="1" applyAlignment="1">
      <alignment horizontal="left" shrinkToFit="1"/>
    </xf>
    <xf numFmtId="0" fontId="3" fillId="4" borderId="14" xfId="0" applyFont="1" applyFill="1" applyBorder="1"/>
    <xf numFmtId="0" fontId="5" fillId="4" borderId="11" xfId="0" applyFont="1" applyFill="1" applyBorder="1" applyAlignment="1">
      <alignment shrinkToFit="1"/>
    </xf>
    <xf numFmtId="0" fontId="5" fillId="5" borderId="11" xfId="0" applyFont="1" applyFill="1" applyBorder="1" applyAlignment="1">
      <alignment shrinkToFit="1"/>
    </xf>
    <xf numFmtId="0" fontId="6" fillId="5" borderId="11" xfId="0" applyFont="1" applyFill="1" applyBorder="1" applyAlignment="1">
      <alignment shrinkToFit="1"/>
    </xf>
    <xf numFmtId="0" fontId="5" fillId="4" borderId="12" xfId="0" applyFont="1" applyFill="1" applyBorder="1" applyAlignment="1">
      <alignment shrinkToFit="1"/>
    </xf>
    <xf numFmtId="0" fontId="1" fillId="4" borderId="0" xfId="0" applyFont="1" applyFill="1" applyBorder="1"/>
    <xf numFmtId="0" fontId="14" fillId="0" borderId="0" xfId="0" applyFont="1" applyFill="1" applyBorder="1"/>
    <xf numFmtId="0" fontId="1" fillId="0" borderId="7" xfId="0" applyFont="1" applyBorder="1" applyAlignment="1">
      <alignment horizontal="left" shrinkToFit="1"/>
    </xf>
    <xf numFmtId="0" fontId="9" fillId="0" borderId="0" xfId="0" applyFont="1" applyAlignment="1">
      <alignment horizontal="left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7" fillId="3" borderId="6" xfId="0" applyFont="1" applyFill="1" applyBorder="1" applyAlignment="1">
      <alignment horizontal="left" shrinkToFit="1"/>
    </xf>
    <xf numFmtId="0" fontId="7" fillId="3" borderId="7" xfId="0" applyFont="1" applyFill="1" applyBorder="1" applyAlignment="1">
      <alignment horizontal="left" shrinkToFit="1"/>
    </xf>
    <xf numFmtId="0" fontId="14" fillId="0" borderId="0" xfId="0" applyFont="1" applyBorder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Fill="1" applyBorder="1" applyAlignment="1">
      <alignment horizontal="left"/>
    </xf>
    <xf numFmtId="0" fontId="5" fillId="0" borderId="11" xfId="0" applyFont="1" applyBorder="1" applyAlignment="1">
      <alignment horizontal="center" shrinkToFit="1"/>
    </xf>
    <xf numFmtId="0" fontId="0" fillId="0" borderId="0" xfId="0" applyAlignment="1">
      <alignment horizontal="right" vertical="center"/>
    </xf>
    <xf numFmtId="0" fontId="1" fillId="0" borderId="6" xfId="0" applyFont="1" applyBorder="1" applyAlignment="1">
      <alignment horizontal="left" shrinkToFit="1"/>
    </xf>
    <xf numFmtId="0" fontId="16" fillId="0" borderId="0" xfId="0" applyFont="1"/>
    <xf numFmtId="0" fontId="0" fillId="0" borderId="0" xfId="0" applyFont="1"/>
    <xf numFmtId="0" fontId="18" fillId="0" borderId="0" xfId="0" applyFont="1" applyAlignment="1">
      <alignment horizontal="right"/>
    </xf>
    <xf numFmtId="0" fontId="0" fillId="6" borderId="0" xfId="0" applyFill="1"/>
    <xf numFmtId="0" fontId="16" fillId="6" borderId="0" xfId="0" applyFont="1" applyFill="1"/>
    <xf numFmtId="0" fontId="0" fillId="6" borderId="0" xfId="0" applyFill="1" applyAlignment="1">
      <alignment horizontal="right"/>
    </xf>
    <xf numFmtId="0" fontId="16" fillId="6" borderId="0" xfId="0" applyFont="1" applyFill="1" applyAlignment="1">
      <alignment horizontal="right"/>
    </xf>
    <xf numFmtId="0" fontId="0" fillId="6" borderId="0" xfId="0" applyFont="1" applyFill="1"/>
    <xf numFmtId="0" fontId="0" fillId="6" borderId="0" xfId="0" applyFont="1" applyFill="1" applyAlignment="1">
      <alignment horizontal="right"/>
    </xf>
    <xf numFmtId="0" fontId="17" fillId="6" borderId="0" xfId="0" applyFont="1" applyFill="1"/>
    <xf numFmtId="0" fontId="0" fillId="7" borderId="0" xfId="0" applyFill="1"/>
    <xf numFmtId="0" fontId="16" fillId="7" borderId="0" xfId="0" applyFont="1" applyFill="1"/>
    <xf numFmtId="0" fontId="0" fillId="7" borderId="0" xfId="0" applyFill="1" applyAlignment="1">
      <alignment horizontal="right"/>
    </xf>
    <xf numFmtId="0" fontId="16" fillId="7" borderId="0" xfId="0" applyFont="1" applyFill="1" applyAlignment="1">
      <alignment horizontal="right"/>
    </xf>
    <xf numFmtId="0" fontId="0" fillId="7" borderId="0" xfId="0" applyFont="1" applyFill="1"/>
    <xf numFmtId="0" fontId="0" fillId="7" borderId="0" xfId="0" applyFont="1" applyFill="1" applyAlignment="1">
      <alignment horizontal="right"/>
    </xf>
    <xf numFmtId="0" fontId="17" fillId="7" borderId="0" xfId="0" applyFont="1" applyFill="1"/>
    <xf numFmtId="0" fontId="19" fillId="4" borderId="0" xfId="0" applyFont="1" applyFill="1"/>
    <xf numFmtId="0" fontId="0" fillId="4" borderId="0" xfId="0" applyFill="1" applyAlignment="1">
      <alignment horizontal="right"/>
    </xf>
    <xf numFmtId="0" fontId="0" fillId="4" borderId="0" xfId="0" applyFill="1"/>
    <xf numFmtId="0" fontId="16" fillId="4" borderId="0" xfId="0" applyFont="1" applyFill="1"/>
    <xf numFmtId="0" fontId="20" fillId="4" borderId="0" xfId="0" applyFont="1" applyFill="1"/>
    <xf numFmtId="0" fontId="16" fillId="4" borderId="0" xfId="0" applyFont="1" applyFill="1" applyAlignment="1">
      <alignment horizontal="right"/>
    </xf>
    <xf numFmtId="0" fontId="0" fillId="4" borderId="0" xfId="0" applyFont="1" applyFill="1"/>
    <xf numFmtId="0" fontId="0" fillId="4" borderId="0" xfId="0" applyFont="1" applyFill="1" applyAlignment="1">
      <alignment horizontal="right"/>
    </xf>
    <xf numFmtId="0" fontId="17" fillId="4" borderId="0" xfId="0" applyFont="1" applyFill="1"/>
    <xf numFmtId="0" fontId="18" fillId="4" borderId="0" xfId="0" applyFont="1" applyFill="1" applyAlignment="1">
      <alignment horizontal="right"/>
    </xf>
    <xf numFmtId="0" fontId="21" fillId="6" borderId="0" xfId="0" applyFont="1" applyFill="1"/>
    <xf numFmtId="0" fontId="22" fillId="7" borderId="0" xfId="0" applyFont="1" applyFill="1"/>
    <xf numFmtId="0" fontId="23" fillId="6" borderId="0" xfId="0" applyFont="1" applyFill="1"/>
    <xf numFmtId="0" fontId="23" fillId="4" borderId="0" xfId="0" applyFont="1" applyFill="1"/>
    <xf numFmtId="0" fontId="23" fillId="7" borderId="0" xfId="0" applyFont="1" applyFill="1"/>
    <xf numFmtId="164" fontId="5" fillId="0" borderId="0" xfId="0" applyNumberFormat="1" applyFont="1" applyBorder="1"/>
    <xf numFmtId="164" fontId="5" fillId="4" borderId="0" xfId="0" applyNumberFormat="1" applyFont="1" applyFill="1" applyBorder="1"/>
    <xf numFmtId="164" fontId="3" fillId="0" borderId="8" xfId="0" applyNumberFormat="1" applyFont="1" applyBorder="1"/>
    <xf numFmtId="164" fontId="3" fillId="4" borderId="8" xfId="0" applyNumberFormat="1" applyFont="1" applyFill="1" applyBorder="1"/>
    <xf numFmtId="164" fontId="5" fillId="0" borderId="9" xfId="0" applyNumberFormat="1" applyFont="1" applyFill="1" applyBorder="1" applyAlignment="1">
      <alignment shrinkToFit="1"/>
    </xf>
    <xf numFmtId="164" fontId="4" fillId="4" borderId="9" xfId="0" applyNumberFormat="1" applyFont="1" applyFill="1" applyBorder="1" applyAlignment="1">
      <alignment horizontal="center" vertical="center" shrinkToFit="1"/>
    </xf>
    <xf numFmtId="164" fontId="4" fillId="0" borderId="9" xfId="0" applyNumberFormat="1" applyFont="1" applyFill="1" applyBorder="1" applyAlignment="1">
      <alignment horizontal="center" vertical="center" shrinkToFit="1"/>
    </xf>
    <xf numFmtId="164" fontId="5" fillId="4" borderId="9" xfId="0" applyNumberFormat="1" applyFont="1" applyFill="1" applyBorder="1" applyAlignment="1">
      <alignment shrinkToFit="1"/>
    </xf>
    <xf numFmtId="164" fontId="5" fillId="0" borderId="9" xfId="0" applyNumberFormat="1" applyFont="1" applyBorder="1" applyAlignment="1">
      <alignment shrinkToFit="1"/>
    </xf>
    <xf numFmtId="164" fontId="5" fillId="5" borderId="9" xfId="0" applyNumberFormat="1" applyFont="1" applyFill="1" applyBorder="1" applyAlignment="1">
      <alignment shrinkToFit="1"/>
    </xf>
    <xf numFmtId="164" fontId="6" fillId="5" borderId="9" xfId="0" applyNumberFormat="1" applyFont="1" applyFill="1" applyBorder="1" applyAlignment="1">
      <alignment shrinkToFit="1"/>
    </xf>
    <xf numFmtId="164" fontId="5" fillId="0" borderId="10" xfId="0" applyNumberFormat="1" applyFont="1" applyBorder="1" applyAlignment="1">
      <alignment shrinkToFit="1"/>
    </xf>
    <xf numFmtId="164" fontId="5" fillId="4" borderId="10" xfId="0" applyNumberFormat="1" applyFont="1" applyFill="1" applyBorder="1" applyAlignment="1">
      <alignment shrinkToFit="1"/>
    </xf>
    <xf numFmtId="164" fontId="1" fillId="0" borderId="0" xfId="0" applyNumberFormat="1" applyFont="1"/>
    <xf numFmtId="164" fontId="1" fillId="4" borderId="0" xfId="0" applyNumberFormat="1" applyFont="1" applyFill="1"/>
    <xf numFmtId="164" fontId="3" fillId="0" borderId="13" xfId="0" applyNumberFormat="1" applyFont="1" applyBorder="1"/>
    <xf numFmtId="164" fontId="3" fillId="4" borderId="13" xfId="0" applyNumberFormat="1" applyFont="1" applyFill="1" applyBorder="1"/>
    <xf numFmtId="164" fontId="3" fillId="0" borderId="9" xfId="0" applyNumberFormat="1" applyFont="1" applyBorder="1"/>
    <xf numFmtId="164" fontId="3" fillId="4" borderId="9" xfId="0" applyNumberFormat="1" applyFont="1" applyFill="1" applyBorder="1"/>
    <xf numFmtId="164" fontId="3" fillId="4" borderId="11" xfId="0" applyNumberFormat="1" applyFont="1" applyFill="1" applyBorder="1"/>
    <xf numFmtId="164" fontId="5" fillId="0" borderId="11" xfId="0" applyNumberFormat="1" applyFont="1" applyBorder="1" applyAlignment="1">
      <alignment horizontal="center" shrinkToFit="1"/>
    </xf>
    <xf numFmtId="164" fontId="3" fillId="4" borderId="14" xfId="0" applyNumberFormat="1" applyFont="1" applyFill="1" applyBorder="1"/>
    <xf numFmtId="164" fontId="5" fillId="4" borderId="11" xfId="0" applyNumberFormat="1" applyFont="1" applyFill="1" applyBorder="1" applyAlignment="1">
      <alignment shrinkToFit="1"/>
    </xf>
    <xf numFmtId="164" fontId="5" fillId="5" borderId="11" xfId="0" applyNumberFormat="1" applyFont="1" applyFill="1" applyBorder="1" applyAlignment="1">
      <alignment shrinkToFit="1"/>
    </xf>
    <xf numFmtId="164" fontId="6" fillId="5" borderId="11" xfId="0" applyNumberFormat="1" applyFont="1" applyFill="1" applyBorder="1" applyAlignment="1">
      <alignment shrinkToFit="1"/>
    </xf>
    <xf numFmtId="164" fontId="5" fillId="4" borderId="12" xfId="0" applyNumberFormat="1" applyFont="1" applyFill="1" applyBorder="1" applyAlignment="1">
      <alignment shrinkToFit="1"/>
    </xf>
    <xf numFmtId="164" fontId="1" fillId="4" borderId="0" xfId="0" applyNumberFormat="1" applyFont="1" applyFill="1" applyBorder="1"/>
    <xf numFmtId="164" fontId="5" fillId="0" borderId="11" xfId="0" applyNumberFormat="1" applyFont="1" applyBorder="1" applyAlignment="1">
      <alignment horizontal="center" shrinkToFit="1"/>
    </xf>
    <xf numFmtId="0" fontId="1" fillId="0" borderId="6" xfId="0" applyFont="1" applyBorder="1" applyAlignment="1">
      <alignment horizontal="left" shrinkToFit="1"/>
    </xf>
    <xf numFmtId="164" fontId="5" fillId="0" borderId="11" xfId="0" applyNumberFormat="1" applyFont="1" applyBorder="1" applyAlignment="1">
      <alignment horizontal="center" shrinkToFit="1"/>
    </xf>
    <xf numFmtId="0" fontId="1" fillId="0" borderId="6" xfId="0" applyFont="1" applyBorder="1" applyAlignment="1">
      <alignment horizontal="left" shrinkToFit="1"/>
    </xf>
    <xf numFmtId="1" fontId="25" fillId="4" borderId="0" xfId="0" applyNumberFormat="1" applyFont="1" applyFill="1"/>
    <xf numFmtId="0" fontId="26" fillId="6" borderId="0" xfId="0" applyFont="1" applyFill="1"/>
    <xf numFmtId="0" fontId="27" fillId="4" borderId="0" xfId="0" applyFont="1" applyFill="1"/>
    <xf numFmtId="0" fontId="28" fillId="0" borderId="0" xfId="0" applyFont="1" applyAlignment="1">
      <alignment horizontal="right"/>
    </xf>
    <xf numFmtId="9" fontId="17" fillId="0" borderId="0" xfId="1" applyFont="1"/>
    <xf numFmtId="9" fontId="23" fillId="0" borderId="0" xfId="1" applyFont="1"/>
    <xf numFmtId="164" fontId="5" fillId="0" borderId="9" xfId="0" applyNumberFormat="1" applyFont="1" applyBorder="1" applyAlignment="1">
      <alignment shrinkToFit="1"/>
    </xf>
    <xf numFmtId="164" fontId="5" fillId="0" borderId="9" xfId="0" applyNumberFormat="1" applyFont="1" applyBorder="1" applyAlignment="1">
      <alignment shrinkToFit="1"/>
    </xf>
    <xf numFmtId="164" fontId="5" fillId="0" borderId="9" xfId="0" applyNumberFormat="1" applyFont="1" applyBorder="1" applyAlignment="1">
      <alignment shrinkToFit="1"/>
    </xf>
    <xf numFmtId="164" fontId="5" fillId="0" borderId="9" xfId="0" applyNumberFormat="1" applyFont="1" applyBorder="1" applyAlignment="1">
      <alignment shrinkToFit="1"/>
    </xf>
    <xf numFmtId="0" fontId="1" fillId="0" borderId="2" xfId="0" applyFont="1" applyFill="1" applyBorder="1" applyAlignment="1">
      <alignment horizontal="right" vertical="center" shrinkToFit="1"/>
    </xf>
    <xf numFmtId="0" fontId="29" fillId="0" borderId="6" xfId="0" applyFont="1" applyFill="1" applyBorder="1" applyAlignment="1">
      <alignment horizontal="left" vertical="center" shrinkToFit="1"/>
    </xf>
    <xf numFmtId="0" fontId="30" fillId="4" borderId="0" xfId="0" applyFont="1" applyFill="1" applyAlignment="1">
      <alignment horizontal="right"/>
    </xf>
    <xf numFmtId="0" fontId="30" fillId="6" borderId="0" xfId="0" applyFont="1" applyFill="1" applyAlignment="1">
      <alignment horizontal="right"/>
    </xf>
    <xf numFmtId="20" fontId="0" fillId="0" borderId="0" xfId="0" applyNumberFormat="1" applyAlignment="1">
      <alignment vertical="center"/>
    </xf>
    <xf numFmtId="164" fontId="5" fillId="0" borderId="11" xfId="0" applyNumberFormat="1" applyFont="1" applyBorder="1" applyAlignment="1">
      <alignment horizontal="center" shrinkToFit="1"/>
    </xf>
    <xf numFmtId="0" fontId="1" fillId="0" borderId="6" xfId="0" applyFont="1" applyBorder="1" applyAlignment="1">
      <alignment horizontal="left" shrinkToFit="1"/>
    </xf>
    <xf numFmtId="1" fontId="0" fillId="0" borderId="0" xfId="0" applyNumberFormat="1" applyAlignment="1">
      <alignment vertical="center"/>
    </xf>
    <xf numFmtId="0" fontId="1" fillId="0" borderId="6" xfId="0" applyFont="1" applyBorder="1" applyAlignment="1">
      <alignment horizontal="left" shrinkToFit="1"/>
    </xf>
    <xf numFmtId="164" fontId="5" fillId="0" borderId="9" xfId="0" applyNumberFormat="1" applyFont="1" applyBorder="1" applyAlignment="1">
      <alignment horizontal="center" shrinkToFit="1"/>
    </xf>
    <xf numFmtId="164" fontId="5" fillId="0" borderId="11" xfId="0" applyNumberFormat="1" applyFont="1" applyBorder="1" applyAlignment="1">
      <alignment horizontal="center" shrinkToFit="1"/>
    </xf>
    <xf numFmtId="164" fontId="15" fillId="0" borderId="9" xfId="0" applyNumberFormat="1" applyFont="1" applyBorder="1" applyAlignment="1">
      <alignment horizontal="center" shrinkToFit="1"/>
    </xf>
    <xf numFmtId="164" fontId="15" fillId="0" borderId="11" xfId="0" applyNumberFormat="1" applyFont="1" applyBorder="1" applyAlignment="1">
      <alignment horizontal="center" shrinkToFit="1"/>
    </xf>
    <xf numFmtId="164" fontId="5" fillId="0" borderId="9" xfId="0" applyNumberFormat="1" applyFont="1" applyFill="1" applyBorder="1" applyAlignment="1">
      <alignment horizontal="center" shrinkToFit="1"/>
    </xf>
    <xf numFmtId="164" fontId="5" fillId="0" borderId="11" xfId="0" applyNumberFormat="1" applyFont="1" applyFill="1" applyBorder="1" applyAlignment="1">
      <alignment horizontal="center" shrinkToFit="1"/>
    </xf>
    <xf numFmtId="0" fontId="1" fillId="0" borderId="6" xfId="0" applyFont="1" applyBorder="1" applyAlignment="1">
      <alignment horizontal="left" shrinkToFit="1"/>
    </xf>
    <xf numFmtId="0" fontId="1" fillId="0" borderId="9" xfId="0" applyFont="1" applyBorder="1" applyAlignment="1">
      <alignment horizontal="left" shrinkToFit="1"/>
    </xf>
    <xf numFmtId="0" fontId="1" fillId="0" borderId="11" xfId="0" applyFont="1" applyBorder="1" applyAlignment="1">
      <alignment horizontal="left" shrinkToFit="1"/>
    </xf>
    <xf numFmtId="164" fontId="5" fillId="0" borderId="9" xfId="0" applyNumberFormat="1" applyFont="1" applyBorder="1" applyAlignment="1">
      <alignment horizontal="center" vertical="center" shrinkToFit="1"/>
    </xf>
    <xf numFmtId="164" fontId="5" fillId="0" borderId="1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wrapText="1"/>
    </xf>
    <xf numFmtId="0" fontId="0" fillId="0" borderId="15" xfId="0" applyBorder="1"/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shrinkToFit="1"/>
    </xf>
    <xf numFmtId="0" fontId="5" fillId="0" borderId="11" xfId="0" applyFont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1" xfId="0" applyFont="1" applyFill="1" applyBorder="1" applyAlignment="1">
      <alignment horizontal="center" shrinkToFit="1"/>
    </xf>
    <xf numFmtId="0" fontId="15" fillId="0" borderId="9" xfId="0" applyFont="1" applyBorder="1" applyAlignment="1">
      <alignment horizontal="center" shrinkToFit="1"/>
    </xf>
    <xf numFmtId="0" fontId="15" fillId="0" borderId="11" xfId="0" applyFont="1" applyBorder="1" applyAlignment="1">
      <alignment horizontal="center" shrinkToFit="1"/>
    </xf>
    <xf numFmtId="0" fontId="5" fillId="0" borderId="9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16" fillId="4" borderId="0" xfId="0" applyFont="1" applyFill="1" applyAlignment="1">
      <alignment horizontal="left" wrapText="1"/>
    </xf>
  </cellXfs>
  <cellStyles count="2">
    <cellStyle name="Normal" xfId="0" builtinId="0"/>
    <cellStyle name="Percent" xfId="1" builtinId="5"/>
  </cellStyles>
  <dxfs count="7085"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b val="0"/>
        <i/>
        <color rgb="FF0070C0"/>
      </font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 patternType="darkHorizontal">
          <fgColor rgb="FF00B050"/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ont>
        <color theme="1" tint="0.499984740745262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  <dxf>
      <fill>
        <patternFill>
          <bgColor theme="0" tint="-0.24994659260841701"/>
        </patternFill>
      </fill>
    </dxf>
    <dxf>
      <fill>
        <gradientFill degree="90">
          <stop position="0">
            <color theme="0"/>
          </stop>
          <stop position="1">
            <color rgb="FF1AF24D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1" tint="0.14996795556505021"/>
        </patternFill>
      </fill>
    </dxf>
  </dxfs>
  <tableStyles count="0" defaultTableStyle="TableStyleMedium9" defaultPivotStyle="PivotStyleLight16"/>
  <colors>
    <mruColors>
      <color rgb="FF1AF2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43</xdr:row>
      <xdr:rowOff>85725</xdr:rowOff>
    </xdr:from>
    <xdr:to>
      <xdr:col>2</xdr:col>
      <xdr:colOff>595050</xdr:colOff>
      <xdr:row>43</xdr:row>
      <xdr:rowOff>85726</xdr:rowOff>
    </xdr:to>
    <xdr:cxnSp macro="">
      <xdr:nvCxnSpPr>
        <xdr:cNvPr id="2" name="Gerade Verbindung 1"/>
        <xdr:cNvCxnSpPr/>
      </xdr:nvCxnSpPr>
      <xdr:spPr>
        <a:xfrm flipV="1">
          <a:off x="560070" y="7439025"/>
          <a:ext cx="576000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42</xdr:row>
      <xdr:rowOff>85725</xdr:rowOff>
    </xdr:from>
    <xdr:to>
      <xdr:col>2</xdr:col>
      <xdr:colOff>609600</xdr:colOff>
      <xdr:row>42</xdr:row>
      <xdr:rowOff>85725</xdr:rowOff>
    </xdr:to>
    <xdr:cxnSp macro="">
      <xdr:nvCxnSpPr>
        <xdr:cNvPr id="3" name="Gerade Verbindung 2"/>
        <xdr:cNvCxnSpPr/>
      </xdr:nvCxnSpPr>
      <xdr:spPr>
        <a:xfrm>
          <a:off x="569595" y="7263765"/>
          <a:ext cx="581025" cy="0"/>
        </a:xfrm>
        <a:prstGeom prst="line">
          <a:avLst/>
        </a:prstGeom>
        <a:ln w="15875">
          <a:solidFill>
            <a:srgbClr val="FF0000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44</xdr:row>
      <xdr:rowOff>76200</xdr:rowOff>
    </xdr:from>
    <xdr:to>
      <xdr:col>2</xdr:col>
      <xdr:colOff>628650</xdr:colOff>
      <xdr:row>44</xdr:row>
      <xdr:rowOff>76200</xdr:rowOff>
    </xdr:to>
    <xdr:cxnSp macro="">
      <xdr:nvCxnSpPr>
        <xdr:cNvPr id="4" name="Gerade Verbindung 3"/>
        <xdr:cNvCxnSpPr/>
      </xdr:nvCxnSpPr>
      <xdr:spPr>
        <a:xfrm>
          <a:off x="550545" y="7604760"/>
          <a:ext cx="619125" cy="0"/>
        </a:xfrm>
        <a:prstGeom prst="line">
          <a:avLst/>
        </a:prstGeom>
        <a:ln w="15875">
          <a:solidFill>
            <a:srgbClr val="00863D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43</xdr:row>
      <xdr:rowOff>85725</xdr:rowOff>
    </xdr:from>
    <xdr:to>
      <xdr:col>2</xdr:col>
      <xdr:colOff>595050</xdr:colOff>
      <xdr:row>43</xdr:row>
      <xdr:rowOff>85726</xdr:rowOff>
    </xdr:to>
    <xdr:cxnSp macro="">
      <xdr:nvCxnSpPr>
        <xdr:cNvPr id="2" name="Gerade Verbindung 1"/>
        <xdr:cNvCxnSpPr/>
      </xdr:nvCxnSpPr>
      <xdr:spPr>
        <a:xfrm flipV="1">
          <a:off x="560070" y="7431405"/>
          <a:ext cx="576000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42</xdr:row>
      <xdr:rowOff>85725</xdr:rowOff>
    </xdr:from>
    <xdr:to>
      <xdr:col>2</xdr:col>
      <xdr:colOff>609600</xdr:colOff>
      <xdr:row>42</xdr:row>
      <xdr:rowOff>85725</xdr:rowOff>
    </xdr:to>
    <xdr:cxnSp macro="">
      <xdr:nvCxnSpPr>
        <xdr:cNvPr id="3" name="Gerade Verbindung 2"/>
        <xdr:cNvCxnSpPr/>
      </xdr:nvCxnSpPr>
      <xdr:spPr>
        <a:xfrm>
          <a:off x="569595" y="7256145"/>
          <a:ext cx="581025" cy="0"/>
        </a:xfrm>
        <a:prstGeom prst="line">
          <a:avLst/>
        </a:prstGeom>
        <a:ln w="15875">
          <a:solidFill>
            <a:srgbClr val="FF0000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44</xdr:row>
      <xdr:rowOff>76200</xdr:rowOff>
    </xdr:from>
    <xdr:to>
      <xdr:col>2</xdr:col>
      <xdr:colOff>628650</xdr:colOff>
      <xdr:row>44</xdr:row>
      <xdr:rowOff>76200</xdr:rowOff>
    </xdr:to>
    <xdr:cxnSp macro="">
      <xdr:nvCxnSpPr>
        <xdr:cNvPr id="4" name="Gerade Verbindung 3"/>
        <xdr:cNvCxnSpPr/>
      </xdr:nvCxnSpPr>
      <xdr:spPr>
        <a:xfrm>
          <a:off x="550545" y="7597140"/>
          <a:ext cx="619125" cy="0"/>
        </a:xfrm>
        <a:prstGeom prst="line">
          <a:avLst/>
        </a:prstGeom>
        <a:ln w="15875">
          <a:solidFill>
            <a:srgbClr val="00863D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43</xdr:row>
      <xdr:rowOff>85725</xdr:rowOff>
    </xdr:from>
    <xdr:to>
      <xdr:col>2</xdr:col>
      <xdr:colOff>595050</xdr:colOff>
      <xdr:row>43</xdr:row>
      <xdr:rowOff>85726</xdr:rowOff>
    </xdr:to>
    <xdr:cxnSp macro="">
      <xdr:nvCxnSpPr>
        <xdr:cNvPr id="2" name="Gerade Verbindung 1"/>
        <xdr:cNvCxnSpPr/>
      </xdr:nvCxnSpPr>
      <xdr:spPr>
        <a:xfrm flipV="1">
          <a:off x="560070" y="7431405"/>
          <a:ext cx="576000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42</xdr:row>
      <xdr:rowOff>85725</xdr:rowOff>
    </xdr:from>
    <xdr:to>
      <xdr:col>2</xdr:col>
      <xdr:colOff>609600</xdr:colOff>
      <xdr:row>42</xdr:row>
      <xdr:rowOff>85725</xdr:rowOff>
    </xdr:to>
    <xdr:cxnSp macro="">
      <xdr:nvCxnSpPr>
        <xdr:cNvPr id="3" name="Gerade Verbindung 2"/>
        <xdr:cNvCxnSpPr/>
      </xdr:nvCxnSpPr>
      <xdr:spPr>
        <a:xfrm>
          <a:off x="569595" y="7256145"/>
          <a:ext cx="581025" cy="0"/>
        </a:xfrm>
        <a:prstGeom prst="line">
          <a:avLst/>
        </a:prstGeom>
        <a:ln w="15875">
          <a:solidFill>
            <a:srgbClr val="FF0000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44</xdr:row>
      <xdr:rowOff>76200</xdr:rowOff>
    </xdr:from>
    <xdr:to>
      <xdr:col>2</xdr:col>
      <xdr:colOff>628650</xdr:colOff>
      <xdr:row>44</xdr:row>
      <xdr:rowOff>76200</xdr:rowOff>
    </xdr:to>
    <xdr:cxnSp macro="">
      <xdr:nvCxnSpPr>
        <xdr:cNvPr id="4" name="Gerade Verbindung 3"/>
        <xdr:cNvCxnSpPr/>
      </xdr:nvCxnSpPr>
      <xdr:spPr>
        <a:xfrm>
          <a:off x="550545" y="7597140"/>
          <a:ext cx="619125" cy="0"/>
        </a:xfrm>
        <a:prstGeom prst="line">
          <a:avLst/>
        </a:prstGeom>
        <a:ln w="15875">
          <a:solidFill>
            <a:srgbClr val="00863D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43</xdr:row>
      <xdr:rowOff>85725</xdr:rowOff>
    </xdr:from>
    <xdr:to>
      <xdr:col>2</xdr:col>
      <xdr:colOff>595050</xdr:colOff>
      <xdr:row>43</xdr:row>
      <xdr:rowOff>85726</xdr:rowOff>
    </xdr:to>
    <xdr:cxnSp macro="">
      <xdr:nvCxnSpPr>
        <xdr:cNvPr id="2" name="Gerade Verbindung 1"/>
        <xdr:cNvCxnSpPr/>
      </xdr:nvCxnSpPr>
      <xdr:spPr>
        <a:xfrm flipV="1">
          <a:off x="542925" y="7067550"/>
          <a:ext cx="576000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42</xdr:row>
      <xdr:rowOff>85725</xdr:rowOff>
    </xdr:from>
    <xdr:to>
      <xdr:col>2</xdr:col>
      <xdr:colOff>609600</xdr:colOff>
      <xdr:row>42</xdr:row>
      <xdr:rowOff>85725</xdr:rowOff>
    </xdr:to>
    <xdr:cxnSp macro="">
      <xdr:nvCxnSpPr>
        <xdr:cNvPr id="3" name="Gerade Verbindung 2"/>
        <xdr:cNvCxnSpPr/>
      </xdr:nvCxnSpPr>
      <xdr:spPr>
        <a:xfrm>
          <a:off x="552450" y="6905625"/>
          <a:ext cx="581025" cy="0"/>
        </a:xfrm>
        <a:prstGeom prst="line">
          <a:avLst/>
        </a:prstGeom>
        <a:ln w="15875">
          <a:solidFill>
            <a:srgbClr val="FF0000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44</xdr:row>
      <xdr:rowOff>76200</xdr:rowOff>
    </xdr:from>
    <xdr:to>
      <xdr:col>2</xdr:col>
      <xdr:colOff>628650</xdr:colOff>
      <xdr:row>44</xdr:row>
      <xdr:rowOff>76200</xdr:rowOff>
    </xdr:to>
    <xdr:cxnSp macro="">
      <xdr:nvCxnSpPr>
        <xdr:cNvPr id="4" name="Gerade Verbindung 3"/>
        <xdr:cNvCxnSpPr/>
      </xdr:nvCxnSpPr>
      <xdr:spPr>
        <a:xfrm>
          <a:off x="533400" y="7219950"/>
          <a:ext cx="619125" cy="0"/>
        </a:xfrm>
        <a:prstGeom prst="line">
          <a:avLst/>
        </a:prstGeom>
        <a:ln w="15875">
          <a:solidFill>
            <a:srgbClr val="00863D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292100</xdr:colOff>
      <xdr:row>0</xdr:row>
      <xdr:rowOff>25400</xdr:rowOff>
    </xdr:from>
    <xdr:to>
      <xdr:col>8</xdr:col>
      <xdr:colOff>266700</xdr:colOff>
      <xdr:row>1</xdr:row>
      <xdr:rowOff>177800</xdr:rowOff>
    </xdr:to>
    <xdr:sp macro="" textlink="">
      <xdr:nvSpPr>
        <xdr:cNvPr id="3073" name="CommandButton1" hidden="1">
          <a:extLst>
            <a:ext uri="{63B3BB69-23CF-44E3-9099-C40C66FF867C}">
              <a14:compatExt xmlns:a14="http://schemas.microsoft.com/office/drawing/2010/main" spid="_x0000_s30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292100</xdr:colOff>
      <xdr:row>0</xdr:row>
      <xdr:rowOff>25400</xdr:rowOff>
    </xdr:from>
    <xdr:to>
      <xdr:col>8</xdr:col>
      <xdr:colOff>266700</xdr:colOff>
      <xdr:row>1</xdr:row>
      <xdr:rowOff>177800</xdr:rowOff>
    </xdr:to>
    <xdr:pic macro="[0]!DefHeaderFooter">
      <xdr:nvPicPr>
        <xdr:cNvPr id="2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2400" y="25400"/>
          <a:ext cx="1727200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43</xdr:row>
      <xdr:rowOff>85725</xdr:rowOff>
    </xdr:from>
    <xdr:to>
      <xdr:col>2</xdr:col>
      <xdr:colOff>595050</xdr:colOff>
      <xdr:row>43</xdr:row>
      <xdr:rowOff>85726</xdr:rowOff>
    </xdr:to>
    <xdr:cxnSp macro="">
      <xdr:nvCxnSpPr>
        <xdr:cNvPr id="86" name="Gerade Verbindung 85"/>
        <xdr:cNvCxnSpPr/>
      </xdr:nvCxnSpPr>
      <xdr:spPr>
        <a:xfrm flipV="1">
          <a:off x="447675" y="7277100"/>
          <a:ext cx="576000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42</xdr:row>
      <xdr:rowOff>85725</xdr:rowOff>
    </xdr:from>
    <xdr:to>
      <xdr:col>2</xdr:col>
      <xdr:colOff>609600</xdr:colOff>
      <xdr:row>42</xdr:row>
      <xdr:rowOff>85725</xdr:rowOff>
    </xdr:to>
    <xdr:cxnSp macro="">
      <xdr:nvCxnSpPr>
        <xdr:cNvPr id="90" name="Gerade Verbindung 89"/>
        <xdr:cNvCxnSpPr/>
      </xdr:nvCxnSpPr>
      <xdr:spPr>
        <a:xfrm>
          <a:off x="457200" y="7115175"/>
          <a:ext cx="581025" cy="0"/>
        </a:xfrm>
        <a:prstGeom prst="line">
          <a:avLst/>
        </a:prstGeom>
        <a:ln w="15875">
          <a:solidFill>
            <a:srgbClr val="FF0000"/>
          </a:solidFill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44</xdr:row>
      <xdr:rowOff>76200</xdr:rowOff>
    </xdr:from>
    <xdr:to>
      <xdr:col>2</xdr:col>
      <xdr:colOff>628650</xdr:colOff>
      <xdr:row>44</xdr:row>
      <xdr:rowOff>76200</xdr:rowOff>
    </xdr:to>
    <xdr:cxnSp macro="">
      <xdr:nvCxnSpPr>
        <xdr:cNvPr id="22" name="Gerade Verbindung 21"/>
        <xdr:cNvCxnSpPr/>
      </xdr:nvCxnSpPr>
      <xdr:spPr>
        <a:xfrm>
          <a:off x="438150" y="7429500"/>
          <a:ext cx="619125" cy="0"/>
        </a:xfrm>
        <a:prstGeom prst="line">
          <a:avLst/>
        </a:prstGeom>
        <a:ln w="15875">
          <a:solidFill>
            <a:srgbClr val="00863D"/>
          </a:solidFill>
          <a:prstDash val="sys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 enableFormatConditionsCalculation="0">
    <pageSetUpPr fitToPage="1"/>
  </sheetPr>
  <dimension ref="A1:CS47"/>
  <sheetViews>
    <sheetView topLeftCell="A2" zoomScale="75" zoomScaleNormal="75" zoomScalePageLayoutView="75" workbookViewId="0">
      <selection activeCell="AQ26" sqref="AQ26"/>
    </sheetView>
  </sheetViews>
  <sheetFormatPr baseColWidth="10" defaultColWidth="11.5" defaultRowHeight="14" x14ac:dyDescent="0.2"/>
  <cols>
    <col min="1" max="1" width="4.83203125" style="1" bestFit="1" customWidth="1"/>
    <col min="2" max="2" width="3" style="1" bestFit="1" customWidth="1"/>
    <col min="3" max="3" width="9.83203125" style="75" customWidth="1"/>
    <col min="4" max="4" width="0.1640625" style="117" customWidth="1"/>
    <col min="5" max="5" width="0.1640625" style="118" customWidth="1"/>
    <col min="6" max="6" width="0.1640625" style="117" customWidth="1"/>
    <col min="7" max="7" width="0.1640625" style="118" customWidth="1"/>
    <col min="8" max="8" width="0.1640625" style="117" customWidth="1"/>
    <col min="9" max="9" width="0.1640625" style="118" customWidth="1"/>
    <col min="10" max="10" width="3" style="1" bestFit="1" customWidth="1"/>
    <col min="11" max="11" width="9.83203125" style="75" customWidth="1"/>
    <col min="12" max="12" width="0.1640625" style="117" customWidth="1"/>
    <col min="13" max="13" width="0.1640625" style="118" customWidth="1"/>
    <col min="14" max="14" width="0.1640625" style="117" customWidth="1"/>
    <col min="15" max="15" width="0.1640625" style="118" customWidth="1"/>
    <col min="16" max="16" width="0.1640625" style="117" customWidth="1"/>
    <col min="17" max="17" width="0.1640625" style="118" customWidth="1"/>
    <col min="18" max="18" width="3" style="1" bestFit="1" customWidth="1"/>
    <col min="19" max="19" width="9.83203125" style="75" customWidth="1"/>
    <col min="20" max="20" width="0.1640625" style="117" customWidth="1"/>
    <col min="21" max="21" width="0.1640625" style="118" customWidth="1"/>
    <col min="22" max="22" width="0.1640625" style="117" customWidth="1"/>
    <col min="23" max="23" width="0.1640625" style="118" customWidth="1"/>
    <col min="24" max="24" width="0.1640625" style="117" customWidth="1"/>
    <col min="25" max="25" width="0.1640625" style="118" customWidth="1"/>
    <col min="26" max="26" width="3" style="1" bestFit="1" customWidth="1"/>
    <col min="27" max="27" width="9.83203125" style="75" customWidth="1"/>
    <col min="28" max="28" width="0.1640625" style="117" customWidth="1"/>
    <col min="29" max="29" width="0.1640625" style="118" customWidth="1"/>
    <col min="30" max="30" width="0.1640625" style="117" customWidth="1"/>
    <col min="31" max="31" width="0.1640625" style="118" customWidth="1"/>
    <col min="32" max="32" width="0.1640625" style="117" customWidth="1"/>
    <col min="33" max="33" width="0.1640625" style="118" customWidth="1"/>
    <col min="34" max="34" width="3" style="1" bestFit="1" customWidth="1"/>
    <col min="35" max="35" width="9.83203125" style="75" customWidth="1"/>
    <col min="36" max="36" width="0.1640625" style="117" customWidth="1"/>
    <col min="37" max="37" width="0.1640625" style="118" customWidth="1"/>
    <col min="38" max="38" width="0.1640625" style="117" customWidth="1"/>
    <col min="39" max="39" width="0.1640625" style="118" customWidth="1"/>
    <col min="40" max="40" width="0.1640625" style="117" customWidth="1"/>
    <col min="41" max="41" width="0.1640625" style="118" customWidth="1"/>
    <col min="42" max="42" width="3" style="1" bestFit="1" customWidth="1"/>
    <col min="43" max="43" width="9.83203125" style="75" customWidth="1"/>
    <col min="44" max="44" width="0.1640625" style="117" customWidth="1"/>
    <col min="45" max="45" width="0.1640625" style="118" customWidth="1"/>
    <col min="46" max="46" width="0.1640625" style="117" customWidth="1"/>
    <col min="47" max="47" width="0.1640625" style="118" customWidth="1"/>
    <col min="48" max="48" width="0.1640625" style="117" customWidth="1"/>
    <col min="49" max="49" width="0.1640625" style="118" customWidth="1"/>
    <col min="50" max="50" width="3" style="1" bestFit="1" customWidth="1"/>
    <col min="51" max="51" width="9.83203125" style="75" customWidth="1"/>
    <col min="52" max="52" width="0.1640625" style="117" customWidth="1"/>
    <col min="53" max="53" width="0.1640625" style="118" customWidth="1"/>
    <col min="54" max="54" width="0.1640625" style="117" customWidth="1"/>
    <col min="55" max="55" width="0.1640625" style="118" customWidth="1"/>
    <col min="56" max="56" width="0.1640625" style="117" customWidth="1"/>
    <col min="57" max="57" width="0.1640625" style="118" customWidth="1"/>
    <col min="58" max="58" width="3.1640625" style="3" bestFit="1" customWidth="1"/>
    <col min="59" max="59" width="9.83203125" style="80" customWidth="1"/>
    <col min="60" max="60" width="0.1640625" style="117" customWidth="1"/>
    <col min="61" max="61" width="0.1640625" style="118" customWidth="1"/>
    <col min="62" max="62" width="0.1640625" style="117" customWidth="1"/>
    <col min="63" max="63" width="0.1640625" style="118" customWidth="1"/>
    <col min="64" max="64" width="0.1640625" style="117" customWidth="1"/>
    <col min="65" max="65" width="0.1640625" style="118" customWidth="1"/>
    <col min="66" max="66" width="3" style="1" bestFit="1" customWidth="1"/>
    <col min="67" max="67" width="9.83203125" style="75" customWidth="1"/>
    <col min="68" max="68" width="0.1640625" style="117" customWidth="1"/>
    <col min="69" max="69" width="0.1640625" style="118" customWidth="1"/>
    <col min="70" max="70" width="0.1640625" style="117" customWidth="1"/>
    <col min="71" max="71" width="0.1640625" style="118" customWidth="1"/>
    <col min="72" max="72" width="0.1640625" style="117" customWidth="1"/>
    <col min="73" max="73" width="0.1640625" style="118" customWidth="1"/>
    <col min="74" max="74" width="3.1640625" style="1" bestFit="1" customWidth="1"/>
    <col min="75" max="75" width="9.83203125" style="75" customWidth="1"/>
    <col min="76" max="76" width="0.1640625" style="117" customWidth="1"/>
    <col min="77" max="77" width="0.1640625" style="118" customWidth="1"/>
    <col min="78" max="78" width="0.1640625" style="117" customWidth="1"/>
    <col min="79" max="79" width="0.1640625" style="118" customWidth="1"/>
    <col min="80" max="80" width="0.1640625" style="117" customWidth="1"/>
    <col min="81" max="81" width="0.1640625" style="118" customWidth="1"/>
    <col min="82" max="82" width="3" style="1" bestFit="1" customWidth="1"/>
    <col min="83" max="83" width="9.83203125" style="75" customWidth="1"/>
    <col min="84" max="84" width="0.1640625" style="117" customWidth="1"/>
    <col min="85" max="85" width="0.1640625" style="118" customWidth="1"/>
    <col min="86" max="86" width="0.1640625" style="117" customWidth="1"/>
    <col min="87" max="87" width="0.1640625" style="118" customWidth="1"/>
    <col min="88" max="88" width="0.1640625" style="117" customWidth="1"/>
    <col min="89" max="89" width="0.1640625" style="118" customWidth="1"/>
    <col min="90" max="90" width="3" style="1" bestFit="1" customWidth="1"/>
    <col min="91" max="91" width="9.83203125" style="75" customWidth="1"/>
    <col min="92" max="92" width="0.1640625" style="117" customWidth="1"/>
    <col min="93" max="93" width="0.1640625" style="118" customWidth="1"/>
    <col min="94" max="94" width="0.1640625" style="117" customWidth="1"/>
    <col min="95" max="95" width="0.1640625" style="118" customWidth="1"/>
    <col min="96" max="96" width="0.1640625" style="117" customWidth="1"/>
    <col min="97" max="97" width="0.1640625" style="118" customWidth="1"/>
    <col min="98" max="16384" width="11.5" style="1"/>
  </cols>
  <sheetData>
    <row r="1" spans="1:97" hidden="1" x14ac:dyDescent="0.2">
      <c r="A1" s="1">
        <v>5</v>
      </c>
      <c r="C1" s="75">
        <v>0</v>
      </c>
      <c r="K1" s="75">
        <v>31</v>
      </c>
      <c r="S1" s="75">
        <v>59</v>
      </c>
      <c r="AA1" s="75">
        <v>90</v>
      </c>
      <c r="AI1" s="75">
        <v>120</v>
      </c>
      <c r="AQ1" s="75">
        <v>151</v>
      </c>
      <c r="AY1" s="75">
        <v>181</v>
      </c>
      <c r="BG1" s="80">
        <v>212</v>
      </c>
      <c r="BO1" s="75">
        <v>243</v>
      </c>
      <c r="BW1" s="75">
        <v>273</v>
      </c>
      <c r="CE1" s="75">
        <v>304</v>
      </c>
      <c r="CM1" s="75">
        <v>334</v>
      </c>
    </row>
    <row r="2" spans="1:97" ht="15" customHeight="1" x14ac:dyDescent="0.2">
      <c r="A2" s="5"/>
      <c r="B2" s="180" t="s">
        <v>0</v>
      </c>
      <c r="C2" s="179"/>
      <c r="D2" s="119"/>
      <c r="E2" s="120"/>
      <c r="F2" s="119"/>
      <c r="G2" s="120"/>
      <c r="H2" s="119"/>
      <c r="I2" s="120"/>
      <c r="J2" s="178" t="s">
        <v>9</v>
      </c>
      <c r="K2" s="179"/>
      <c r="L2" s="132"/>
      <c r="M2" s="133"/>
      <c r="N2" s="132"/>
      <c r="O2" s="133"/>
      <c r="P2" s="132"/>
      <c r="Q2" s="133"/>
      <c r="R2" s="181" t="s">
        <v>10</v>
      </c>
      <c r="S2" s="182"/>
      <c r="T2" s="132"/>
      <c r="U2" s="133"/>
      <c r="V2" s="132"/>
      <c r="W2" s="133"/>
      <c r="X2" s="132"/>
      <c r="Y2" s="133"/>
      <c r="Z2" s="181" t="s">
        <v>11</v>
      </c>
      <c r="AA2" s="182"/>
      <c r="AB2" s="132"/>
      <c r="AC2" s="133"/>
      <c r="AD2" s="132"/>
      <c r="AE2" s="133"/>
      <c r="AF2" s="132"/>
      <c r="AG2" s="133"/>
      <c r="AH2" s="178" t="s">
        <v>13</v>
      </c>
      <c r="AI2" s="179"/>
      <c r="AJ2" s="132"/>
      <c r="AK2" s="133"/>
      <c r="AL2" s="132"/>
      <c r="AM2" s="133"/>
      <c r="AN2" s="132"/>
      <c r="AO2" s="133"/>
      <c r="AP2" s="178" t="s">
        <v>15</v>
      </c>
      <c r="AQ2" s="179"/>
      <c r="AR2" s="132"/>
      <c r="AS2" s="133"/>
      <c r="AT2" s="132"/>
      <c r="AU2" s="133"/>
      <c r="AV2" s="132"/>
      <c r="AW2" s="133"/>
      <c r="AX2" s="181" t="s">
        <v>17</v>
      </c>
      <c r="AY2" s="182"/>
      <c r="AZ2" s="132"/>
      <c r="BA2" s="133"/>
      <c r="BB2" s="132"/>
      <c r="BC2" s="133"/>
      <c r="BD2" s="132"/>
      <c r="BE2" s="133"/>
      <c r="BF2" s="181" t="s">
        <v>18</v>
      </c>
      <c r="BG2" s="182"/>
      <c r="BH2" s="132"/>
      <c r="BI2" s="133"/>
      <c r="BJ2" s="132"/>
      <c r="BK2" s="133"/>
      <c r="BL2" s="132"/>
      <c r="BM2" s="133"/>
      <c r="BN2" s="178" t="s">
        <v>19</v>
      </c>
      <c r="BO2" s="179"/>
      <c r="BP2" s="132"/>
      <c r="BQ2" s="133"/>
      <c r="BR2" s="132"/>
      <c r="BS2" s="133"/>
      <c r="BT2" s="132"/>
      <c r="BU2" s="133"/>
      <c r="BV2" s="178" t="s">
        <v>20</v>
      </c>
      <c r="BW2" s="179"/>
      <c r="BX2" s="132"/>
      <c r="BY2" s="133"/>
      <c r="BZ2" s="132"/>
      <c r="CA2" s="133"/>
      <c r="CB2" s="132"/>
      <c r="CC2" s="133"/>
      <c r="CD2" s="178" t="s">
        <v>21</v>
      </c>
      <c r="CE2" s="179"/>
      <c r="CF2" s="132"/>
      <c r="CG2" s="133"/>
      <c r="CH2" s="132"/>
      <c r="CI2" s="133"/>
      <c r="CJ2" s="132"/>
      <c r="CK2" s="133"/>
      <c r="CL2" s="178" t="s">
        <v>22</v>
      </c>
      <c r="CM2" s="179"/>
      <c r="CN2" s="132"/>
      <c r="CO2" s="133"/>
      <c r="CP2" s="132"/>
      <c r="CQ2" s="133"/>
      <c r="CR2" s="132"/>
      <c r="CS2" s="138"/>
    </row>
    <row r="3" spans="1:97" s="2" customFormat="1" ht="14.5" customHeight="1" x14ac:dyDescent="0.2">
      <c r="A3" s="6" t="s">
        <v>25</v>
      </c>
      <c r="B3" s="7"/>
      <c r="C3" s="147" t="s">
        <v>77</v>
      </c>
      <c r="D3" s="176">
        <v>1</v>
      </c>
      <c r="E3" s="176"/>
      <c r="F3" s="176"/>
      <c r="G3" s="176"/>
      <c r="H3" s="176"/>
      <c r="I3" s="177"/>
      <c r="J3" s="17"/>
      <c r="K3" s="147" t="s">
        <v>77</v>
      </c>
      <c r="L3" s="134"/>
      <c r="M3" s="135"/>
      <c r="N3" s="134"/>
      <c r="O3" s="135"/>
      <c r="P3" s="134"/>
      <c r="Q3" s="136"/>
      <c r="R3" s="17"/>
      <c r="S3" s="147" t="s">
        <v>77</v>
      </c>
      <c r="T3" s="134"/>
      <c r="U3" s="135"/>
      <c r="V3" s="134"/>
      <c r="W3" s="135"/>
      <c r="X3" s="134"/>
      <c r="Y3" s="136"/>
      <c r="Z3" s="17"/>
      <c r="AA3" s="147" t="s">
        <v>77</v>
      </c>
      <c r="AB3" s="134"/>
      <c r="AC3" s="135"/>
      <c r="AD3" s="121"/>
      <c r="AE3" s="135"/>
      <c r="AF3" s="134"/>
      <c r="AG3" s="136"/>
      <c r="AH3" s="17"/>
      <c r="AI3" s="147" t="s">
        <v>77</v>
      </c>
      <c r="AJ3" s="134"/>
      <c r="AK3" s="135"/>
      <c r="AL3" s="134"/>
      <c r="AM3" s="135"/>
      <c r="AN3" s="134"/>
      <c r="AO3" s="136"/>
      <c r="AP3" s="17"/>
      <c r="AQ3" s="147" t="s">
        <v>77</v>
      </c>
      <c r="AR3" s="134"/>
      <c r="AS3" s="135"/>
      <c r="AT3" s="134"/>
      <c r="AU3" s="135"/>
      <c r="AV3" s="134"/>
      <c r="AW3" s="136"/>
      <c r="AX3" s="17"/>
      <c r="AY3" s="147" t="s">
        <v>77</v>
      </c>
      <c r="AZ3" s="134"/>
      <c r="BA3" s="135"/>
      <c r="BB3" s="134"/>
      <c r="BC3" s="135"/>
      <c r="BD3" s="134"/>
      <c r="BE3" s="136"/>
      <c r="BF3" s="20"/>
      <c r="BG3" s="147" t="s">
        <v>77</v>
      </c>
      <c r="BH3" s="134"/>
      <c r="BI3" s="135"/>
      <c r="BJ3" s="134"/>
      <c r="BK3" s="135"/>
      <c r="BL3" s="134"/>
      <c r="BM3" s="136"/>
      <c r="BN3" s="6"/>
      <c r="BO3" s="147" t="s">
        <v>77</v>
      </c>
      <c r="BP3" s="134"/>
      <c r="BQ3" s="135"/>
      <c r="BR3" s="134"/>
      <c r="BS3" s="135"/>
      <c r="BT3" s="134"/>
      <c r="BU3" s="136"/>
      <c r="BV3" s="17"/>
      <c r="BW3" s="147" t="s">
        <v>77</v>
      </c>
      <c r="BX3" s="134"/>
      <c r="BY3" s="135"/>
      <c r="BZ3" s="134"/>
      <c r="CA3" s="135"/>
      <c r="CB3" s="134"/>
      <c r="CC3" s="136"/>
      <c r="CD3" s="17"/>
      <c r="CE3" s="147" t="s">
        <v>77</v>
      </c>
      <c r="CF3" s="134"/>
      <c r="CG3" s="135"/>
      <c r="CH3" s="134"/>
      <c r="CI3" s="135"/>
      <c r="CJ3" s="134"/>
      <c r="CK3" s="136"/>
      <c r="CL3" s="6"/>
      <c r="CM3" s="147" t="s">
        <v>77</v>
      </c>
      <c r="CN3" s="134"/>
      <c r="CO3" s="135"/>
      <c r="CP3" s="134"/>
      <c r="CQ3" s="135"/>
      <c r="CR3" s="134"/>
      <c r="CS3" s="136"/>
    </row>
    <row r="4" spans="1:97" s="2" customFormat="1" x14ac:dyDescent="0.2">
      <c r="A4" s="6" t="s">
        <v>6</v>
      </c>
      <c r="B4" s="7"/>
      <c r="C4" s="147" t="s">
        <v>77</v>
      </c>
      <c r="D4" s="121"/>
      <c r="E4" s="122"/>
      <c r="F4" s="123"/>
      <c r="G4" s="122"/>
      <c r="H4" s="123"/>
      <c r="I4" s="122"/>
      <c r="J4" s="17"/>
      <c r="K4" s="147" t="s">
        <v>77</v>
      </c>
      <c r="L4" s="121"/>
      <c r="M4" s="122"/>
      <c r="N4" s="123"/>
      <c r="O4" s="122"/>
      <c r="P4" s="123"/>
      <c r="Q4" s="122"/>
      <c r="R4" s="17"/>
      <c r="S4" s="147" t="s">
        <v>77</v>
      </c>
      <c r="T4" s="121"/>
      <c r="U4" s="122"/>
      <c r="V4" s="123"/>
      <c r="W4" s="122"/>
      <c r="X4" s="123"/>
      <c r="Y4" s="122"/>
      <c r="Z4" s="6"/>
      <c r="AA4" s="147" t="s">
        <v>77</v>
      </c>
      <c r="AB4" s="121"/>
      <c r="AC4" s="122"/>
      <c r="AD4" s="121"/>
      <c r="AE4" s="122"/>
      <c r="AF4" s="123"/>
      <c r="AG4" s="122"/>
      <c r="AH4" s="17"/>
      <c r="AI4" s="19" t="s">
        <v>31</v>
      </c>
      <c r="AJ4" s="121"/>
      <c r="AK4" s="122"/>
      <c r="AL4" s="123"/>
      <c r="AM4" s="122"/>
      <c r="AN4" s="123"/>
      <c r="AO4" s="122"/>
      <c r="AP4" s="17"/>
      <c r="AQ4" s="147" t="s">
        <v>77</v>
      </c>
      <c r="AR4" s="121"/>
      <c r="AS4" s="122"/>
      <c r="AT4" s="123"/>
      <c r="AU4" s="122"/>
      <c r="AV4" s="123"/>
      <c r="AW4" s="122"/>
      <c r="AX4" s="6"/>
      <c r="AY4" s="147" t="s">
        <v>77</v>
      </c>
      <c r="AZ4" s="121"/>
      <c r="BA4" s="122"/>
      <c r="BB4" s="123"/>
      <c r="BC4" s="122"/>
      <c r="BD4" s="123"/>
      <c r="BE4" s="122"/>
      <c r="BF4" s="20"/>
      <c r="BG4" s="147" t="s">
        <v>77</v>
      </c>
      <c r="BH4" s="121"/>
      <c r="BI4" s="122"/>
      <c r="BJ4" s="123"/>
      <c r="BK4" s="122"/>
      <c r="BL4" s="123"/>
      <c r="BM4" s="122"/>
      <c r="BN4" s="6">
        <v>1</v>
      </c>
      <c r="BO4" s="147" t="s">
        <v>46</v>
      </c>
      <c r="BP4" s="125">
        <v>0</v>
      </c>
      <c r="BQ4" s="122"/>
      <c r="BR4" s="121">
        <v>0</v>
      </c>
      <c r="BS4" s="122"/>
      <c r="BT4" s="125">
        <v>0</v>
      </c>
      <c r="BU4" s="122"/>
      <c r="BV4" s="17"/>
      <c r="BW4" s="147" t="s">
        <v>77</v>
      </c>
      <c r="BX4" s="125"/>
      <c r="BY4" s="122"/>
      <c r="BZ4" s="121"/>
      <c r="CA4" s="122"/>
      <c r="CB4" s="125"/>
      <c r="CC4" s="122"/>
      <c r="CD4" s="17"/>
      <c r="CE4" s="147" t="s">
        <v>77</v>
      </c>
      <c r="CF4" s="125"/>
      <c r="CG4" s="122"/>
      <c r="CH4" s="121"/>
      <c r="CI4" s="122"/>
      <c r="CJ4" s="125"/>
      <c r="CK4" s="122"/>
      <c r="CL4" s="6">
        <v>1</v>
      </c>
      <c r="CM4" s="147" t="s">
        <v>77</v>
      </c>
      <c r="CN4" s="125">
        <v>0</v>
      </c>
      <c r="CO4" s="124"/>
      <c r="CP4" s="121">
        <v>0</v>
      </c>
      <c r="CQ4" s="124"/>
      <c r="CR4" s="125">
        <v>0</v>
      </c>
      <c r="CS4" s="139"/>
    </row>
    <row r="5" spans="1:97" s="2" customFormat="1" x14ac:dyDescent="0.2">
      <c r="A5" s="6" t="s">
        <v>7</v>
      </c>
      <c r="B5" s="8"/>
      <c r="C5" s="147" t="s">
        <v>77</v>
      </c>
      <c r="D5" s="121"/>
      <c r="E5" s="124"/>
      <c r="F5" s="121"/>
      <c r="G5" s="124"/>
      <c r="H5" s="121"/>
      <c r="I5" s="124"/>
      <c r="J5" s="6"/>
      <c r="K5" s="147" t="s">
        <v>77</v>
      </c>
      <c r="L5" s="121"/>
      <c r="M5" s="124"/>
      <c r="N5" s="121"/>
      <c r="O5" s="124"/>
      <c r="P5" s="121"/>
      <c r="Q5" s="124"/>
      <c r="R5" s="6"/>
      <c r="S5" s="147" t="s">
        <v>77</v>
      </c>
      <c r="T5" s="121"/>
      <c r="U5" s="124"/>
      <c r="V5" s="121"/>
      <c r="W5" s="124"/>
      <c r="X5" s="121"/>
      <c r="Y5" s="124"/>
      <c r="Z5" s="6">
        <v>1</v>
      </c>
      <c r="AA5" s="147" t="s">
        <v>56</v>
      </c>
      <c r="AB5" s="121">
        <v>0</v>
      </c>
      <c r="AC5" s="124"/>
      <c r="AD5" s="121">
        <v>0</v>
      </c>
      <c r="AE5" s="124"/>
      <c r="AF5" s="121">
        <v>0</v>
      </c>
      <c r="AG5" s="124"/>
      <c r="AH5" s="6"/>
      <c r="AI5" s="19" t="s">
        <v>33</v>
      </c>
      <c r="AJ5" s="121"/>
      <c r="AK5" s="124"/>
      <c r="AL5" s="121"/>
      <c r="AM5" s="124"/>
      <c r="AN5" s="121"/>
      <c r="AO5" s="124"/>
      <c r="AP5" s="6"/>
      <c r="AQ5" s="147" t="s">
        <v>77</v>
      </c>
      <c r="AR5" s="121"/>
      <c r="AS5" s="124"/>
      <c r="AT5" s="121"/>
      <c r="AU5" s="124"/>
      <c r="AV5" s="121"/>
      <c r="AW5" s="124"/>
      <c r="AX5" s="6">
        <v>1</v>
      </c>
      <c r="AY5" s="147" t="s">
        <v>77</v>
      </c>
      <c r="AZ5" s="125">
        <v>0</v>
      </c>
      <c r="BA5" s="124"/>
      <c r="BB5" s="121">
        <v>0</v>
      </c>
      <c r="BC5" s="124"/>
      <c r="BD5" s="125">
        <v>0</v>
      </c>
      <c r="BE5" s="124"/>
      <c r="BF5" s="21"/>
      <c r="BG5" s="147" t="s">
        <v>77</v>
      </c>
      <c r="BH5" s="125"/>
      <c r="BI5" s="124"/>
      <c r="BJ5" s="121"/>
      <c r="BK5" s="124"/>
      <c r="BL5" s="125"/>
      <c r="BM5" s="124"/>
      <c r="BN5" s="6">
        <v>2</v>
      </c>
      <c r="BO5" s="147" t="s">
        <v>77</v>
      </c>
      <c r="BP5" s="125">
        <v>0</v>
      </c>
      <c r="BQ5" s="124"/>
      <c r="BR5" s="121">
        <v>0</v>
      </c>
      <c r="BS5" s="124"/>
      <c r="BT5" s="125">
        <v>0</v>
      </c>
      <c r="BU5" s="124"/>
      <c r="BV5" s="6"/>
      <c r="BW5" s="147" t="s">
        <v>77</v>
      </c>
      <c r="BX5" s="125"/>
      <c r="BY5" s="124"/>
      <c r="BZ5" s="121"/>
      <c r="CA5" s="124"/>
      <c r="CB5" s="125"/>
      <c r="CC5" s="124"/>
      <c r="CD5" s="6"/>
      <c r="CE5" s="147" t="s">
        <v>77</v>
      </c>
      <c r="CF5" s="125"/>
      <c r="CG5" s="124"/>
      <c r="CH5" s="121"/>
      <c r="CI5" s="124"/>
      <c r="CJ5" s="125"/>
      <c r="CK5" s="124"/>
      <c r="CL5" s="6">
        <v>2</v>
      </c>
      <c r="CM5" s="147" t="s">
        <v>77</v>
      </c>
      <c r="CN5" s="125">
        <v>0</v>
      </c>
      <c r="CO5" s="124"/>
      <c r="CP5" s="121">
        <v>0</v>
      </c>
      <c r="CQ5" s="124"/>
      <c r="CR5" s="125">
        <v>0</v>
      </c>
      <c r="CS5" s="139"/>
    </row>
    <row r="6" spans="1:97" s="2" customFormat="1" x14ac:dyDescent="0.2">
      <c r="A6" s="6" t="s">
        <v>8</v>
      </c>
      <c r="B6" s="8">
        <v>1</v>
      </c>
      <c r="C6" s="147" t="s">
        <v>1</v>
      </c>
      <c r="D6" s="125" t="s">
        <v>35</v>
      </c>
      <c r="E6" s="124"/>
      <c r="F6" s="121" t="s">
        <v>35</v>
      </c>
      <c r="G6" s="124"/>
      <c r="H6" s="121">
        <v>0</v>
      </c>
      <c r="I6" s="124"/>
      <c r="J6" s="6"/>
      <c r="K6" s="147" t="s">
        <v>77</v>
      </c>
      <c r="L6" s="125"/>
      <c r="M6" s="124"/>
      <c r="N6" s="121"/>
      <c r="O6" s="124"/>
      <c r="P6" s="121"/>
      <c r="Q6" s="124"/>
      <c r="R6" s="6"/>
      <c r="S6" s="147" t="s">
        <v>77</v>
      </c>
      <c r="T6" s="125"/>
      <c r="U6" s="124"/>
      <c r="V6" s="121"/>
      <c r="W6" s="124"/>
      <c r="X6" s="121"/>
      <c r="Y6" s="124"/>
      <c r="Z6" s="6">
        <v>2</v>
      </c>
      <c r="AA6" s="147" t="s">
        <v>79</v>
      </c>
      <c r="AB6" s="125">
        <v>0</v>
      </c>
      <c r="AC6" s="124"/>
      <c r="AD6" s="121">
        <v>0</v>
      </c>
      <c r="AE6" s="124"/>
      <c r="AF6" s="121">
        <v>0</v>
      </c>
      <c r="AG6" s="124"/>
      <c r="AH6" s="6"/>
      <c r="AI6" s="147" t="s">
        <v>77</v>
      </c>
      <c r="AJ6" s="125"/>
      <c r="AK6" s="124"/>
      <c r="AL6" s="121"/>
      <c r="AM6" s="124"/>
      <c r="AN6" s="125"/>
      <c r="AO6" s="146"/>
      <c r="AP6" s="6"/>
      <c r="AQ6" s="147" t="s">
        <v>77</v>
      </c>
      <c r="AR6" s="125"/>
      <c r="AS6" s="124"/>
      <c r="AT6" s="121"/>
      <c r="AU6" s="124"/>
      <c r="AV6" s="125"/>
      <c r="AW6" s="146"/>
      <c r="AX6" s="6">
        <v>2</v>
      </c>
      <c r="AY6" s="147" t="s">
        <v>77</v>
      </c>
      <c r="AZ6" s="125">
        <v>0</v>
      </c>
      <c r="BA6" s="124"/>
      <c r="BB6" s="121">
        <v>0</v>
      </c>
      <c r="BC6" s="124"/>
      <c r="BD6" s="125">
        <v>0</v>
      </c>
      <c r="BE6" s="146"/>
      <c r="BF6" s="21"/>
      <c r="BG6" s="147" t="s">
        <v>77</v>
      </c>
      <c r="BH6" s="125"/>
      <c r="BI6" s="124"/>
      <c r="BJ6" s="121"/>
      <c r="BK6" s="124"/>
      <c r="BL6" s="125"/>
      <c r="BM6" s="146"/>
      <c r="BN6" s="6">
        <v>3</v>
      </c>
      <c r="BO6" s="147" t="s">
        <v>77</v>
      </c>
      <c r="BP6" s="125">
        <v>0</v>
      </c>
      <c r="BQ6" s="124"/>
      <c r="BR6" s="121">
        <v>0</v>
      </c>
      <c r="BS6" s="124"/>
      <c r="BT6" s="125">
        <v>0</v>
      </c>
      <c r="BU6" s="146"/>
      <c r="BV6" s="6">
        <v>1</v>
      </c>
      <c r="BW6" s="147" t="s">
        <v>77</v>
      </c>
      <c r="BX6" s="125">
        <v>0</v>
      </c>
      <c r="BY6" s="124"/>
      <c r="BZ6" s="121" t="s">
        <v>35</v>
      </c>
      <c r="CA6" s="124"/>
      <c r="CB6" s="125" t="s">
        <v>35</v>
      </c>
      <c r="CC6" s="146"/>
      <c r="CD6" s="6"/>
      <c r="CE6" s="147" t="s">
        <v>77</v>
      </c>
      <c r="CF6" s="125"/>
      <c r="CG6" s="124"/>
      <c r="CH6" s="121"/>
      <c r="CI6" s="124"/>
      <c r="CJ6" s="125"/>
      <c r="CK6" s="146"/>
      <c r="CL6" s="6">
        <v>3</v>
      </c>
      <c r="CM6" s="147" t="s">
        <v>77</v>
      </c>
      <c r="CN6" s="125">
        <v>0</v>
      </c>
      <c r="CO6" s="124"/>
      <c r="CP6" s="121">
        <v>0</v>
      </c>
      <c r="CQ6" s="124"/>
      <c r="CR6" s="125">
        <v>0</v>
      </c>
      <c r="CS6" s="146"/>
    </row>
    <row r="7" spans="1:97" s="2" customFormat="1" x14ac:dyDescent="0.2">
      <c r="A7" s="6" t="s">
        <v>3</v>
      </c>
      <c r="B7" s="8">
        <v>2</v>
      </c>
      <c r="C7" s="147" t="s">
        <v>2</v>
      </c>
      <c r="D7" s="125" t="s">
        <v>35</v>
      </c>
      <c r="E7" s="124"/>
      <c r="F7" s="121" t="s">
        <v>35</v>
      </c>
      <c r="G7" s="124"/>
      <c r="H7" s="121">
        <v>0</v>
      </c>
      <c r="I7" s="124"/>
      <c r="J7" s="6"/>
      <c r="K7" s="147" t="s">
        <v>77</v>
      </c>
      <c r="L7" s="125"/>
      <c r="M7" s="124"/>
      <c r="N7" s="121"/>
      <c r="O7" s="124"/>
      <c r="P7" s="121"/>
      <c r="Q7" s="124"/>
      <c r="R7" s="6"/>
      <c r="S7" s="147" t="s">
        <v>77</v>
      </c>
      <c r="T7" s="125"/>
      <c r="U7" s="124"/>
      <c r="V7" s="121"/>
      <c r="W7" s="124"/>
      <c r="X7" s="121"/>
      <c r="Y7" s="124"/>
      <c r="Z7" s="6">
        <v>3</v>
      </c>
      <c r="AA7" s="147" t="s">
        <v>77</v>
      </c>
      <c r="AB7" s="125">
        <v>0</v>
      </c>
      <c r="AC7" s="124"/>
      <c r="AD7" s="121" t="s">
        <v>35</v>
      </c>
      <c r="AE7" s="124"/>
      <c r="AF7" s="121">
        <v>0</v>
      </c>
      <c r="AG7" s="124"/>
      <c r="AH7" s="6">
        <v>1</v>
      </c>
      <c r="AI7" s="147" t="s">
        <v>77</v>
      </c>
      <c r="AJ7" s="125" t="s">
        <v>35</v>
      </c>
      <c r="AK7" s="124"/>
      <c r="AL7" s="121">
        <v>0</v>
      </c>
      <c r="AM7" s="124"/>
      <c r="AN7" s="125">
        <v>0</v>
      </c>
      <c r="AO7" s="146"/>
      <c r="AP7" s="6"/>
      <c r="AQ7" s="147" t="s">
        <v>77</v>
      </c>
      <c r="AR7" s="125"/>
      <c r="AS7" s="124"/>
      <c r="AT7" s="121"/>
      <c r="AU7" s="124"/>
      <c r="AV7" s="125"/>
      <c r="AW7" s="146"/>
      <c r="AX7" s="6">
        <v>3</v>
      </c>
      <c r="AY7" s="147" t="s">
        <v>77</v>
      </c>
      <c r="AZ7" s="125">
        <v>0</v>
      </c>
      <c r="BA7" s="124"/>
      <c r="BB7" s="121">
        <v>0</v>
      </c>
      <c r="BC7" s="124"/>
      <c r="BD7" s="125">
        <v>0</v>
      </c>
      <c r="BE7" s="146"/>
      <c r="BF7" s="21"/>
      <c r="BG7" s="147" t="s">
        <v>77</v>
      </c>
      <c r="BH7" s="125"/>
      <c r="BI7" s="124"/>
      <c r="BJ7" s="121"/>
      <c r="BK7" s="124"/>
      <c r="BL7" s="125"/>
      <c r="BM7" s="146"/>
      <c r="BN7" s="6">
        <v>4</v>
      </c>
      <c r="BO7" s="147" t="s">
        <v>77</v>
      </c>
      <c r="BP7" s="125">
        <v>0</v>
      </c>
      <c r="BQ7" s="124"/>
      <c r="BR7" s="121">
        <v>0</v>
      </c>
      <c r="BS7" s="124"/>
      <c r="BT7" s="125">
        <v>0</v>
      </c>
      <c r="BU7" s="146"/>
      <c r="BV7" s="6">
        <v>2</v>
      </c>
      <c r="BW7" s="147" t="s">
        <v>77</v>
      </c>
      <c r="BX7" s="125">
        <v>0</v>
      </c>
      <c r="BY7" s="124"/>
      <c r="BZ7" s="121" t="s">
        <v>35</v>
      </c>
      <c r="CA7" s="124"/>
      <c r="CB7" s="125" t="s">
        <v>35</v>
      </c>
      <c r="CC7" s="146"/>
      <c r="CD7" s="6"/>
      <c r="CE7" s="147" t="s">
        <v>77</v>
      </c>
      <c r="CF7" s="125"/>
      <c r="CG7" s="124"/>
      <c r="CH7" s="121"/>
      <c r="CI7" s="124"/>
      <c r="CJ7" s="125"/>
      <c r="CK7" s="146"/>
      <c r="CL7" s="6">
        <v>4</v>
      </c>
      <c r="CM7" s="147" t="s">
        <v>77</v>
      </c>
      <c r="CN7" s="125">
        <v>0</v>
      </c>
      <c r="CO7" s="124"/>
      <c r="CP7" s="121">
        <v>0</v>
      </c>
      <c r="CQ7" s="124"/>
      <c r="CR7" s="125">
        <v>0</v>
      </c>
      <c r="CS7" s="146"/>
    </row>
    <row r="8" spans="1:97" s="2" customFormat="1" ht="12.75" customHeight="1" x14ac:dyDescent="0.2">
      <c r="A8" s="9" t="s">
        <v>4</v>
      </c>
      <c r="B8" s="10">
        <v>3</v>
      </c>
      <c r="C8" s="147" t="s">
        <v>77</v>
      </c>
      <c r="D8" s="126" t="s">
        <v>35</v>
      </c>
      <c r="E8" s="126"/>
      <c r="F8" s="126" t="s">
        <v>35</v>
      </c>
      <c r="G8" s="126"/>
      <c r="H8" s="126">
        <v>0</v>
      </c>
      <c r="I8" s="126"/>
      <c r="J8" s="51"/>
      <c r="K8" s="147" t="s">
        <v>77</v>
      </c>
      <c r="L8" s="126"/>
      <c r="M8" s="126"/>
      <c r="N8" s="126"/>
      <c r="O8" s="126"/>
      <c r="P8" s="126"/>
      <c r="Q8" s="126"/>
      <c r="R8" s="9"/>
      <c r="S8" s="147" t="s">
        <v>77</v>
      </c>
      <c r="T8" s="126"/>
      <c r="U8" s="126"/>
      <c r="V8" s="126"/>
      <c r="W8" s="126"/>
      <c r="X8" s="126"/>
      <c r="Y8" s="126"/>
      <c r="Z8" s="9">
        <v>4</v>
      </c>
      <c r="AA8" s="147" t="s">
        <v>77</v>
      </c>
      <c r="AB8" s="126">
        <v>0</v>
      </c>
      <c r="AC8" s="126"/>
      <c r="AD8" s="126" t="s">
        <v>35</v>
      </c>
      <c r="AE8" s="126"/>
      <c r="AF8" s="126">
        <v>0</v>
      </c>
      <c r="AG8" s="126"/>
      <c r="AH8" s="9">
        <v>2</v>
      </c>
      <c r="AI8" s="147" t="s">
        <v>95</v>
      </c>
      <c r="AJ8" s="126" t="s">
        <v>35</v>
      </c>
      <c r="AK8" s="126"/>
      <c r="AL8" s="126">
        <v>0</v>
      </c>
      <c r="AM8" s="126"/>
      <c r="AN8" s="126">
        <v>0</v>
      </c>
      <c r="AO8" s="126"/>
      <c r="AP8" s="9"/>
      <c r="AQ8" s="147" t="s">
        <v>77</v>
      </c>
      <c r="AR8" s="126"/>
      <c r="AS8" s="126"/>
      <c r="AT8" s="126">
        <v>0</v>
      </c>
      <c r="AU8" s="126"/>
      <c r="AV8" s="126">
        <v>0</v>
      </c>
      <c r="AW8" s="126"/>
      <c r="AX8" s="9">
        <v>4</v>
      </c>
      <c r="AY8" s="147" t="s">
        <v>57</v>
      </c>
      <c r="AZ8" s="126">
        <v>0</v>
      </c>
      <c r="BA8" s="126"/>
      <c r="BB8" s="126">
        <v>0</v>
      </c>
      <c r="BC8" s="126"/>
      <c r="BD8" s="126">
        <v>0</v>
      </c>
      <c r="BE8" s="126"/>
      <c r="BF8" s="22">
        <v>1</v>
      </c>
      <c r="BG8" s="147" t="s">
        <v>77</v>
      </c>
      <c r="BH8" s="126" t="s">
        <v>35</v>
      </c>
      <c r="BI8" s="126"/>
      <c r="BJ8" s="126" t="s">
        <v>35</v>
      </c>
      <c r="BK8" s="126"/>
      <c r="BL8" s="126">
        <v>0</v>
      </c>
      <c r="BM8" s="126"/>
      <c r="BN8" s="9">
        <v>5</v>
      </c>
      <c r="BO8" s="147" t="s">
        <v>57</v>
      </c>
      <c r="BP8" s="126">
        <v>0</v>
      </c>
      <c r="BQ8" s="126"/>
      <c r="BR8" s="126">
        <v>0</v>
      </c>
      <c r="BS8" s="126"/>
      <c r="BT8" s="126">
        <v>0</v>
      </c>
      <c r="BU8" s="126"/>
      <c r="BV8" s="9">
        <v>3</v>
      </c>
      <c r="BW8" s="147" t="s">
        <v>118</v>
      </c>
      <c r="BX8" s="126">
        <v>0</v>
      </c>
      <c r="BY8" s="126"/>
      <c r="BZ8" s="126" t="s">
        <v>35</v>
      </c>
      <c r="CA8" s="126"/>
      <c r="CB8" s="126" t="s">
        <v>35</v>
      </c>
      <c r="CC8" s="126"/>
      <c r="CD8" s="9"/>
      <c r="CE8" s="147" t="s">
        <v>77</v>
      </c>
      <c r="CF8" s="126"/>
      <c r="CG8" s="126"/>
      <c r="CH8" s="126"/>
      <c r="CI8" s="126"/>
      <c r="CJ8" s="126"/>
      <c r="CK8" s="126"/>
      <c r="CL8" s="9">
        <v>5</v>
      </c>
      <c r="CM8" s="147" t="s">
        <v>82</v>
      </c>
      <c r="CN8" s="126">
        <v>0</v>
      </c>
      <c r="CO8" s="126"/>
      <c r="CP8" s="126">
        <v>0</v>
      </c>
      <c r="CQ8" s="126"/>
      <c r="CR8" s="126">
        <v>0</v>
      </c>
      <c r="CS8" s="140"/>
    </row>
    <row r="9" spans="1:97" s="2" customFormat="1" x14ac:dyDescent="0.2">
      <c r="A9" s="9" t="s">
        <v>5</v>
      </c>
      <c r="B9" s="10">
        <v>4</v>
      </c>
      <c r="C9" s="147" t="s">
        <v>77</v>
      </c>
      <c r="D9" s="126">
        <v>0</v>
      </c>
      <c r="E9" s="126"/>
      <c r="F9" s="126">
        <v>0</v>
      </c>
      <c r="G9" s="126"/>
      <c r="H9" s="126">
        <v>0</v>
      </c>
      <c r="I9" s="126"/>
      <c r="J9" s="51">
        <v>1</v>
      </c>
      <c r="K9" s="147" t="s">
        <v>77</v>
      </c>
      <c r="L9" s="126">
        <v>0</v>
      </c>
      <c r="M9" s="127"/>
      <c r="N9" s="126">
        <v>0</v>
      </c>
      <c r="O9" s="127"/>
      <c r="P9" s="127">
        <v>0</v>
      </c>
      <c r="Q9" s="126"/>
      <c r="R9" s="9">
        <v>1</v>
      </c>
      <c r="S9" s="147" t="s">
        <v>54</v>
      </c>
      <c r="T9" s="126">
        <v>0</v>
      </c>
      <c r="U9" s="127"/>
      <c r="V9" s="126">
        <v>0</v>
      </c>
      <c r="W9" s="127"/>
      <c r="X9" s="127">
        <v>0</v>
      </c>
      <c r="Y9" s="126"/>
      <c r="Z9" s="9">
        <v>5</v>
      </c>
      <c r="AA9" s="147" t="s">
        <v>53</v>
      </c>
      <c r="AB9" s="126">
        <v>0</v>
      </c>
      <c r="AC9" s="127"/>
      <c r="AD9" s="126" t="s">
        <v>35</v>
      </c>
      <c r="AE9" s="127"/>
      <c r="AF9" s="127">
        <v>0</v>
      </c>
      <c r="AG9" s="126"/>
      <c r="AH9" s="9">
        <v>3</v>
      </c>
      <c r="AI9" s="147" t="s">
        <v>116</v>
      </c>
      <c r="AJ9" s="126">
        <v>0</v>
      </c>
      <c r="AK9" s="127"/>
      <c r="AL9" s="126">
        <v>0</v>
      </c>
      <c r="AM9" s="127"/>
      <c r="AN9" s="127">
        <v>0</v>
      </c>
      <c r="AO9" s="126"/>
      <c r="AP9" s="9"/>
      <c r="AQ9" s="147" t="s">
        <v>77</v>
      </c>
      <c r="AR9" s="126"/>
      <c r="AS9" s="127"/>
      <c r="AT9" s="126">
        <v>0</v>
      </c>
      <c r="AU9" s="127"/>
      <c r="AV9" s="127">
        <v>0</v>
      </c>
      <c r="AW9" s="126"/>
      <c r="AX9" s="9">
        <v>5</v>
      </c>
      <c r="AY9" s="147" t="s">
        <v>77</v>
      </c>
      <c r="AZ9" s="126">
        <v>0</v>
      </c>
      <c r="BA9" s="127"/>
      <c r="BB9" s="126">
        <v>0</v>
      </c>
      <c r="BC9" s="127"/>
      <c r="BD9" s="127">
        <v>0</v>
      </c>
      <c r="BE9" s="126"/>
      <c r="BF9" s="9">
        <v>2</v>
      </c>
      <c r="BG9" s="147" t="s">
        <v>77</v>
      </c>
      <c r="BH9" s="126" t="s">
        <v>35</v>
      </c>
      <c r="BI9" s="127"/>
      <c r="BJ9" s="126" t="s">
        <v>35</v>
      </c>
      <c r="BK9" s="127"/>
      <c r="BL9" s="127">
        <v>0</v>
      </c>
      <c r="BM9" s="126"/>
      <c r="BN9" s="9">
        <v>6</v>
      </c>
      <c r="BO9" s="147" t="s">
        <v>77</v>
      </c>
      <c r="BP9" s="126">
        <v>0</v>
      </c>
      <c r="BQ9" s="127"/>
      <c r="BR9" s="126">
        <v>0</v>
      </c>
      <c r="BS9" s="127"/>
      <c r="BT9" s="127">
        <v>0</v>
      </c>
      <c r="BU9" s="126"/>
      <c r="BV9" s="9">
        <v>4</v>
      </c>
      <c r="BW9" s="147" t="s">
        <v>118</v>
      </c>
      <c r="BX9" s="126">
        <v>0</v>
      </c>
      <c r="BY9" s="127"/>
      <c r="BZ9" s="126" t="s">
        <v>35</v>
      </c>
      <c r="CA9" s="127"/>
      <c r="CB9" s="127" t="s">
        <v>35</v>
      </c>
      <c r="CC9" s="126"/>
      <c r="CD9" s="9">
        <v>1</v>
      </c>
      <c r="CE9" s="147" t="s">
        <v>77</v>
      </c>
      <c r="CF9" s="126">
        <v>0</v>
      </c>
      <c r="CG9" s="127"/>
      <c r="CH9" s="126">
        <v>0</v>
      </c>
      <c r="CI9" s="127"/>
      <c r="CJ9" s="127">
        <v>0</v>
      </c>
      <c r="CK9" s="126"/>
      <c r="CL9" s="9">
        <v>6</v>
      </c>
      <c r="CM9" s="147" t="s">
        <v>77</v>
      </c>
      <c r="CN9" s="126">
        <v>0</v>
      </c>
      <c r="CO9" s="127"/>
      <c r="CP9" s="126">
        <v>0</v>
      </c>
      <c r="CQ9" s="127"/>
      <c r="CR9" s="127">
        <v>0</v>
      </c>
      <c r="CS9" s="140"/>
    </row>
    <row r="10" spans="1:97" s="2" customFormat="1" ht="14.5" customHeight="1" x14ac:dyDescent="0.2">
      <c r="A10" s="6" t="s">
        <v>25</v>
      </c>
      <c r="B10" s="8">
        <v>5</v>
      </c>
      <c r="C10" s="147" t="s">
        <v>77</v>
      </c>
      <c r="D10" s="169">
        <v>2</v>
      </c>
      <c r="E10" s="169"/>
      <c r="F10" s="169"/>
      <c r="G10" s="169"/>
      <c r="H10" s="169"/>
      <c r="I10" s="170"/>
      <c r="J10" s="6">
        <v>2</v>
      </c>
      <c r="K10" s="147" t="s">
        <v>77</v>
      </c>
      <c r="L10" s="125">
        <v>0</v>
      </c>
      <c r="M10" s="124"/>
      <c r="N10" s="126" t="s">
        <v>35</v>
      </c>
      <c r="O10" s="124"/>
      <c r="P10" s="125">
        <v>0</v>
      </c>
      <c r="Q10" s="124"/>
      <c r="R10" s="18">
        <v>2</v>
      </c>
      <c r="S10" s="147" t="s">
        <v>77</v>
      </c>
      <c r="T10" s="167">
        <v>10</v>
      </c>
      <c r="U10" s="167"/>
      <c r="V10" s="167"/>
      <c r="W10" s="167"/>
      <c r="X10" s="167"/>
      <c r="Y10" s="168"/>
      <c r="Z10" s="18">
        <v>6</v>
      </c>
      <c r="AA10" s="147" t="s">
        <v>12</v>
      </c>
      <c r="AB10" s="125">
        <v>0</v>
      </c>
      <c r="AC10" s="124"/>
      <c r="AD10" s="121" t="s">
        <v>35</v>
      </c>
      <c r="AE10" s="124"/>
      <c r="AF10" s="125">
        <v>0</v>
      </c>
      <c r="AG10" s="146"/>
      <c r="AH10" s="18">
        <v>4</v>
      </c>
      <c r="AI10" s="147" t="s">
        <v>77</v>
      </c>
      <c r="AJ10" s="167">
        <v>19</v>
      </c>
      <c r="AK10" s="167"/>
      <c r="AL10" s="167"/>
      <c r="AM10" s="167"/>
      <c r="AN10" s="167"/>
      <c r="AO10" s="168"/>
      <c r="AP10" s="18">
        <v>1</v>
      </c>
      <c r="AQ10" s="147" t="s">
        <v>77</v>
      </c>
      <c r="AR10" s="167">
        <v>23</v>
      </c>
      <c r="AS10" s="167"/>
      <c r="AT10" s="167"/>
      <c r="AU10" s="167"/>
      <c r="AV10" s="167"/>
      <c r="AW10" s="168"/>
      <c r="AX10" s="18">
        <v>6</v>
      </c>
      <c r="AY10" s="147" t="s">
        <v>77</v>
      </c>
      <c r="AZ10" s="125">
        <v>0</v>
      </c>
      <c r="BA10" s="124"/>
      <c r="BB10" s="121" t="s">
        <v>35</v>
      </c>
      <c r="BC10" s="124"/>
      <c r="BD10" s="125">
        <v>0</v>
      </c>
      <c r="BE10" s="146"/>
      <c r="BF10" s="21">
        <v>3</v>
      </c>
      <c r="BG10" s="147" t="s">
        <v>77</v>
      </c>
      <c r="BH10" s="125" t="s">
        <v>35</v>
      </c>
      <c r="BI10" s="124"/>
      <c r="BJ10" s="121" t="s">
        <v>35</v>
      </c>
      <c r="BK10" s="124"/>
      <c r="BL10" s="125">
        <v>0</v>
      </c>
      <c r="BM10" s="146"/>
      <c r="BN10" s="18">
        <v>7</v>
      </c>
      <c r="BO10" s="147" t="s">
        <v>77</v>
      </c>
      <c r="BP10" s="167">
        <v>37</v>
      </c>
      <c r="BQ10" s="167"/>
      <c r="BR10" s="167"/>
      <c r="BS10" s="167"/>
      <c r="BT10" s="167"/>
      <c r="BU10" s="168"/>
      <c r="BV10" s="18">
        <v>5</v>
      </c>
      <c r="BW10" s="147" t="s">
        <v>118</v>
      </c>
      <c r="BX10" s="125" t="s">
        <v>35</v>
      </c>
      <c r="BY10" s="124"/>
      <c r="BZ10" s="121" t="s">
        <v>35</v>
      </c>
      <c r="CA10" s="124"/>
      <c r="CB10" s="125">
        <v>0</v>
      </c>
      <c r="CC10" s="146"/>
      <c r="CD10" s="18">
        <v>2</v>
      </c>
      <c r="CE10" s="147" t="s">
        <v>77</v>
      </c>
      <c r="CF10" s="167">
        <v>45</v>
      </c>
      <c r="CG10" s="167"/>
      <c r="CH10" s="167"/>
      <c r="CI10" s="167"/>
      <c r="CJ10" s="167"/>
      <c r="CK10" s="168"/>
      <c r="CL10" s="6">
        <v>7</v>
      </c>
      <c r="CM10" s="147" t="s">
        <v>77</v>
      </c>
      <c r="CN10" s="167">
        <v>50</v>
      </c>
      <c r="CO10" s="167"/>
      <c r="CP10" s="167"/>
      <c r="CQ10" s="167"/>
      <c r="CR10" s="167"/>
      <c r="CS10" s="168"/>
    </row>
    <row r="11" spans="1:97" s="2" customFormat="1" x14ac:dyDescent="0.2">
      <c r="A11" s="6" t="s">
        <v>6</v>
      </c>
      <c r="B11" s="8">
        <v>6</v>
      </c>
      <c r="C11" s="147" t="s">
        <v>77</v>
      </c>
      <c r="D11" s="125">
        <v>0</v>
      </c>
      <c r="E11" s="124"/>
      <c r="F11" s="121">
        <v>0</v>
      </c>
      <c r="G11" s="124"/>
      <c r="H11" s="125">
        <v>0</v>
      </c>
      <c r="I11" s="124"/>
      <c r="J11" s="6">
        <v>3</v>
      </c>
      <c r="K11" s="147" t="s">
        <v>77</v>
      </c>
      <c r="L11" s="125">
        <v>0</v>
      </c>
      <c r="M11" s="124"/>
      <c r="N11" s="126" t="s">
        <v>35</v>
      </c>
      <c r="O11" s="124"/>
      <c r="P11" s="125">
        <v>0</v>
      </c>
      <c r="Q11" s="124"/>
      <c r="R11" s="6">
        <v>3</v>
      </c>
      <c r="S11" s="147" t="s">
        <v>77</v>
      </c>
      <c r="T11" s="125">
        <v>0</v>
      </c>
      <c r="U11" s="124"/>
      <c r="V11" s="121">
        <v>0</v>
      </c>
      <c r="W11" s="124"/>
      <c r="X11" s="125">
        <v>0</v>
      </c>
      <c r="Y11" s="124"/>
      <c r="Z11" s="6">
        <v>7</v>
      </c>
      <c r="AA11" s="147" t="s">
        <v>77</v>
      </c>
      <c r="AB11" s="125">
        <v>0</v>
      </c>
      <c r="AC11" s="124"/>
      <c r="AD11" s="121" t="s">
        <v>35</v>
      </c>
      <c r="AE11" s="124"/>
      <c r="AF11" s="125">
        <v>0</v>
      </c>
      <c r="AG11" s="124"/>
      <c r="AH11" s="6">
        <v>5</v>
      </c>
      <c r="AI11" s="147" t="s">
        <v>77</v>
      </c>
      <c r="AJ11" s="125">
        <v>0</v>
      </c>
      <c r="AK11" s="124"/>
      <c r="AL11" s="121">
        <v>0</v>
      </c>
      <c r="AM11" s="124"/>
      <c r="AN11" s="125">
        <v>0</v>
      </c>
      <c r="AO11" s="124"/>
      <c r="AP11" s="6">
        <v>2</v>
      </c>
      <c r="AQ11" s="147" t="s">
        <v>77</v>
      </c>
      <c r="AR11" s="125">
        <v>0</v>
      </c>
      <c r="AS11" s="124"/>
      <c r="AT11" s="121">
        <v>0</v>
      </c>
      <c r="AU11" s="124"/>
      <c r="AV11" s="125">
        <v>0</v>
      </c>
      <c r="AW11" s="124"/>
      <c r="AX11" s="6">
        <v>7</v>
      </c>
      <c r="AY11" s="147" t="s">
        <v>77</v>
      </c>
      <c r="AZ11" s="125">
        <v>0</v>
      </c>
      <c r="BA11" s="124"/>
      <c r="BB11" s="121" t="s">
        <v>35</v>
      </c>
      <c r="BC11" s="124"/>
      <c r="BD11" s="125">
        <v>0</v>
      </c>
      <c r="BE11" s="124"/>
      <c r="BF11" s="21">
        <v>4</v>
      </c>
      <c r="BG11" s="147" t="s">
        <v>77</v>
      </c>
      <c r="BH11" s="125" t="s">
        <v>35</v>
      </c>
      <c r="BI11" s="124"/>
      <c r="BJ11" s="121" t="s">
        <v>35</v>
      </c>
      <c r="BK11" s="124"/>
      <c r="BL11" s="125">
        <v>0</v>
      </c>
      <c r="BM11" s="124"/>
      <c r="BN11" s="6">
        <v>8</v>
      </c>
      <c r="BO11" s="147" t="s">
        <v>77</v>
      </c>
      <c r="BP11" s="125">
        <v>0</v>
      </c>
      <c r="BQ11" s="124"/>
      <c r="BR11" s="121">
        <v>0</v>
      </c>
      <c r="BS11" s="124"/>
      <c r="BT11" s="125">
        <v>0</v>
      </c>
      <c r="BU11" s="124"/>
      <c r="BV11" s="6">
        <v>6</v>
      </c>
      <c r="BW11" s="147" t="s">
        <v>118</v>
      </c>
      <c r="BX11" s="125" t="s">
        <v>35</v>
      </c>
      <c r="BY11" s="124"/>
      <c r="BZ11" s="121" t="s">
        <v>35</v>
      </c>
      <c r="CA11" s="124"/>
      <c r="CB11" s="125">
        <v>0</v>
      </c>
      <c r="CC11" s="124"/>
      <c r="CD11" s="6">
        <v>3</v>
      </c>
      <c r="CE11" s="147" t="s">
        <v>77</v>
      </c>
      <c r="CF11" s="125">
        <v>0</v>
      </c>
      <c r="CG11" s="124"/>
      <c r="CH11" s="121">
        <v>0</v>
      </c>
      <c r="CI11" s="124"/>
      <c r="CJ11" s="125">
        <v>0</v>
      </c>
      <c r="CK11" s="124"/>
      <c r="CL11" s="6">
        <v>8</v>
      </c>
      <c r="CM11" s="147" t="s">
        <v>77</v>
      </c>
      <c r="CN11" s="125">
        <v>0</v>
      </c>
      <c r="CO11" s="124"/>
      <c r="CP11" s="121">
        <v>0</v>
      </c>
      <c r="CQ11" s="124"/>
      <c r="CR11" s="125">
        <v>0</v>
      </c>
      <c r="CS11" s="139"/>
    </row>
    <row r="12" spans="1:97" s="2" customFormat="1" x14ac:dyDescent="0.2">
      <c r="A12" s="6" t="s">
        <v>7</v>
      </c>
      <c r="B12" s="8">
        <v>7</v>
      </c>
      <c r="C12" s="147" t="s">
        <v>77</v>
      </c>
      <c r="D12" s="125">
        <v>0</v>
      </c>
      <c r="E12" s="124"/>
      <c r="F12" s="121">
        <v>0</v>
      </c>
      <c r="G12" s="124"/>
      <c r="H12" s="125">
        <v>0</v>
      </c>
      <c r="I12" s="124"/>
      <c r="J12" s="6">
        <v>4</v>
      </c>
      <c r="K12" s="147" t="s">
        <v>77</v>
      </c>
      <c r="L12" s="125">
        <v>0</v>
      </c>
      <c r="M12" s="124"/>
      <c r="N12" s="126" t="s">
        <v>35</v>
      </c>
      <c r="O12" s="124"/>
      <c r="P12" s="125">
        <v>0</v>
      </c>
      <c r="Q12" s="124"/>
      <c r="R12" s="6">
        <v>4</v>
      </c>
      <c r="S12" s="147" t="s">
        <v>77</v>
      </c>
      <c r="T12" s="125">
        <v>0</v>
      </c>
      <c r="U12" s="124"/>
      <c r="V12" s="121">
        <v>0</v>
      </c>
      <c r="W12" s="124"/>
      <c r="X12" s="125">
        <v>0</v>
      </c>
      <c r="Y12" s="124"/>
      <c r="Z12" s="6">
        <v>8</v>
      </c>
      <c r="AA12" s="147" t="s">
        <v>77</v>
      </c>
      <c r="AB12" s="125">
        <v>0</v>
      </c>
      <c r="AC12" s="124"/>
      <c r="AD12" s="121" t="s">
        <v>35</v>
      </c>
      <c r="AE12" s="124"/>
      <c r="AF12" s="125">
        <v>0</v>
      </c>
      <c r="AG12" s="124"/>
      <c r="AH12" s="6">
        <v>6</v>
      </c>
      <c r="AI12" s="147" t="s">
        <v>77</v>
      </c>
      <c r="AJ12" s="125">
        <v>0</v>
      </c>
      <c r="AK12" s="124"/>
      <c r="AL12" s="121">
        <v>0</v>
      </c>
      <c r="AM12" s="124"/>
      <c r="AN12" s="125">
        <v>0</v>
      </c>
      <c r="AO12" s="124"/>
      <c r="AP12" s="6">
        <v>3</v>
      </c>
      <c r="AQ12" s="147" t="s">
        <v>77</v>
      </c>
      <c r="AR12" s="125">
        <v>0</v>
      </c>
      <c r="AS12" s="124"/>
      <c r="AT12" s="121">
        <v>0</v>
      </c>
      <c r="AU12" s="124"/>
      <c r="AV12" s="125">
        <v>0</v>
      </c>
      <c r="AW12" s="124"/>
      <c r="AX12" s="6">
        <v>8</v>
      </c>
      <c r="AY12" s="147" t="s">
        <v>77</v>
      </c>
      <c r="AZ12" s="125">
        <v>0</v>
      </c>
      <c r="BA12" s="124"/>
      <c r="BB12" s="121" t="s">
        <v>35</v>
      </c>
      <c r="BC12" s="124"/>
      <c r="BD12" s="125">
        <v>0</v>
      </c>
      <c r="BE12" s="124"/>
      <c r="BF12" s="21">
        <v>5</v>
      </c>
      <c r="BG12" s="147" t="s">
        <v>77</v>
      </c>
      <c r="BH12" s="125" t="s">
        <v>35</v>
      </c>
      <c r="BI12" s="124"/>
      <c r="BJ12" s="121" t="s">
        <v>35</v>
      </c>
      <c r="BK12" s="124"/>
      <c r="BL12" s="125">
        <v>0</v>
      </c>
      <c r="BM12" s="124"/>
      <c r="BN12" s="6">
        <v>9</v>
      </c>
      <c r="BO12" s="147" t="s">
        <v>77</v>
      </c>
      <c r="BP12" s="125">
        <v>0</v>
      </c>
      <c r="BQ12" s="124"/>
      <c r="BR12" s="121">
        <v>0</v>
      </c>
      <c r="BS12" s="124"/>
      <c r="BT12" s="125">
        <v>0</v>
      </c>
      <c r="BU12" s="124"/>
      <c r="BV12" s="6">
        <v>7</v>
      </c>
      <c r="BW12" s="147" t="s">
        <v>118</v>
      </c>
      <c r="BX12" s="125" t="s">
        <v>35</v>
      </c>
      <c r="BY12" s="124"/>
      <c r="BZ12" s="121" t="s">
        <v>35</v>
      </c>
      <c r="CA12" s="124"/>
      <c r="CB12" s="125">
        <v>0</v>
      </c>
      <c r="CC12" s="124"/>
      <c r="CD12" s="6">
        <v>4</v>
      </c>
      <c r="CE12" s="147" t="s">
        <v>77</v>
      </c>
      <c r="CF12" s="125">
        <v>0</v>
      </c>
      <c r="CG12" s="124"/>
      <c r="CH12" s="121">
        <v>0</v>
      </c>
      <c r="CI12" s="124"/>
      <c r="CJ12" s="125">
        <v>0</v>
      </c>
      <c r="CK12" s="124"/>
      <c r="CL12" s="6">
        <v>9</v>
      </c>
      <c r="CM12" s="147" t="s">
        <v>77</v>
      </c>
      <c r="CN12" s="125">
        <v>0</v>
      </c>
      <c r="CO12" s="124"/>
      <c r="CP12" s="121">
        <v>0</v>
      </c>
      <c r="CQ12" s="124"/>
      <c r="CR12" s="125">
        <v>0</v>
      </c>
      <c r="CS12" s="139"/>
    </row>
    <row r="13" spans="1:97" s="2" customFormat="1" x14ac:dyDescent="0.2">
      <c r="A13" s="6" t="s">
        <v>8</v>
      </c>
      <c r="B13" s="8">
        <v>8</v>
      </c>
      <c r="C13" s="147" t="s">
        <v>56</v>
      </c>
      <c r="D13" s="125">
        <v>0</v>
      </c>
      <c r="E13" s="124"/>
      <c r="F13" s="121">
        <v>0</v>
      </c>
      <c r="G13" s="124"/>
      <c r="H13" s="125">
        <v>0</v>
      </c>
      <c r="I13" s="124"/>
      <c r="J13" s="6">
        <v>5</v>
      </c>
      <c r="K13" s="147" t="s">
        <v>77</v>
      </c>
      <c r="L13" s="125">
        <v>0</v>
      </c>
      <c r="M13" s="124"/>
      <c r="N13" s="126" t="s">
        <v>35</v>
      </c>
      <c r="O13" s="124"/>
      <c r="P13" s="125">
        <v>0</v>
      </c>
      <c r="Q13" s="124"/>
      <c r="R13" s="6">
        <v>5</v>
      </c>
      <c r="S13" s="147" t="s">
        <v>77</v>
      </c>
      <c r="T13" s="125">
        <v>0</v>
      </c>
      <c r="U13" s="124"/>
      <c r="V13" s="121">
        <v>0</v>
      </c>
      <c r="W13" s="124"/>
      <c r="X13" s="125">
        <v>0</v>
      </c>
      <c r="Y13" s="124"/>
      <c r="Z13" s="6">
        <v>9</v>
      </c>
      <c r="AA13" s="147" t="s">
        <v>77</v>
      </c>
      <c r="AB13" s="125">
        <v>0</v>
      </c>
      <c r="AC13" s="124"/>
      <c r="AD13" s="121" t="s">
        <v>35</v>
      </c>
      <c r="AE13" s="124"/>
      <c r="AF13" s="125">
        <v>0</v>
      </c>
      <c r="AG13" s="124"/>
      <c r="AH13" s="6">
        <v>7</v>
      </c>
      <c r="AI13" s="147" t="s">
        <v>56</v>
      </c>
      <c r="AJ13" s="125">
        <v>0</v>
      </c>
      <c r="AK13" s="124"/>
      <c r="AL13" s="121">
        <v>0</v>
      </c>
      <c r="AM13" s="124"/>
      <c r="AN13" s="125">
        <v>0</v>
      </c>
      <c r="AO13" s="124"/>
      <c r="AP13" s="6">
        <v>4</v>
      </c>
      <c r="AQ13" s="147" t="s">
        <v>56</v>
      </c>
      <c r="AR13" s="125">
        <v>0</v>
      </c>
      <c r="AS13" s="124"/>
      <c r="AT13" s="121">
        <v>0</v>
      </c>
      <c r="AU13" s="124"/>
      <c r="AV13" s="125">
        <v>0</v>
      </c>
      <c r="AW13" s="124"/>
      <c r="AX13" s="6">
        <v>9</v>
      </c>
      <c r="AY13" s="147" t="s">
        <v>77</v>
      </c>
      <c r="AZ13" s="125">
        <v>0</v>
      </c>
      <c r="BA13" s="124"/>
      <c r="BB13" s="121" t="s">
        <v>35</v>
      </c>
      <c r="BC13" s="124"/>
      <c r="BD13" s="125">
        <v>0</v>
      </c>
      <c r="BE13" s="124"/>
      <c r="BF13" s="21">
        <v>6</v>
      </c>
      <c r="BG13" s="147" t="s">
        <v>77</v>
      </c>
      <c r="BH13" s="125" t="s">
        <v>35</v>
      </c>
      <c r="BI13" s="124"/>
      <c r="BJ13" s="121" t="s">
        <v>35</v>
      </c>
      <c r="BK13" s="124"/>
      <c r="BL13" s="125">
        <v>0</v>
      </c>
      <c r="BM13" s="124"/>
      <c r="BN13" s="6">
        <v>10</v>
      </c>
      <c r="BO13" s="147" t="s">
        <v>56</v>
      </c>
      <c r="BP13" s="125">
        <v>0</v>
      </c>
      <c r="BQ13" s="124"/>
      <c r="BR13" s="121">
        <v>0</v>
      </c>
      <c r="BS13" s="124"/>
      <c r="BT13" s="125">
        <v>0</v>
      </c>
      <c r="BU13" s="124"/>
      <c r="BV13" s="6">
        <v>8</v>
      </c>
      <c r="BW13" s="147" t="s">
        <v>118</v>
      </c>
      <c r="BX13" s="125" t="s">
        <v>35</v>
      </c>
      <c r="BY13" s="124"/>
      <c r="BZ13" s="121" t="s">
        <v>35</v>
      </c>
      <c r="CA13" s="124"/>
      <c r="CB13" s="125">
        <v>0</v>
      </c>
      <c r="CC13" s="124"/>
      <c r="CD13" s="6">
        <v>5</v>
      </c>
      <c r="CE13" s="147" t="s">
        <v>77</v>
      </c>
      <c r="CF13" s="125">
        <v>0</v>
      </c>
      <c r="CG13" s="124"/>
      <c r="CH13" s="121">
        <v>0</v>
      </c>
      <c r="CI13" s="124"/>
      <c r="CJ13" s="125">
        <v>0</v>
      </c>
      <c r="CK13" s="124"/>
      <c r="CL13" s="6">
        <v>10</v>
      </c>
      <c r="CM13" s="147" t="s">
        <v>56</v>
      </c>
      <c r="CN13" s="125">
        <v>0</v>
      </c>
      <c r="CO13" s="124"/>
      <c r="CP13" s="121">
        <v>0</v>
      </c>
      <c r="CQ13" s="124"/>
      <c r="CR13" s="125">
        <v>0</v>
      </c>
      <c r="CS13" s="139"/>
    </row>
    <row r="14" spans="1:97" s="2" customFormat="1" x14ac:dyDescent="0.2">
      <c r="A14" s="6" t="s">
        <v>3</v>
      </c>
      <c r="B14" s="8">
        <v>9</v>
      </c>
      <c r="C14" s="147" t="s">
        <v>77</v>
      </c>
      <c r="D14" s="125">
        <v>0</v>
      </c>
      <c r="E14" s="124"/>
      <c r="F14" s="121">
        <v>0</v>
      </c>
      <c r="G14" s="124"/>
      <c r="H14" s="125">
        <v>0</v>
      </c>
      <c r="I14" s="124"/>
      <c r="J14" s="6">
        <v>6</v>
      </c>
      <c r="K14" s="147" t="s">
        <v>77</v>
      </c>
      <c r="L14" s="125">
        <v>0</v>
      </c>
      <c r="M14" s="124"/>
      <c r="N14" s="126" t="s">
        <v>35</v>
      </c>
      <c r="O14" s="124"/>
      <c r="P14" s="125">
        <v>0</v>
      </c>
      <c r="Q14" s="124"/>
      <c r="R14" s="6">
        <v>6</v>
      </c>
      <c r="S14" s="147" t="s">
        <v>77</v>
      </c>
      <c r="T14" s="125">
        <v>0</v>
      </c>
      <c r="U14" s="124"/>
      <c r="V14" s="121">
        <v>0</v>
      </c>
      <c r="W14" s="124"/>
      <c r="X14" s="125">
        <v>0</v>
      </c>
      <c r="Y14" s="124"/>
      <c r="Z14" s="6">
        <v>10</v>
      </c>
      <c r="AA14" s="147" t="s">
        <v>77</v>
      </c>
      <c r="AB14" s="125">
        <v>0</v>
      </c>
      <c r="AC14" s="124"/>
      <c r="AD14" s="121" t="s">
        <v>35</v>
      </c>
      <c r="AE14" s="124"/>
      <c r="AF14" s="125">
        <v>0</v>
      </c>
      <c r="AG14" s="124"/>
      <c r="AH14" s="6">
        <v>8</v>
      </c>
      <c r="AI14" s="147" t="s">
        <v>77</v>
      </c>
      <c r="AJ14" s="125">
        <v>0</v>
      </c>
      <c r="AK14" s="124"/>
      <c r="AL14" s="121">
        <v>0</v>
      </c>
      <c r="AM14" s="124"/>
      <c r="AN14" s="125">
        <v>0</v>
      </c>
      <c r="AO14" s="124"/>
      <c r="AP14" s="6">
        <v>5</v>
      </c>
      <c r="AQ14" s="147" t="s">
        <v>77</v>
      </c>
      <c r="AR14" s="125">
        <v>0</v>
      </c>
      <c r="AS14" s="124"/>
      <c r="AT14" s="121">
        <v>0</v>
      </c>
      <c r="AU14" s="124"/>
      <c r="AV14" s="125">
        <v>0</v>
      </c>
      <c r="AW14" s="124"/>
      <c r="AX14" s="6">
        <v>10</v>
      </c>
      <c r="AY14" s="147" t="s">
        <v>77</v>
      </c>
      <c r="AZ14" s="125">
        <v>0</v>
      </c>
      <c r="BA14" s="124"/>
      <c r="BB14" s="121" t="s">
        <v>35</v>
      </c>
      <c r="BC14" s="124"/>
      <c r="BD14" s="125">
        <v>0</v>
      </c>
      <c r="BE14" s="124"/>
      <c r="BF14" s="21">
        <v>7</v>
      </c>
      <c r="BG14" s="147" t="s">
        <v>77</v>
      </c>
      <c r="BH14" s="125" t="s">
        <v>35</v>
      </c>
      <c r="BI14" s="124"/>
      <c r="BJ14" s="121" t="s">
        <v>35</v>
      </c>
      <c r="BK14" s="124"/>
      <c r="BL14" s="125">
        <v>0</v>
      </c>
      <c r="BM14" s="124"/>
      <c r="BN14" s="6">
        <v>11</v>
      </c>
      <c r="BO14" s="147" t="s">
        <v>77</v>
      </c>
      <c r="BP14" s="125">
        <v>0</v>
      </c>
      <c r="BQ14" s="124"/>
      <c r="BR14" s="121">
        <v>0</v>
      </c>
      <c r="BS14" s="124"/>
      <c r="BT14" s="125">
        <v>0</v>
      </c>
      <c r="BU14" s="124"/>
      <c r="BV14" s="6">
        <v>9</v>
      </c>
      <c r="BW14" s="147" t="s">
        <v>118</v>
      </c>
      <c r="BX14" s="125" t="s">
        <v>35</v>
      </c>
      <c r="BY14" s="124"/>
      <c r="BZ14" s="121" t="s">
        <v>35</v>
      </c>
      <c r="CA14" s="124"/>
      <c r="CB14" s="125">
        <v>0</v>
      </c>
      <c r="CC14" s="124"/>
      <c r="CD14" s="6">
        <v>6</v>
      </c>
      <c r="CE14" s="147" t="s">
        <v>77</v>
      </c>
      <c r="CF14" s="125">
        <v>0</v>
      </c>
      <c r="CG14" s="124"/>
      <c r="CH14" s="121">
        <v>0</v>
      </c>
      <c r="CI14" s="124"/>
      <c r="CJ14" s="125">
        <v>0</v>
      </c>
      <c r="CK14" s="124"/>
      <c r="CL14" s="6">
        <v>11</v>
      </c>
      <c r="CM14" s="147" t="s">
        <v>122</v>
      </c>
      <c r="CN14" s="125">
        <v>0</v>
      </c>
      <c r="CO14" s="124"/>
      <c r="CP14" s="121">
        <v>0</v>
      </c>
      <c r="CQ14" s="124"/>
      <c r="CR14" s="125">
        <v>0</v>
      </c>
      <c r="CS14" s="139"/>
    </row>
    <row r="15" spans="1:97" s="2" customFormat="1" x14ac:dyDescent="0.2">
      <c r="A15" s="51" t="s">
        <v>4</v>
      </c>
      <c r="B15" s="52">
        <v>10</v>
      </c>
      <c r="C15" s="147" t="s">
        <v>125</v>
      </c>
      <c r="D15" s="126">
        <v>0</v>
      </c>
      <c r="E15" s="127"/>
      <c r="F15" s="126">
        <v>0</v>
      </c>
      <c r="G15" s="127"/>
      <c r="H15" s="127">
        <v>0</v>
      </c>
      <c r="I15" s="127"/>
      <c r="J15" s="51">
        <v>7</v>
      </c>
      <c r="K15" s="147" t="s">
        <v>57</v>
      </c>
      <c r="L15" s="126">
        <v>0</v>
      </c>
      <c r="M15" s="127"/>
      <c r="N15" s="126" t="s">
        <v>35</v>
      </c>
      <c r="O15" s="127"/>
      <c r="P15" s="127">
        <v>0</v>
      </c>
      <c r="Q15" s="127"/>
      <c r="R15" s="9">
        <v>7</v>
      </c>
      <c r="S15" s="147" t="s">
        <v>112</v>
      </c>
      <c r="T15" s="126">
        <v>0</v>
      </c>
      <c r="U15" s="127"/>
      <c r="V15" s="126">
        <v>0</v>
      </c>
      <c r="W15" s="127"/>
      <c r="X15" s="127">
        <v>0</v>
      </c>
      <c r="Y15" s="127"/>
      <c r="Z15" s="9">
        <v>11</v>
      </c>
      <c r="AA15" s="147" t="s">
        <v>77</v>
      </c>
      <c r="AB15" s="126">
        <v>0</v>
      </c>
      <c r="AC15" s="127"/>
      <c r="AD15" s="126" t="s">
        <v>35</v>
      </c>
      <c r="AE15" s="127"/>
      <c r="AF15" s="127">
        <v>0</v>
      </c>
      <c r="AG15" s="127"/>
      <c r="AH15" s="9">
        <v>9</v>
      </c>
      <c r="AI15" s="147" t="s">
        <v>82</v>
      </c>
      <c r="AJ15" s="126">
        <v>0</v>
      </c>
      <c r="AK15" s="127"/>
      <c r="AL15" s="126">
        <v>0</v>
      </c>
      <c r="AM15" s="127"/>
      <c r="AN15" s="127">
        <v>0</v>
      </c>
      <c r="AO15" s="127"/>
      <c r="AP15" s="9">
        <v>6</v>
      </c>
      <c r="AQ15" s="147" t="s">
        <v>83</v>
      </c>
      <c r="AR15" s="126">
        <v>0</v>
      </c>
      <c r="AS15" s="127"/>
      <c r="AT15" s="126">
        <v>0</v>
      </c>
      <c r="AU15" s="127"/>
      <c r="AV15" s="127">
        <v>0</v>
      </c>
      <c r="AW15" s="127"/>
      <c r="AX15" s="9">
        <v>11</v>
      </c>
      <c r="AY15" s="147" t="s">
        <v>78</v>
      </c>
      <c r="AZ15" s="126">
        <v>0</v>
      </c>
      <c r="BA15" s="127"/>
      <c r="BB15" s="126" t="s">
        <v>35</v>
      </c>
      <c r="BC15" s="127"/>
      <c r="BD15" s="127">
        <v>0</v>
      </c>
      <c r="BE15" s="127"/>
      <c r="BF15" s="22">
        <v>8</v>
      </c>
      <c r="BG15" s="147" t="s">
        <v>127</v>
      </c>
      <c r="BH15" s="126" t="s">
        <v>35</v>
      </c>
      <c r="BI15" s="127"/>
      <c r="BJ15" s="126" t="s">
        <v>35</v>
      </c>
      <c r="BK15" s="127"/>
      <c r="BL15" s="127">
        <v>0</v>
      </c>
      <c r="BM15" s="127"/>
      <c r="BN15" s="9">
        <v>12</v>
      </c>
      <c r="BO15" s="147" t="s">
        <v>83</v>
      </c>
      <c r="BP15" s="126">
        <v>0</v>
      </c>
      <c r="BQ15" s="127"/>
      <c r="BR15" s="126">
        <v>0</v>
      </c>
      <c r="BS15" s="127"/>
      <c r="BT15" s="127">
        <v>0</v>
      </c>
      <c r="BU15" s="127"/>
      <c r="BV15" s="9">
        <v>10</v>
      </c>
      <c r="BW15" s="147" t="s">
        <v>118</v>
      </c>
      <c r="BX15" s="126" t="s">
        <v>35</v>
      </c>
      <c r="BY15" s="127"/>
      <c r="BZ15" s="126" t="s">
        <v>35</v>
      </c>
      <c r="CA15" s="127"/>
      <c r="CB15" s="127">
        <v>0</v>
      </c>
      <c r="CC15" s="127"/>
      <c r="CD15" s="9">
        <v>7</v>
      </c>
      <c r="CE15" s="147" t="s">
        <v>59</v>
      </c>
      <c r="CF15" s="126">
        <v>0</v>
      </c>
      <c r="CG15" s="127"/>
      <c r="CH15" s="126">
        <v>0</v>
      </c>
      <c r="CI15" s="127"/>
      <c r="CJ15" s="127">
        <v>0</v>
      </c>
      <c r="CK15" s="127"/>
      <c r="CL15" s="9">
        <v>12</v>
      </c>
      <c r="CM15" s="147" t="s">
        <v>126</v>
      </c>
      <c r="CN15" s="126">
        <v>0</v>
      </c>
      <c r="CO15" s="127"/>
      <c r="CP15" s="126">
        <v>0</v>
      </c>
      <c r="CQ15" s="127"/>
      <c r="CR15" s="127">
        <v>0</v>
      </c>
      <c r="CS15" s="141"/>
    </row>
    <row r="16" spans="1:97" s="2" customFormat="1" x14ac:dyDescent="0.2">
      <c r="A16" s="9" t="s">
        <v>5</v>
      </c>
      <c r="B16" s="10">
        <v>11</v>
      </c>
      <c r="C16" s="147" t="s">
        <v>78</v>
      </c>
      <c r="D16" s="126">
        <v>0</v>
      </c>
      <c r="E16" s="127"/>
      <c r="F16" s="126">
        <v>0</v>
      </c>
      <c r="G16" s="127"/>
      <c r="H16" s="127">
        <v>0</v>
      </c>
      <c r="I16" s="127"/>
      <c r="J16" s="51">
        <v>8</v>
      </c>
      <c r="K16" s="147" t="s">
        <v>77</v>
      </c>
      <c r="L16" s="126">
        <v>0</v>
      </c>
      <c r="M16" s="127"/>
      <c r="N16" s="126">
        <v>0</v>
      </c>
      <c r="O16" s="127"/>
      <c r="P16" s="127">
        <v>0</v>
      </c>
      <c r="Q16" s="127"/>
      <c r="R16" s="9">
        <v>8</v>
      </c>
      <c r="S16" s="147" t="s">
        <v>113</v>
      </c>
      <c r="T16" s="126">
        <v>0</v>
      </c>
      <c r="U16" s="127"/>
      <c r="V16" s="126">
        <v>0</v>
      </c>
      <c r="W16" s="127"/>
      <c r="X16" s="127">
        <v>0</v>
      </c>
      <c r="Y16" s="127"/>
      <c r="Z16" s="9">
        <v>12</v>
      </c>
      <c r="AA16" s="147" t="s">
        <v>27</v>
      </c>
      <c r="AB16" s="126">
        <v>0</v>
      </c>
      <c r="AC16" s="127"/>
      <c r="AD16" s="126" t="s">
        <v>35</v>
      </c>
      <c r="AE16" s="127"/>
      <c r="AF16" s="127">
        <v>0</v>
      </c>
      <c r="AG16" s="127"/>
      <c r="AH16" s="9">
        <v>10</v>
      </c>
      <c r="AI16" s="147" t="s">
        <v>14</v>
      </c>
      <c r="AJ16" s="126">
        <v>0</v>
      </c>
      <c r="AK16" s="127"/>
      <c r="AL16" s="126">
        <v>0</v>
      </c>
      <c r="AM16" s="127"/>
      <c r="AN16" s="127">
        <v>0</v>
      </c>
      <c r="AO16" s="127"/>
      <c r="AP16" s="9">
        <v>7</v>
      </c>
      <c r="AQ16" s="147" t="s">
        <v>77</v>
      </c>
      <c r="AR16" s="126">
        <v>0</v>
      </c>
      <c r="AS16" s="127"/>
      <c r="AT16" s="126">
        <v>0</v>
      </c>
      <c r="AU16" s="127"/>
      <c r="AV16" s="127">
        <v>0</v>
      </c>
      <c r="AW16" s="127"/>
      <c r="AX16" s="9">
        <v>12</v>
      </c>
      <c r="AY16" s="147" t="s">
        <v>78</v>
      </c>
      <c r="AZ16" s="126">
        <v>0</v>
      </c>
      <c r="BA16" s="127"/>
      <c r="BB16" s="126" t="s">
        <v>35</v>
      </c>
      <c r="BC16" s="127"/>
      <c r="BD16" s="127">
        <v>0</v>
      </c>
      <c r="BE16" s="127"/>
      <c r="BF16" s="9">
        <v>9</v>
      </c>
      <c r="BG16" s="147" t="s">
        <v>77</v>
      </c>
      <c r="BH16" s="126" t="s">
        <v>35</v>
      </c>
      <c r="BI16" s="127"/>
      <c r="BJ16" s="126">
        <v>0</v>
      </c>
      <c r="BK16" s="127"/>
      <c r="BL16" s="127">
        <v>0</v>
      </c>
      <c r="BM16" s="127"/>
      <c r="BN16" s="9">
        <v>13</v>
      </c>
      <c r="BO16" s="147" t="s">
        <v>77</v>
      </c>
      <c r="BP16" s="126">
        <v>0</v>
      </c>
      <c r="BQ16" s="127"/>
      <c r="BR16" s="126">
        <v>0</v>
      </c>
      <c r="BS16" s="127"/>
      <c r="BT16" s="127">
        <v>0</v>
      </c>
      <c r="BU16" s="127"/>
      <c r="BV16" s="9">
        <v>11</v>
      </c>
      <c r="BW16" s="147" t="s">
        <v>118</v>
      </c>
      <c r="BX16" s="126" t="s">
        <v>35</v>
      </c>
      <c r="BY16" s="127"/>
      <c r="BZ16" s="126">
        <v>0</v>
      </c>
      <c r="CA16" s="127"/>
      <c r="CB16" s="127">
        <v>0</v>
      </c>
      <c r="CC16" s="127"/>
      <c r="CD16" s="9">
        <v>8</v>
      </c>
      <c r="CE16" s="147" t="s">
        <v>77</v>
      </c>
      <c r="CF16" s="126">
        <v>0</v>
      </c>
      <c r="CG16" s="127"/>
      <c r="CH16" s="126">
        <v>0</v>
      </c>
      <c r="CI16" s="127"/>
      <c r="CJ16" s="127">
        <v>0</v>
      </c>
      <c r="CK16" s="127"/>
      <c r="CL16" s="9">
        <v>13</v>
      </c>
      <c r="CM16" s="147" t="s">
        <v>48</v>
      </c>
      <c r="CN16" s="126">
        <v>0</v>
      </c>
      <c r="CO16" s="127"/>
      <c r="CP16" s="126">
        <v>0</v>
      </c>
      <c r="CQ16" s="127"/>
      <c r="CR16" s="127">
        <v>0</v>
      </c>
      <c r="CS16" s="141"/>
    </row>
    <row r="17" spans="1:97" s="2" customFormat="1" ht="15" customHeight="1" x14ac:dyDescent="0.2">
      <c r="A17" s="6" t="s">
        <v>25</v>
      </c>
      <c r="B17" s="8">
        <v>12</v>
      </c>
      <c r="C17" s="147" t="s">
        <v>77</v>
      </c>
      <c r="D17" s="169">
        <v>3</v>
      </c>
      <c r="E17" s="169"/>
      <c r="F17" s="169"/>
      <c r="G17" s="169"/>
      <c r="H17" s="169"/>
      <c r="I17" s="170"/>
      <c r="J17" s="6">
        <v>9</v>
      </c>
      <c r="K17" s="147" t="s">
        <v>77</v>
      </c>
      <c r="L17" s="125" t="s">
        <v>35</v>
      </c>
      <c r="M17" s="171">
        <v>7</v>
      </c>
      <c r="N17" s="171"/>
      <c r="O17" s="171"/>
      <c r="P17" s="171"/>
      <c r="Q17" s="172"/>
      <c r="R17" s="18">
        <v>9</v>
      </c>
      <c r="S17" s="147" t="s">
        <v>77</v>
      </c>
      <c r="T17" s="167">
        <v>11</v>
      </c>
      <c r="U17" s="167"/>
      <c r="V17" s="167"/>
      <c r="W17" s="167"/>
      <c r="X17" s="167"/>
      <c r="Y17" s="168"/>
      <c r="Z17" s="18">
        <v>13</v>
      </c>
      <c r="AA17" s="147" t="s">
        <v>77</v>
      </c>
      <c r="AB17" s="125">
        <v>0</v>
      </c>
      <c r="AC17" s="124"/>
      <c r="AD17" s="121" t="s">
        <v>35</v>
      </c>
      <c r="AE17" s="124"/>
      <c r="AF17" s="125" t="s">
        <v>35</v>
      </c>
      <c r="AG17" s="146"/>
      <c r="AH17" s="18">
        <v>11</v>
      </c>
      <c r="AI17" s="147" t="s">
        <v>77</v>
      </c>
      <c r="AJ17" s="167">
        <v>20</v>
      </c>
      <c r="AK17" s="167"/>
      <c r="AL17" s="167"/>
      <c r="AM17" s="167"/>
      <c r="AN17" s="167"/>
      <c r="AO17" s="168"/>
      <c r="AP17" s="18">
        <v>8</v>
      </c>
      <c r="AQ17" s="147" t="s">
        <v>77</v>
      </c>
      <c r="AR17" s="167">
        <v>24</v>
      </c>
      <c r="AS17" s="167"/>
      <c r="AT17" s="167"/>
      <c r="AU17" s="167"/>
      <c r="AV17" s="167"/>
      <c r="AW17" s="168"/>
      <c r="AX17" s="18">
        <v>13</v>
      </c>
      <c r="AY17" s="147" t="s">
        <v>78</v>
      </c>
      <c r="AZ17" s="125" t="s">
        <v>35</v>
      </c>
      <c r="BA17" s="124"/>
      <c r="BB17" s="121" t="s">
        <v>35</v>
      </c>
      <c r="BC17" s="124"/>
      <c r="BD17" s="125">
        <v>0</v>
      </c>
      <c r="BE17" s="146"/>
      <c r="BF17" s="21">
        <v>10</v>
      </c>
      <c r="BG17" s="147" t="s">
        <v>77</v>
      </c>
      <c r="BH17" s="125" t="s">
        <v>35</v>
      </c>
      <c r="BI17" s="171">
        <v>33</v>
      </c>
      <c r="BJ17" s="171"/>
      <c r="BK17" s="171"/>
      <c r="BL17" s="171"/>
      <c r="BM17" s="172"/>
      <c r="BN17" s="18">
        <v>14</v>
      </c>
      <c r="BO17" s="147" t="s">
        <v>77</v>
      </c>
      <c r="BP17" s="167">
        <v>38</v>
      </c>
      <c r="BQ17" s="167"/>
      <c r="BR17" s="167"/>
      <c r="BS17" s="167"/>
      <c r="BT17" s="167"/>
      <c r="BU17" s="168"/>
      <c r="BV17" s="18">
        <v>12</v>
      </c>
      <c r="BW17" s="147" t="s">
        <v>77</v>
      </c>
      <c r="BX17" s="125" t="s">
        <v>35</v>
      </c>
      <c r="BY17" s="171">
        <v>42</v>
      </c>
      <c r="BZ17" s="171"/>
      <c r="CA17" s="171"/>
      <c r="CB17" s="171"/>
      <c r="CC17" s="172"/>
      <c r="CD17" s="18">
        <v>9</v>
      </c>
      <c r="CE17" s="147" t="s">
        <v>77</v>
      </c>
      <c r="CF17" s="167">
        <v>46</v>
      </c>
      <c r="CG17" s="167"/>
      <c r="CH17" s="167"/>
      <c r="CI17" s="167"/>
      <c r="CJ17" s="167"/>
      <c r="CK17" s="168"/>
      <c r="CL17" s="18">
        <v>14</v>
      </c>
      <c r="CM17" s="147" t="s">
        <v>77</v>
      </c>
      <c r="CN17" s="167">
        <v>51</v>
      </c>
      <c r="CO17" s="167"/>
      <c r="CP17" s="167"/>
      <c r="CQ17" s="167"/>
      <c r="CR17" s="167"/>
      <c r="CS17" s="168"/>
    </row>
    <row r="18" spans="1:97" s="2" customFormat="1" x14ac:dyDescent="0.2">
      <c r="A18" s="6" t="s">
        <v>6</v>
      </c>
      <c r="B18" s="8">
        <v>13</v>
      </c>
      <c r="C18" s="147" t="s">
        <v>77</v>
      </c>
      <c r="D18" s="125">
        <v>0</v>
      </c>
      <c r="E18" s="124"/>
      <c r="F18" s="121">
        <v>0</v>
      </c>
      <c r="G18" s="124"/>
      <c r="H18" s="125">
        <v>0</v>
      </c>
      <c r="I18" s="124"/>
      <c r="J18" s="6">
        <v>10</v>
      </c>
      <c r="K18" s="147" t="s">
        <v>77</v>
      </c>
      <c r="L18" s="125" t="s">
        <v>35</v>
      </c>
      <c r="M18" s="124"/>
      <c r="N18" s="121">
        <v>0</v>
      </c>
      <c r="O18" s="124"/>
      <c r="P18" s="125">
        <v>0</v>
      </c>
      <c r="Q18" s="124"/>
      <c r="R18" s="6">
        <v>10</v>
      </c>
      <c r="S18" s="147" t="s">
        <v>77</v>
      </c>
      <c r="T18" s="125">
        <v>0</v>
      </c>
      <c r="U18" s="124"/>
      <c r="V18" s="121">
        <v>0</v>
      </c>
      <c r="W18" s="124"/>
      <c r="X18" s="125">
        <v>0</v>
      </c>
      <c r="Y18" s="124"/>
      <c r="Z18" s="6">
        <v>14</v>
      </c>
      <c r="AA18" s="147" t="s">
        <v>77</v>
      </c>
      <c r="AB18" s="125">
        <v>0</v>
      </c>
      <c r="AC18" s="124"/>
      <c r="AD18" s="121" t="s">
        <v>35</v>
      </c>
      <c r="AE18" s="124"/>
      <c r="AF18" s="125" t="s">
        <v>35</v>
      </c>
      <c r="AG18" s="124"/>
      <c r="AH18" s="6">
        <v>12</v>
      </c>
      <c r="AI18" s="147" t="s">
        <v>77</v>
      </c>
      <c r="AJ18" s="125">
        <v>0</v>
      </c>
      <c r="AK18" s="124"/>
      <c r="AL18" s="121">
        <v>0</v>
      </c>
      <c r="AM18" s="124"/>
      <c r="AN18" s="125">
        <v>0</v>
      </c>
      <c r="AO18" s="124"/>
      <c r="AP18" s="6">
        <v>9</v>
      </c>
      <c r="AQ18" s="147" t="s">
        <v>77</v>
      </c>
      <c r="AR18" s="125">
        <v>0</v>
      </c>
      <c r="AS18" s="124"/>
      <c r="AT18" s="121">
        <v>0</v>
      </c>
      <c r="AU18" s="124"/>
      <c r="AV18" s="125">
        <v>0</v>
      </c>
      <c r="AW18" s="124"/>
      <c r="AX18" s="6">
        <v>14</v>
      </c>
      <c r="AY18" s="147" t="s">
        <v>78</v>
      </c>
      <c r="AZ18" s="125" t="s">
        <v>35</v>
      </c>
      <c r="BA18" s="124"/>
      <c r="BB18" s="121" t="s">
        <v>35</v>
      </c>
      <c r="BC18" s="124"/>
      <c r="BD18" s="125">
        <v>0</v>
      </c>
      <c r="BE18" s="124"/>
      <c r="BF18" s="21">
        <v>11</v>
      </c>
      <c r="BG18" s="147" t="s">
        <v>77</v>
      </c>
      <c r="BH18" s="125" t="s">
        <v>35</v>
      </c>
      <c r="BI18" s="124"/>
      <c r="BJ18" s="121">
        <v>0</v>
      </c>
      <c r="BK18" s="124"/>
      <c r="BL18" s="125">
        <v>0</v>
      </c>
      <c r="BM18" s="124"/>
      <c r="BN18" s="6">
        <v>15</v>
      </c>
      <c r="BO18" s="147" t="s">
        <v>77</v>
      </c>
      <c r="BP18" s="125">
        <v>0</v>
      </c>
      <c r="BQ18" s="124"/>
      <c r="BR18" s="121">
        <v>0</v>
      </c>
      <c r="BS18" s="124"/>
      <c r="BT18" s="125">
        <v>0</v>
      </c>
      <c r="BU18" s="124"/>
      <c r="BV18" s="6">
        <v>13</v>
      </c>
      <c r="BW18" s="147" t="s">
        <v>77</v>
      </c>
      <c r="BX18" s="125" t="s">
        <v>35</v>
      </c>
      <c r="BY18" s="124"/>
      <c r="BZ18" s="121">
        <v>0</v>
      </c>
      <c r="CA18" s="124"/>
      <c r="CB18" s="125">
        <v>0</v>
      </c>
      <c r="CC18" s="124"/>
      <c r="CD18" s="6">
        <v>10</v>
      </c>
      <c r="CE18" s="147" t="s">
        <v>77</v>
      </c>
      <c r="CF18" s="125">
        <v>0</v>
      </c>
      <c r="CG18" s="124"/>
      <c r="CH18" s="121">
        <v>0</v>
      </c>
      <c r="CI18" s="124"/>
      <c r="CJ18" s="125">
        <v>0</v>
      </c>
      <c r="CK18" s="124"/>
      <c r="CL18" s="6">
        <v>15</v>
      </c>
      <c r="CM18" s="147" t="s">
        <v>77</v>
      </c>
      <c r="CN18" s="125">
        <v>0</v>
      </c>
      <c r="CO18" s="124"/>
      <c r="CP18" s="121">
        <v>0</v>
      </c>
      <c r="CQ18" s="124"/>
      <c r="CR18" s="125">
        <v>0</v>
      </c>
      <c r="CS18" s="139"/>
    </row>
    <row r="19" spans="1:97" s="2" customFormat="1" x14ac:dyDescent="0.2">
      <c r="A19" s="6" t="s">
        <v>7</v>
      </c>
      <c r="B19" s="8">
        <v>14</v>
      </c>
      <c r="C19" s="147" t="s">
        <v>77</v>
      </c>
      <c r="D19" s="125">
        <v>0</v>
      </c>
      <c r="E19" s="124"/>
      <c r="F19" s="121">
        <v>0</v>
      </c>
      <c r="G19" s="124"/>
      <c r="H19" s="125">
        <v>0</v>
      </c>
      <c r="I19" s="124"/>
      <c r="J19" s="6">
        <v>11</v>
      </c>
      <c r="K19" s="147" t="s">
        <v>77</v>
      </c>
      <c r="L19" s="125" t="s">
        <v>35</v>
      </c>
      <c r="M19" s="124"/>
      <c r="N19" s="121">
        <v>0</v>
      </c>
      <c r="O19" s="124"/>
      <c r="P19" s="125">
        <v>0</v>
      </c>
      <c r="Q19" s="124"/>
      <c r="R19" s="6">
        <v>11</v>
      </c>
      <c r="S19" s="147" t="s">
        <v>77</v>
      </c>
      <c r="T19" s="125">
        <v>0</v>
      </c>
      <c r="U19" s="124"/>
      <c r="V19" s="121">
        <v>0</v>
      </c>
      <c r="W19" s="124"/>
      <c r="X19" s="125">
        <v>0</v>
      </c>
      <c r="Y19" s="124"/>
      <c r="Z19" s="6">
        <v>15</v>
      </c>
      <c r="AA19" s="147" t="s">
        <v>77</v>
      </c>
      <c r="AB19" s="125">
        <v>0</v>
      </c>
      <c r="AC19" s="124"/>
      <c r="AD19" s="121" t="s">
        <v>35</v>
      </c>
      <c r="AE19" s="124"/>
      <c r="AF19" s="125" t="s">
        <v>35</v>
      </c>
      <c r="AG19" s="124"/>
      <c r="AH19" s="6">
        <v>13</v>
      </c>
      <c r="AI19" s="147" t="s">
        <v>77</v>
      </c>
      <c r="AJ19" s="125">
        <v>0</v>
      </c>
      <c r="AK19" s="124"/>
      <c r="AL19" s="121">
        <v>0</v>
      </c>
      <c r="AM19" s="124"/>
      <c r="AN19" s="125">
        <v>0</v>
      </c>
      <c r="AO19" s="124"/>
      <c r="AP19" s="6">
        <v>10</v>
      </c>
      <c r="AQ19" s="147" t="s">
        <v>77</v>
      </c>
      <c r="AR19" s="125">
        <v>0</v>
      </c>
      <c r="AS19" s="124"/>
      <c r="AT19" s="121">
        <v>0</v>
      </c>
      <c r="AU19" s="124"/>
      <c r="AV19" s="125">
        <v>0</v>
      </c>
      <c r="AW19" s="124"/>
      <c r="AX19" s="6">
        <v>15</v>
      </c>
      <c r="AY19" s="147" t="s">
        <v>78</v>
      </c>
      <c r="AZ19" s="125" t="s">
        <v>35</v>
      </c>
      <c r="BA19" s="124"/>
      <c r="BB19" s="121" t="s">
        <v>35</v>
      </c>
      <c r="BC19" s="124"/>
      <c r="BD19" s="125">
        <v>0</v>
      </c>
      <c r="BE19" s="124"/>
      <c r="BF19" s="21">
        <v>12</v>
      </c>
      <c r="BG19" s="147" t="s">
        <v>77</v>
      </c>
      <c r="BH19" s="125" t="s">
        <v>35</v>
      </c>
      <c r="BI19" s="124"/>
      <c r="BJ19" s="121">
        <v>0</v>
      </c>
      <c r="BK19" s="124"/>
      <c r="BL19" s="125">
        <v>0</v>
      </c>
      <c r="BM19" s="124"/>
      <c r="BN19" s="6">
        <v>16</v>
      </c>
      <c r="BO19" s="147" t="s">
        <v>77</v>
      </c>
      <c r="BP19" s="125">
        <v>0</v>
      </c>
      <c r="BQ19" s="124"/>
      <c r="BR19" s="121">
        <v>0</v>
      </c>
      <c r="BS19" s="124"/>
      <c r="BT19" s="125">
        <v>0</v>
      </c>
      <c r="BU19" s="124"/>
      <c r="BV19" s="6">
        <v>14</v>
      </c>
      <c r="BW19" s="147" t="s">
        <v>77</v>
      </c>
      <c r="BX19" s="125" t="s">
        <v>35</v>
      </c>
      <c r="BY19" s="124"/>
      <c r="BZ19" s="121">
        <v>0</v>
      </c>
      <c r="CA19" s="124"/>
      <c r="CB19" s="125">
        <v>0</v>
      </c>
      <c r="CC19" s="124"/>
      <c r="CD19" s="6">
        <v>11</v>
      </c>
      <c r="CE19" s="147" t="s">
        <v>77</v>
      </c>
      <c r="CF19" s="125">
        <v>0</v>
      </c>
      <c r="CG19" s="124"/>
      <c r="CH19" s="121">
        <v>0</v>
      </c>
      <c r="CI19" s="124"/>
      <c r="CJ19" s="125">
        <v>0</v>
      </c>
      <c r="CK19" s="124"/>
      <c r="CL19" s="6">
        <v>16</v>
      </c>
      <c r="CM19" s="147" t="s">
        <v>77</v>
      </c>
      <c r="CN19" s="125">
        <v>0</v>
      </c>
      <c r="CO19" s="124"/>
      <c r="CP19" s="121">
        <v>0</v>
      </c>
      <c r="CQ19" s="124"/>
      <c r="CR19" s="125">
        <v>0</v>
      </c>
      <c r="CS19" s="139"/>
    </row>
    <row r="20" spans="1:97" s="2" customFormat="1" ht="12.75" customHeight="1" x14ac:dyDescent="0.2">
      <c r="A20" s="6" t="s">
        <v>8</v>
      </c>
      <c r="B20" s="8">
        <v>15</v>
      </c>
      <c r="C20" s="147" t="s">
        <v>77</v>
      </c>
      <c r="D20" s="125">
        <v>0</v>
      </c>
      <c r="E20" s="124"/>
      <c r="F20" s="121">
        <v>0</v>
      </c>
      <c r="G20" s="124"/>
      <c r="H20" s="125">
        <v>0</v>
      </c>
      <c r="I20" s="124"/>
      <c r="J20" s="6">
        <v>12</v>
      </c>
      <c r="K20" s="147" t="s">
        <v>56</v>
      </c>
      <c r="L20" s="125" t="s">
        <v>35</v>
      </c>
      <c r="M20" s="124"/>
      <c r="N20" s="121">
        <v>0</v>
      </c>
      <c r="O20" s="124"/>
      <c r="P20" s="125">
        <v>0</v>
      </c>
      <c r="Q20" s="124"/>
      <c r="R20" s="6">
        <v>12</v>
      </c>
      <c r="S20" s="147" t="s">
        <v>56</v>
      </c>
      <c r="T20" s="125">
        <v>0</v>
      </c>
      <c r="U20" s="124"/>
      <c r="V20" s="121">
        <v>0</v>
      </c>
      <c r="W20" s="124"/>
      <c r="X20" s="125">
        <v>0</v>
      </c>
      <c r="Y20" s="124"/>
      <c r="Z20" s="6">
        <v>16</v>
      </c>
      <c r="AA20" s="147" t="s">
        <v>77</v>
      </c>
      <c r="AB20" s="125">
        <v>0</v>
      </c>
      <c r="AC20" s="124"/>
      <c r="AD20" s="121" t="s">
        <v>35</v>
      </c>
      <c r="AE20" s="124"/>
      <c r="AF20" s="125" t="s">
        <v>35</v>
      </c>
      <c r="AG20" s="124"/>
      <c r="AH20" s="6">
        <v>14</v>
      </c>
      <c r="AI20" s="147" t="s">
        <v>37</v>
      </c>
      <c r="AJ20" s="125">
        <v>0</v>
      </c>
      <c r="AK20" s="124"/>
      <c r="AL20" s="121">
        <v>0</v>
      </c>
      <c r="AM20" s="124"/>
      <c r="AN20" s="125">
        <v>0</v>
      </c>
      <c r="AO20" s="124"/>
      <c r="AP20" s="6">
        <v>11</v>
      </c>
      <c r="AQ20" s="147" t="s">
        <v>77</v>
      </c>
      <c r="AR20" s="125">
        <v>0</v>
      </c>
      <c r="AS20" s="124"/>
      <c r="AT20" s="121">
        <v>0</v>
      </c>
      <c r="AU20" s="124"/>
      <c r="AV20" s="125">
        <v>0</v>
      </c>
      <c r="AW20" s="124"/>
      <c r="AX20" s="6">
        <v>16</v>
      </c>
      <c r="AY20" s="147" t="s">
        <v>78</v>
      </c>
      <c r="AZ20" s="125" t="s">
        <v>35</v>
      </c>
      <c r="BA20" s="124"/>
      <c r="BB20" s="121" t="s">
        <v>35</v>
      </c>
      <c r="BC20" s="124"/>
      <c r="BD20" s="125">
        <v>0</v>
      </c>
      <c r="BE20" s="124"/>
      <c r="BF20" s="21">
        <v>13</v>
      </c>
      <c r="BG20" s="147" t="s">
        <v>77</v>
      </c>
      <c r="BH20" s="125" t="s">
        <v>35</v>
      </c>
      <c r="BI20" s="124"/>
      <c r="BJ20" s="121">
        <v>0</v>
      </c>
      <c r="BK20" s="124"/>
      <c r="BL20" s="125">
        <v>0</v>
      </c>
      <c r="BM20" s="124"/>
      <c r="BN20" s="6">
        <v>17</v>
      </c>
      <c r="BO20" s="147" t="s">
        <v>77</v>
      </c>
      <c r="BP20" s="125">
        <v>0</v>
      </c>
      <c r="BQ20" s="124"/>
      <c r="BR20" s="121">
        <v>0</v>
      </c>
      <c r="BS20" s="124"/>
      <c r="BT20" s="125">
        <v>0</v>
      </c>
      <c r="BU20" s="124"/>
      <c r="BV20" s="6">
        <v>15</v>
      </c>
      <c r="BW20" s="147" t="s">
        <v>56</v>
      </c>
      <c r="BX20" s="125" t="s">
        <v>35</v>
      </c>
      <c r="BY20" s="124"/>
      <c r="BZ20" s="121">
        <v>0</v>
      </c>
      <c r="CA20" s="124"/>
      <c r="CB20" s="125">
        <v>0</v>
      </c>
      <c r="CC20" s="124"/>
      <c r="CD20" s="6">
        <v>12</v>
      </c>
      <c r="CE20" s="147" t="s">
        <v>56</v>
      </c>
      <c r="CF20" s="125">
        <v>0</v>
      </c>
      <c r="CG20" s="124"/>
      <c r="CH20" s="121">
        <v>0</v>
      </c>
      <c r="CI20" s="124"/>
      <c r="CJ20" s="125">
        <v>0</v>
      </c>
      <c r="CK20" s="124"/>
      <c r="CL20" s="6">
        <v>17</v>
      </c>
      <c r="CM20" s="147" t="s">
        <v>123</v>
      </c>
      <c r="CN20" s="125">
        <v>0</v>
      </c>
      <c r="CO20" s="124"/>
      <c r="CP20" s="121">
        <v>0</v>
      </c>
      <c r="CQ20" s="124"/>
      <c r="CR20" s="125">
        <v>0</v>
      </c>
      <c r="CS20" s="139"/>
    </row>
    <row r="21" spans="1:97" s="2" customFormat="1" ht="12.75" customHeight="1" x14ac:dyDescent="0.2">
      <c r="A21" s="6" t="s">
        <v>3</v>
      </c>
      <c r="B21" s="8">
        <v>16</v>
      </c>
      <c r="C21" s="147" t="s">
        <v>77</v>
      </c>
      <c r="D21" s="125">
        <v>0</v>
      </c>
      <c r="E21" s="124"/>
      <c r="F21" s="121">
        <v>0</v>
      </c>
      <c r="G21" s="124"/>
      <c r="H21" s="125">
        <v>0</v>
      </c>
      <c r="I21" s="124"/>
      <c r="J21" s="6">
        <v>13</v>
      </c>
      <c r="K21" s="147" t="s">
        <v>77</v>
      </c>
      <c r="L21" s="125" t="s">
        <v>35</v>
      </c>
      <c r="M21" s="124"/>
      <c r="N21" s="121">
        <v>0</v>
      </c>
      <c r="O21" s="124"/>
      <c r="P21" s="125">
        <v>0</v>
      </c>
      <c r="Q21" s="124"/>
      <c r="R21" s="6">
        <v>13</v>
      </c>
      <c r="S21" s="147" t="s">
        <v>77</v>
      </c>
      <c r="T21" s="125">
        <v>0</v>
      </c>
      <c r="U21" s="124"/>
      <c r="V21" s="121">
        <v>0</v>
      </c>
      <c r="W21" s="124"/>
      <c r="X21" s="125">
        <v>0</v>
      </c>
      <c r="Y21" s="124"/>
      <c r="Z21" s="6">
        <v>17</v>
      </c>
      <c r="AA21" s="147" t="s">
        <v>77</v>
      </c>
      <c r="AB21" s="125">
        <v>0</v>
      </c>
      <c r="AC21" s="124"/>
      <c r="AD21" s="121" t="s">
        <v>35</v>
      </c>
      <c r="AE21" s="124"/>
      <c r="AF21" s="125" t="s">
        <v>35</v>
      </c>
      <c r="AG21" s="124"/>
      <c r="AH21" s="6">
        <v>15</v>
      </c>
      <c r="AI21" s="147" t="s">
        <v>77</v>
      </c>
      <c r="AJ21" s="125">
        <v>0</v>
      </c>
      <c r="AK21" s="124"/>
      <c r="AL21" s="121">
        <v>0</v>
      </c>
      <c r="AM21" s="124"/>
      <c r="AN21" s="125">
        <v>0</v>
      </c>
      <c r="AO21" s="124"/>
      <c r="AP21" s="6">
        <v>12</v>
      </c>
      <c r="AQ21" s="147" t="s">
        <v>77</v>
      </c>
      <c r="AR21" s="125">
        <v>0</v>
      </c>
      <c r="AS21" s="124"/>
      <c r="AT21" s="121">
        <v>0</v>
      </c>
      <c r="AU21" s="124"/>
      <c r="AV21" s="125">
        <v>0</v>
      </c>
      <c r="AW21" s="124"/>
      <c r="AX21" s="6">
        <v>17</v>
      </c>
      <c r="AY21" s="147" t="s">
        <v>78</v>
      </c>
      <c r="AZ21" s="125" t="s">
        <v>35</v>
      </c>
      <c r="BA21" s="124"/>
      <c r="BB21" s="121" t="s">
        <v>35</v>
      </c>
      <c r="BC21" s="124"/>
      <c r="BD21" s="125">
        <v>0</v>
      </c>
      <c r="BE21" s="124"/>
      <c r="BF21" s="21">
        <v>14</v>
      </c>
      <c r="BG21" s="147" t="s">
        <v>38</v>
      </c>
      <c r="BH21" s="125" t="s">
        <v>35</v>
      </c>
      <c r="BI21" s="124"/>
      <c r="BJ21" s="121">
        <v>0</v>
      </c>
      <c r="BK21" s="124"/>
      <c r="BL21" s="125">
        <v>0</v>
      </c>
      <c r="BM21" s="124"/>
      <c r="BN21" s="6">
        <v>18</v>
      </c>
      <c r="BO21" s="147" t="s">
        <v>77</v>
      </c>
      <c r="BP21" s="125">
        <v>0</v>
      </c>
      <c r="BQ21" s="124"/>
      <c r="BR21" s="121">
        <v>0</v>
      </c>
      <c r="BS21" s="124"/>
      <c r="BT21" s="125">
        <v>0</v>
      </c>
      <c r="BU21" s="124"/>
      <c r="BV21" s="6">
        <v>16</v>
      </c>
      <c r="BW21" s="147" t="s">
        <v>77</v>
      </c>
      <c r="BX21" s="125" t="s">
        <v>35</v>
      </c>
      <c r="BY21" s="124"/>
      <c r="BZ21" s="121">
        <v>0</v>
      </c>
      <c r="CA21" s="124"/>
      <c r="CB21" s="125">
        <v>0</v>
      </c>
      <c r="CC21" s="124"/>
      <c r="CD21" s="6">
        <v>13</v>
      </c>
      <c r="CE21" s="147" t="s">
        <v>77</v>
      </c>
      <c r="CF21" s="125">
        <v>0</v>
      </c>
      <c r="CG21" s="124"/>
      <c r="CH21" s="121">
        <v>0</v>
      </c>
      <c r="CI21" s="124"/>
      <c r="CJ21" s="125">
        <v>0</v>
      </c>
      <c r="CK21" s="124"/>
      <c r="CL21" s="6">
        <v>18</v>
      </c>
      <c r="CM21" s="147" t="s">
        <v>77</v>
      </c>
      <c r="CN21" s="125">
        <v>0</v>
      </c>
      <c r="CO21" s="124"/>
      <c r="CP21" s="121">
        <v>0</v>
      </c>
      <c r="CQ21" s="124"/>
      <c r="CR21" s="125">
        <v>0</v>
      </c>
      <c r="CS21" s="139"/>
    </row>
    <row r="22" spans="1:97" s="2" customFormat="1" ht="12.75" customHeight="1" x14ac:dyDescent="0.2">
      <c r="A22" s="9" t="s">
        <v>4</v>
      </c>
      <c r="B22" s="10">
        <v>17</v>
      </c>
      <c r="C22" s="147" t="s">
        <v>55</v>
      </c>
      <c r="D22" s="126">
        <v>0</v>
      </c>
      <c r="E22" s="126"/>
      <c r="F22" s="126">
        <v>0</v>
      </c>
      <c r="G22" s="126"/>
      <c r="H22" s="126">
        <v>0</v>
      </c>
      <c r="I22" s="126"/>
      <c r="J22" s="51">
        <v>14</v>
      </c>
      <c r="K22" s="147" t="s">
        <v>82</v>
      </c>
      <c r="L22" s="126" t="s">
        <v>35</v>
      </c>
      <c r="M22" s="126"/>
      <c r="N22" s="126">
        <v>0</v>
      </c>
      <c r="O22" s="126"/>
      <c r="P22" s="126">
        <v>0</v>
      </c>
      <c r="Q22" s="126"/>
      <c r="R22" s="9">
        <v>14</v>
      </c>
      <c r="S22" s="147" t="s">
        <v>83</v>
      </c>
      <c r="T22" s="126">
        <v>0</v>
      </c>
      <c r="U22" s="126"/>
      <c r="V22" s="126">
        <v>0</v>
      </c>
      <c r="W22" s="126"/>
      <c r="X22" s="126">
        <v>0</v>
      </c>
      <c r="Y22" s="126"/>
      <c r="Z22" s="9">
        <v>18</v>
      </c>
      <c r="AA22" s="147" t="s">
        <v>77</v>
      </c>
      <c r="AB22" s="126">
        <v>0</v>
      </c>
      <c r="AC22" s="126"/>
      <c r="AD22" s="126" t="s">
        <v>35</v>
      </c>
      <c r="AE22" s="126"/>
      <c r="AF22" s="126" t="s">
        <v>35</v>
      </c>
      <c r="AG22" s="126"/>
      <c r="AH22" s="9">
        <v>16</v>
      </c>
      <c r="AI22" s="147" t="s">
        <v>57</v>
      </c>
      <c r="AJ22" s="126">
        <v>0</v>
      </c>
      <c r="AK22" s="126"/>
      <c r="AL22" s="126">
        <v>0</v>
      </c>
      <c r="AM22" s="126"/>
      <c r="AN22" s="126">
        <v>0</v>
      </c>
      <c r="AO22" s="126"/>
      <c r="AP22" s="9">
        <v>13</v>
      </c>
      <c r="AQ22" s="147" t="s">
        <v>57</v>
      </c>
      <c r="AR22" s="126">
        <v>0</v>
      </c>
      <c r="AS22" s="126"/>
      <c r="AT22" s="126">
        <v>0</v>
      </c>
      <c r="AU22" s="126"/>
      <c r="AV22" s="126">
        <v>0</v>
      </c>
      <c r="AW22" s="126"/>
      <c r="AX22" s="9">
        <v>18</v>
      </c>
      <c r="AY22" s="147" t="s">
        <v>78</v>
      </c>
      <c r="AZ22" s="126" t="s">
        <v>35</v>
      </c>
      <c r="BA22" s="126"/>
      <c r="BB22" s="126" t="s">
        <v>35</v>
      </c>
      <c r="BC22" s="126"/>
      <c r="BD22" s="126">
        <v>0</v>
      </c>
      <c r="BE22" s="126"/>
      <c r="BF22" s="22">
        <v>15</v>
      </c>
      <c r="BG22" s="147" t="s">
        <v>57</v>
      </c>
      <c r="BH22" s="126" t="s">
        <v>35</v>
      </c>
      <c r="BI22" s="126"/>
      <c r="BJ22" s="126">
        <v>0</v>
      </c>
      <c r="BK22" s="126"/>
      <c r="BL22" s="126">
        <v>0</v>
      </c>
      <c r="BM22" s="126"/>
      <c r="BN22" s="9">
        <v>19</v>
      </c>
      <c r="BO22" s="147" t="s">
        <v>59</v>
      </c>
      <c r="BP22" s="126">
        <v>0</v>
      </c>
      <c r="BQ22" s="126"/>
      <c r="BR22" s="126">
        <v>0</v>
      </c>
      <c r="BS22" s="126"/>
      <c r="BT22" s="126">
        <v>0</v>
      </c>
      <c r="BU22" s="126"/>
      <c r="BV22" s="9">
        <v>17</v>
      </c>
      <c r="BW22" s="147" t="s">
        <v>125</v>
      </c>
      <c r="BX22" s="126" t="s">
        <v>35</v>
      </c>
      <c r="BY22" s="126"/>
      <c r="BZ22" s="126">
        <v>0</v>
      </c>
      <c r="CA22" s="126"/>
      <c r="CB22" s="126">
        <v>0</v>
      </c>
      <c r="CC22" s="126"/>
      <c r="CD22" s="9">
        <v>14</v>
      </c>
      <c r="CE22" s="147" t="s">
        <v>126</v>
      </c>
      <c r="CF22" s="126">
        <v>0</v>
      </c>
      <c r="CG22" s="126"/>
      <c r="CH22" s="126">
        <v>0</v>
      </c>
      <c r="CI22" s="126"/>
      <c r="CJ22" s="126">
        <v>0</v>
      </c>
      <c r="CK22" s="126"/>
      <c r="CL22" s="9">
        <v>19</v>
      </c>
      <c r="CM22" s="147" t="s">
        <v>68</v>
      </c>
      <c r="CN22" s="126">
        <v>0</v>
      </c>
      <c r="CO22" s="126"/>
      <c r="CP22" s="126">
        <v>0</v>
      </c>
      <c r="CQ22" s="126"/>
      <c r="CR22" s="126">
        <v>0</v>
      </c>
      <c r="CS22" s="140"/>
    </row>
    <row r="23" spans="1:97" s="2" customFormat="1" ht="12.75" customHeight="1" x14ac:dyDescent="0.2">
      <c r="A23" s="9" t="s">
        <v>5</v>
      </c>
      <c r="B23" s="10">
        <v>18</v>
      </c>
      <c r="C23" s="147" t="s">
        <v>77</v>
      </c>
      <c r="D23" s="126">
        <v>0</v>
      </c>
      <c r="E23" s="126"/>
      <c r="F23" s="126">
        <v>0</v>
      </c>
      <c r="G23" s="126"/>
      <c r="H23" s="126">
        <v>0</v>
      </c>
      <c r="I23" s="126"/>
      <c r="J23" s="51">
        <v>15</v>
      </c>
      <c r="K23" s="147" t="s">
        <v>77</v>
      </c>
      <c r="L23" s="126" t="s">
        <v>35</v>
      </c>
      <c r="M23" s="126"/>
      <c r="N23" s="126">
        <v>0</v>
      </c>
      <c r="O23" s="126"/>
      <c r="P23" s="126">
        <v>0</v>
      </c>
      <c r="Q23" s="126"/>
      <c r="R23" s="9">
        <v>15</v>
      </c>
      <c r="S23" s="147" t="s">
        <v>77</v>
      </c>
      <c r="T23" s="126">
        <v>0</v>
      </c>
      <c r="U23" s="126"/>
      <c r="V23" s="126">
        <v>0</v>
      </c>
      <c r="W23" s="126"/>
      <c r="X23" s="126">
        <v>0</v>
      </c>
      <c r="Y23" s="126"/>
      <c r="Z23" s="9">
        <v>19</v>
      </c>
      <c r="AA23" s="147" t="s">
        <v>77</v>
      </c>
      <c r="AB23" s="126">
        <v>0</v>
      </c>
      <c r="AC23" s="126"/>
      <c r="AD23" s="126">
        <v>0</v>
      </c>
      <c r="AE23" s="126"/>
      <c r="AF23" s="126" t="s">
        <v>35</v>
      </c>
      <c r="AG23" s="126"/>
      <c r="AH23" s="9">
        <v>17</v>
      </c>
      <c r="AI23" s="147" t="s">
        <v>77</v>
      </c>
      <c r="AJ23" s="126">
        <v>0</v>
      </c>
      <c r="AK23" s="126"/>
      <c r="AL23" s="126">
        <v>0</v>
      </c>
      <c r="AM23" s="126"/>
      <c r="AN23" s="126">
        <v>0</v>
      </c>
      <c r="AO23" s="126"/>
      <c r="AP23" s="9">
        <v>14</v>
      </c>
      <c r="AQ23" s="147" t="s">
        <v>77</v>
      </c>
      <c r="AR23" s="126">
        <v>0</v>
      </c>
      <c r="AS23" s="126"/>
      <c r="AT23" s="126">
        <v>0</v>
      </c>
      <c r="AU23" s="126"/>
      <c r="AV23" s="126">
        <v>0</v>
      </c>
      <c r="AW23" s="126"/>
      <c r="AX23" s="9">
        <v>19</v>
      </c>
      <c r="AY23" s="147" t="s">
        <v>78</v>
      </c>
      <c r="AZ23" s="126" t="s">
        <v>35</v>
      </c>
      <c r="BA23" s="126"/>
      <c r="BB23" s="126" t="s">
        <v>35</v>
      </c>
      <c r="BC23" s="126"/>
      <c r="BD23" s="126">
        <v>0</v>
      </c>
      <c r="BE23" s="126"/>
      <c r="BF23" s="9">
        <v>16</v>
      </c>
      <c r="BG23" s="147" t="s">
        <v>77</v>
      </c>
      <c r="BH23" s="126">
        <v>0</v>
      </c>
      <c r="BI23" s="126"/>
      <c r="BJ23" s="126">
        <v>0</v>
      </c>
      <c r="BK23" s="126"/>
      <c r="BL23" s="126">
        <v>0</v>
      </c>
      <c r="BM23" s="126"/>
      <c r="BN23" s="9">
        <v>20</v>
      </c>
      <c r="BO23" s="147" t="s">
        <v>39</v>
      </c>
      <c r="BP23" s="126">
        <v>0</v>
      </c>
      <c r="BQ23" s="126"/>
      <c r="BR23" s="126">
        <v>0</v>
      </c>
      <c r="BS23" s="126"/>
      <c r="BT23" s="126">
        <v>0</v>
      </c>
      <c r="BU23" s="126"/>
      <c r="BV23" s="9">
        <v>18</v>
      </c>
      <c r="BW23" s="147" t="s">
        <v>78</v>
      </c>
      <c r="BX23" s="126">
        <v>0</v>
      </c>
      <c r="BY23" s="126"/>
      <c r="BZ23" s="126">
        <v>0</v>
      </c>
      <c r="CA23" s="126"/>
      <c r="CB23" s="126">
        <v>0</v>
      </c>
      <c r="CC23" s="126"/>
      <c r="CD23" s="9">
        <v>15</v>
      </c>
      <c r="CE23" s="147" t="s">
        <v>71</v>
      </c>
      <c r="CF23" s="126">
        <v>0</v>
      </c>
      <c r="CG23" s="126"/>
      <c r="CH23" s="126">
        <v>0</v>
      </c>
      <c r="CI23" s="126"/>
      <c r="CJ23" s="126">
        <v>0</v>
      </c>
      <c r="CK23" s="126"/>
      <c r="CL23" s="9">
        <v>20</v>
      </c>
      <c r="CM23" s="147" t="s">
        <v>77</v>
      </c>
      <c r="CN23" s="126">
        <v>0</v>
      </c>
      <c r="CO23" s="126"/>
      <c r="CP23" s="126">
        <v>0</v>
      </c>
      <c r="CQ23" s="126"/>
      <c r="CR23" s="126">
        <v>0</v>
      </c>
      <c r="CS23" s="140"/>
    </row>
    <row r="24" spans="1:97" s="2" customFormat="1" ht="15" customHeight="1" x14ac:dyDescent="0.2">
      <c r="A24" s="6" t="s">
        <v>25</v>
      </c>
      <c r="B24" s="8">
        <v>19</v>
      </c>
      <c r="C24" s="147" t="s">
        <v>77</v>
      </c>
      <c r="D24" s="169">
        <v>4</v>
      </c>
      <c r="E24" s="169"/>
      <c r="F24" s="169"/>
      <c r="G24" s="169"/>
      <c r="H24" s="169"/>
      <c r="I24" s="170"/>
      <c r="J24" s="6">
        <v>16</v>
      </c>
      <c r="K24" s="147" t="s">
        <v>77</v>
      </c>
      <c r="L24" s="125" t="s">
        <v>35</v>
      </c>
      <c r="M24" s="124"/>
      <c r="N24" s="121">
        <v>0</v>
      </c>
      <c r="O24" s="124"/>
      <c r="P24" s="125" t="s">
        <v>35</v>
      </c>
      <c r="Q24" s="124"/>
      <c r="R24" s="18">
        <v>16</v>
      </c>
      <c r="S24" s="147" t="s">
        <v>77</v>
      </c>
      <c r="T24" s="167">
        <v>12</v>
      </c>
      <c r="U24" s="167"/>
      <c r="V24" s="167"/>
      <c r="W24" s="167"/>
      <c r="X24" s="167"/>
      <c r="Y24" s="168"/>
      <c r="Z24" s="18">
        <v>20</v>
      </c>
      <c r="AA24" s="147" t="s">
        <v>77</v>
      </c>
      <c r="AB24" s="125" t="s">
        <v>35</v>
      </c>
      <c r="AC24" s="171">
        <v>17</v>
      </c>
      <c r="AD24" s="171"/>
      <c r="AE24" s="171"/>
      <c r="AF24" s="171"/>
      <c r="AG24" s="172"/>
      <c r="AH24" s="18">
        <v>18</v>
      </c>
      <c r="AI24" s="147" t="s">
        <v>77</v>
      </c>
      <c r="AJ24" s="167">
        <v>21</v>
      </c>
      <c r="AK24" s="167"/>
      <c r="AL24" s="167"/>
      <c r="AM24" s="167"/>
      <c r="AN24" s="167"/>
      <c r="AO24" s="168"/>
      <c r="AP24" s="18">
        <v>15</v>
      </c>
      <c r="AQ24" s="147" t="s">
        <v>77</v>
      </c>
      <c r="AR24" s="167">
        <v>25</v>
      </c>
      <c r="AS24" s="167"/>
      <c r="AT24" s="167"/>
      <c r="AU24" s="167"/>
      <c r="AV24" s="167"/>
      <c r="AW24" s="168"/>
      <c r="AX24" s="18">
        <v>20</v>
      </c>
      <c r="AY24" s="147" t="s">
        <v>78</v>
      </c>
      <c r="AZ24" s="125" t="s">
        <v>35</v>
      </c>
      <c r="BA24" s="124"/>
      <c r="BB24" s="121" t="s">
        <v>35</v>
      </c>
      <c r="BC24" s="124"/>
      <c r="BD24" s="125">
        <v>0</v>
      </c>
      <c r="BE24" s="146"/>
      <c r="BF24" s="21">
        <v>17</v>
      </c>
      <c r="BG24" s="147" t="s">
        <v>77</v>
      </c>
      <c r="BH24" s="167">
        <v>34</v>
      </c>
      <c r="BI24" s="167"/>
      <c r="BJ24" s="167"/>
      <c r="BK24" s="167"/>
      <c r="BL24" s="167"/>
      <c r="BM24" s="168"/>
      <c r="BN24" s="18">
        <v>21</v>
      </c>
      <c r="BO24" s="147" t="s">
        <v>77</v>
      </c>
      <c r="BP24" s="125">
        <v>0</v>
      </c>
      <c r="BQ24" s="124"/>
      <c r="BR24" s="121" t="s">
        <v>35</v>
      </c>
      <c r="BS24" s="124"/>
      <c r="BT24" s="125" t="s">
        <v>35</v>
      </c>
      <c r="BU24" s="146"/>
      <c r="BV24" s="18">
        <v>19</v>
      </c>
      <c r="BW24" s="147" t="s">
        <v>77</v>
      </c>
      <c r="BX24" s="167">
        <v>43</v>
      </c>
      <c r="BY24" s="167"/>
      <c r="BZ24" s="167"/>
      <c r="CA24" s="167"/>
      <c r="CB24" s="167"/>
      <c r="CC24" s="168"/>
      <c r="CD24" s="18">
        <v>16</v>
      </c>
      <c r="CE24" s="147" t="s">
        <v>77</v>
      </c>
      <c r="CF24" s="167">
        <v>47</v>
      </c>
      <c r="CG24" s="167"/>
      <c r="CH24" s="167"/>
      <c r="CI24" s="167"/>
      <c r="CJ24" s="167"/>
      <c r="CK24" s="168"/>
      <c r="CL24" s="18">
        <v>21</v>
      </c>
      <c r="CM24" s="147" t="s">
        <v>77</v>
      </c>
      <c r="CN24" s="125" t="s">
        <v>35</v>
      </c>
      <c r="CO24" s="171">
        <v>52</v>
      </c>
      <c r="CP24" s="171"/>
      <c r="CQ24" s="171"/>
      <c r="CR24" s="171"/>
      <c r="CS24" s="172"/>
    </row>
    <row r="25" spans="1:97" s="2" customFormat="1" x14ac:dyDescent="0.2">
      <c r="A25" s="6" t="s">
        <v>6</v>
      </c>
      <c r="B25" s="8">
        <v>20</v>
      </c>
      <c r="C25" s="147" t="s">
        <v>77</v>
      </c>
      <c r="D25" s="125">
        <v>0</v>
      </c>
      <c r="E25" s="124"/>
      <c r="F25" s="121">
        <v>0</v>
      </c>
      <c r="G25" s="124"/>
      <c r="H25" s="125">
        <v>0</v>
      </c>
      <c r="I25" s="124"/>
      <c r="J25" s="6">
        <v>17</v>
      </c>
      <c r="K25" s="147" t="s">
        <v>77</v>
      </c>
      <c r="L25" s="125" t="s">
        <v>35</v>
      </c>
      <c r="M25" s="124"/>
      <c r="N25" s="121">
        <v>0</v>
      </c>
      <c r="O25" s="124"/>
      <c r="P25" s="125" t="s">
        <v>35</v>
      </c>
      <c r="Q25" s="124"/>
      <c r="R25" s="6">
        <v>17</v>
      </c>
      <c r="S25" s="147" t="s">
        <v>77</v>
      </c>
      <c r="T25" s="125">
        <v>0</v>
      </c>
      <c r="U25" s="124"/>
      <c r="V25" s="121">
        <v>0</v>
      </c>
      <c r="W25" s="124"/>
      <c r="X25" s="125">
        <v>0</v>
      </c>
      <c r="Y25" s="124"/>
      <c r="Z25" s="6">
        <v>21</v>
      </c>
      <c r="AA25" s="147" t="s">
        <v>77</v>
      </c>
      <c r="AB25" s="125" t="s">
        <v>35</v>
      </c>
      <c r="AC25" s="124"/>
      <c r="AD25" s="121">
        <v>0</v>
      </c>
      <c r="AE25" s="124"/>
      <c r="AF25" s="125">
        <v>0</v>
      </c>
      <c r="AG25" s="124"/>
      <c r="AH25" s="6">
        <v>19</v>
      </c>
      <c r="AI25" s="147" t="s">
        <v>77</v>
      </c>
      <c r="AJ25" s="125">
        <v>0</v>
      </c>
      <c r="AK25" s="124"/>
      <c r="AL25" s="121">
        <v>0</v>
      </c>
      <c r="AM25" s="124"/>
      <c r="AN25" s="125">
        <v>0</v>
      </c>
      <c r="AO25" s="124"/>
      <c r="AP25" s="6">
        <v>16</v>
      </c>
      <c r="AQ25" s="147" t="s">
        <v>77</v>
      </c>
      <c r="AR25" s="125">
        <v>0</v>
      </c>
      <c r="AS25" s="124"/>
      <c r="AT25" s="121">
        <v>0</v>
      </c>
      <c r="AU25" s="124"/>
      <c r="AV25" s="125">
        <v>0</v>
      </c>
      <c r="AW25" s="124"/>
      <c r="AX25" s="6">
        <v>21</v>
      </c>
      <c r="AY25" s="147" t="s">
        <v>78</v>
      </c>
      <c r="AZ25" s="125" t="s">
        <v>35</v>
      </c>
      <c r="BA25" s="124"/>
      <c r="BB25" s="121" t="s">
        <v>35</v>
      </c>
      <c r="BC25" s="124"/>
      <c r="BD25" s="125">
        <v>0</v>
      </c>
      <c r="BE25" s="124"/>
      <c r="BF25" s="21">
        <v>18</v>
      </c>
      <c r="BG25" s="147" t="s">
        <v>77</v>
      </c>
      <c r="BH25" s="125">
        <v>0</v>
      </c>
      <c r="BI25" s="124"/>
      <c r="BJ25" s="121">
        <v>0</v>
      </c>
      <c r="BK25" s="124"/>
      <c r="BL25" s="125">
        <v>0</v>
      </c>
      <c r="BM25" s="124"/>
      <c r="BN25" s="6">
        <v>22</v>
      </c>
      <c r="BO25" s="147" t="s">
        <v>77</v>
      </c>
      <c r="BP25" s="125">
        <v>0</v>
      </c>
      <c r="BQ25" s="124"/>
      <c r="BR25" s="121" t="s">
        <v>35</v>
      </c>
      <c r="BS25" s="124"/>
      <c r="BT25" s="125" t="s">
        <v>35</v>
      </c>
      <c r="BU25" s="124"/>
      <c r="BV25" s="6">
        <v>20</v>
      </c>
      <c r="BW25" s="147" t="s">
        <v>77</v>
      </c>
      <c r="BX25" s="125">
        <v>0</v>
      </c>
      <c r="BY25" s="124"/>
      <c r="BZ25" s="121">
        <v>0</v>
      </c>
      <c r="CA25" s="124"/>
      <c r="CB25" s="125">
        <v>0</v>
      </c>
      <c r="CC25" s="124"/>
      <c r="CD25" s="6">
        <v>17</v>
      </c>
      <c r="CE25" s="147" t="s">
        <v>77</v>
      </c>
      <c r="CF25" s="125">
        <v>0</v>
      </c>
      <c r="CG25" s="124"/>
      <c r="CH25" s="121">
        <v>0</v>
      </c>
      <c r="CI25" s="124"/>
      <c r="CJ25" s="125">
        <v>0</v>
      </c>
      <c r="CK25" s="124"/>
      <c r="CL25" s="6">
        <v>22</v>
      </c>
      <c r="CM25" s="147" t="s">
        <v>77</v>
      </c>
      <c r="CN25" s="125" t="s">
        <v>35</v>
      </c>
      <c r="CO25" s="124"/>
      <c r="CP25" s="121">
        <v>0</v>
      </c>
      <c r="CQ25" s="124"/>
      <c r="CR25" s="125">
        <v>0</v>
      </c>
      <c r="CS25" s="139"/>
    </row>
    <row r="26" spans="1:97" s="2" customFormat="1" x14ac:dyDescent="0.2">
      <c r="A26" s="6" t="s">
        <v>7</v>
      </c>
      <c r="B26" s="8">
        <v>21</v>
      </c>
      <c r="C26" s="147" t="s">
        <v>77</v>
      </c>
      <c r="D26" s="125">
        <v>0</v>
      </c>
      <c r="E26" s="124"/>
      <c r="F26" s="121">
        <v>0</v>
      </c>
      <c r="G26" s="124"/>
      <c r="H26" s="125">
        <v>0</v>
      </c>
      <c r="I26" s="124"/>
      <c r="J26" s="6">
        <v>18</v>
      </c>
      <c r="K26" s="147" t="s">
        <v>26</v>
      </c>
      <c r="L26" s="125" t="s">
        <v>35</v>
      </c>
      <c r="M26" s="124"/>
      <c r="N26" s="121">
        <v>0</v>
      </c>
      <c r="O26" s="124"/>
      <c r="P26" s="125" t="s">
        <v>35</v>
      </c>
      <c r="Q26" s="124"/>
      <c r="R26" s="6">
        <v>18</v>
      </c>
      <c r="S26" s="147" t="s">
        <v>77</v>
      </c>
      <c r="T26" s="125">
        <v>0</v>
      </c>
      <c r="U26" s="124"/>
      <c r="V26" s="121">
        <v>0</v>
      </c>
      <c r="W26" s="124"/>
      <c r="X26" s="125">
        <v>0</v>
      </c>
      <c r="Y26" s="124"/>
      <c r="Z26" s="6">
        <v>22</v>
      </c>
      <c r="AA26" s="147" t="s">
        <v>77</v>
      </c>
      <c r="AB26" s="125" t="s">
        <v>35</v>
      </c>
      <c r="AC26" s="124"/>
      <c r="AD26" s="121">
        <v>0</v>
      </c>
      <c r="AE26" s="124"/>
      <c r="AF26" s="125">
        <v>0</v>
      </c>
      <c r="AG26" s="124"/>
      <c r="AH26" s="6">
        <v>20</v>
      </c>
      <c r="AI26" s="147" t="s">
        <v>77</v>
      </c>
      <c r="AJ26" s="125">
        <v>0</v>
      </c>
      <c r="AK26" s="124"/>
      <c r="AL26" s="121">
        <v>0</v>
      </c>
      <c r="AM26" s="124"/>
      <c r="AN26" s="125">
        <v>0</v>
      </c>
      <c r="AO26" s="124"/>
      <c r="AP26" s="6">
        <v>17</v>
      </c>
      <c r="AQ26" s="147" t="s">
        <v>77</v>
      </c>
      <c r="AR26" s="125">
        <v>0</v>
      </c>
      <c r="AS26" s="124"/>
      <c r="AT26" s="121">
        <v>0</v>
      </c>
      <c r="AU26" s="124"/>
      <c r="AV26" s="125">
        <v>0</v>
      </c>
      <c r="AW26" s="124"/>
      <c r="AX26" s="6">
        <v>22</v>
      </c>
      <c r="AY26" s="147" t="s">
        <v>78</v>
      </c>
      <c r="AZ26" s="125" t="s">
        <v>35</v>
      </c>
      <c r="BA26" s="124"/>
      <c r="BB26" s="121" t="s">
        <v>35</v>
      </c>
      <c r="BC26" s="124"/>
      <c r="BD26" s="125">
        <v>0</v>
      </c>
      <c r="BE26" s="124"/>
      <c r="BF26" s="21">
        <v>19</v>
      </c>
      <c r="BG26" s="147" t="s">
        <v>77</v>
      </c>
      <c r="BH26" s="125">
        <v>0</v>
      </c>
      <c r="BI26" s="124"/>
      <c r="BJ26" s="121">
        <v>0</v>
      </c>
      <c r="BK26" s="124"/>
      <c r="BL26" s="125">
        <v>0</v>
      </c>
      <c r="BM26" s="124"/>
      <c r="BN26" s="6">
        <v>23</v>
      </c>
      <c r="BO26" s="147" t="s">
        <v>77</v>
      </c>
      <c r="BP26" s="125">
        <v>0</v>
      </c>
      <c r="BQ26" s="124"/>
      <c r="BR26" s="121" t="s">
        <v>35</v>
      </c>
      <c r="BS26" s="124"/>
      <c r="BT26" s="125" t="s">
        <v>35</v>
      </c>
      <c r="BU26" s="124"/>
      <c r="BV26" s="6">
        <v>21</v>
      </c>
      <c r="BW26" s="147" t="s">
        <v>77</v>
      </c>
      <c r="BX26" s="125">
        <v>0</v>
      </c>
      <c r="BY26" s="124"/>
      <c r="BZ26" s="121">
        <v>0</v>
      </c>
      <c r="CA26" s="124"/>
      <c r="CB26" s="125">
        <v>0</v>
      </c>
      <c r="CC26" s="124"/>
      <c r="CD26" s="6">
        <v>18</v>
      </c>
      <c r="CE26" s="147" t="s">
        <v>77</v>
      </c>
      <c r="CF26" s="125">
        <v>0</v>
      </c>
      <c r="CG26" s="124"/>
      <c r="CH26" s="121">
        <v>0</v>
      </c>
      <c r="CI26" s="124"/>
      <c r="CJ26" s="125">
        <v>0</v>
      </c>
      <c r="CK26" s="124"/>
      <c r="CL26" s="6">
        <v>23</v>
      </c>
      <c r="CM26" s="147" t="s">
        <v>77</v>
      </c>
      <c r="CN26" s="125" t="s">
        <v>35</v>
      </c>
      <c r="CO26" s="124"/>
      <c r="CP26" s="121">
        <v>0</v>
      </c>
      <c r="CQ26" s="124"/>
      <c r="CR26" s="125">
        <v>0</v>
      </c>
      <c r="CS26" s="139"/>
    </row>
    <row r="27" spans="1:97" s="2" customFormat="1" x14ac:dyDescent="0.2">
      <c r="A27" s="6" t="s">
        <v>8</v>
      </c>
      <c r="B27" s="8">
        <v>22</v>
      </c>
      <c r="C27" s="147" t="s">
        <v>77</v>
      </c>
      <c r="D27" s="125">
        <v>0</v>
      </c>
      <c r="E27" s="124"/>
      <c r="F27" s="121">
        <v>0</v>
      </c>
      <c r="G27" s="124"/>
      <c r="H27" s="125">
        <v>0</v>
      </c>
      <c r="I27" s="124"/>
      <c r="J27" s="6">
        <v>19</v>
      </c>
      <c r="K27" s="147" t="s">
        <v>77</v>
      </c>
      <c r="L27" s="125" t="s">
        <v>35</v>
      </c>
      <c r="M27" s="124"/>
      <c r="N27" s="121">
        <v>0</v>
      </c>
      <c r="O27" s="124"/>
      <c r="P27" s="125" t="s">
        <v>35</v>
      </c>
      <c r="Q27" s="124"/>
      <c r="R27" s="6">
        <v>19</v>
      </c>
      <c r="S27" s="147" t="s">
        <v>77</v>
      </c>
      <c r="T27" s="125">
        <v>0</v>
      </c>
      <c r="U27" s="124"/>
      <c r="V27" s="121">
        <v>0</v>
      </c>
      <c r="W27" s="124"/>
      <c r="X27" s="125">
        <v>0</v>
      </c>
      <c r="Y27" s="124"/>
      <c r="Z27" s="6">
        <v>23</v>
      </c>
      <c r="AA27" s="147" t="s">
        <v>77</v>
      </c>
      <c r="AB27" s="125" t="s">
        <v>35</v>
      </c>
      <c r="AC27" s="124"/>
      <c r="AD27" s="121">
        <v>0</v>
      </c>
      <c r="AE27" s="124"/>
      <c r="AF27" s="125">
        <v>0</v>
      </c>
      <c r="AG27" s="124"/>
      <c r="AH27" s="6">
        <v>21</v>
      </c>
      <c r="AI27" s="147" t="s">
        <v>56</v>
      </c>
      <c r="AJ27" s="125">
        <v>0</v>
      </c>
      <c r="AK27" s="124"/>
      <c r="AL27" s="121">
        <v>0</v>
      </c>
      <c r="AM27" s="124"/>
      <c r="AN27" s="125">
        <v>0</v>
      </c>
      <c r="AO27" s="124"/>
      <c r="AP27" s="6">
        <v>18</v>
      </c>
      <c r="AQ27" s="147" t="s">
        <v>56</v>
      </c>
      <c r="AR27" s="125">
        <v>0</v>
      </c>
      <c r="AS27" s="124"/>
      <c r="AT27" s="121">
        <v>0</v>
      </c>
      <c r="AU27" s="124"/>
      <c r="AV27" s="125">
        <v>0</v>
      </c>
      <c r="AW27" s="124"/>
      <c r="AX27" s="6">
        <v>23</v>
      </c>
      <c r="AY27" s="147" t="s">
        <v>78</v>
      </c>
      <c r="AZ27" s="125" t="s">
        <v>35</v>
      </c>
      <c r="BA27" s="124"/>
      <c r="BB27" s="121" t="s">
        <v>35</v>
      </c>
      <c r="BC27" s="124"/>
      <c r="BD27" s="125">
        <v>0</v>
      </c>
      <c r="BE27" s="124"/>
      <c r="BF27" s="21">
        <v>20</v>
      </c>
      <c r="BG27" s="147" t="s">
        <v>56</v>
      </c>
      <c r="BH27" s="125">
        <v>0</v>
      </c>
      <c r="BI27" s="124"/>
      <c r="BJ27" s="121">
        <v>0</v>
      </c>
      <c r="BK27" s="124"/>
      <c r="BL27" s="125">
        <v>0</v>
      </c>
      <c r="BM27" s="124"/>
      <c r="BN27" s="6">
        <v>24</v>
      </c>
      <c r="BO27" s="147" t="s">
        <v>77</v>
      </c>
      <c r="BP27" s="125">
        <v>0</v>
      </c>
      <c r="BQ27" s="124"/>
      <c r="BR27" s="121" t="s">
        <v>35</v>
      </c>
      <c r="BS27" s="124"/>
      <c r="BT27" s="125" t="s">
        <v>35</v>
      </c>
      <c r="BU27" s="124"/>
      <c r="BV27" s="6">
        <v>22</v>
      </c>
      <c r="BW27" s="147" t="s">
        <v>77</v>
      </c>
      <c r="BX27" s="125">
        <v>0</v>
      </c>
      <c r="BY27" s="124"/>
      <c r="BZ27" s="121">
        <v>0</v>
      </c>
      <c r="CA27" s="124"/>
      <c r="CB27" s="125">
        <v>0</v>
      </c>
      <c r="CC27" s="124"/>
      <c r="CD27" s="6">
        <v>19</v>
      </c>
      <c r="CE27" s="147" t="s">
        <v>77</v>
      </c>
      <c r="CF27" s="125">
        <v>0</v>
      </c>
      <c r="CG27" s="124"/>
      <c r="CH27" s="121">
        <v>0</v>
      </c>
      <c r="CI27" s="124"/>
      <c r="CJ27" s="125">
        <v>0</v>
      </c>
      <c r="CK27" s="124"/>
      <c r="CL27" s="6">
        <v>24</v>
      </c>
      <c r="CM27" s="147" t="s">
        <v>50</v>
      </c>
      <c r="CN27" s="125" t="s">
        <v>35</v>
      </c>
      <c r="CO27" s="124"/>
      <c r="CP27" s="121">
        <v>0</v>
      </c>
      <c r="CQ27" s="124"/>
      <c r="CR27" s="125">
        <v>0</v>
      </c>
      <c r="CS27" s="139"/>
    </row>
    <row r="28" spans="1:97" s="2" customFormat="1" x14ac:dyDescent="0.2">
      <c r="A28" s="6" t="s">
        <v>3</v>
      </c>
      <c r="B28" s="8">
        <v>23</v>
      </c>
      <c r="C28" s="147" t="s">
        <v>108</v>
      </c>
      <c r="D28" s="125">
        <v>0</v>
      </c>
      <c r="E28" s="124"/>
      <c r="F28" s="121">
        <v>0</v>
      </c>
      <c r="G28" s="124"/>
      <c r="H28" s="125">
        <v>0</v>
      </c>
      <c r="I28" s="124"/>
      <c r="J28" s="6">
        <v>20</v>
      </c>
      <c r="K28" s="147" t="s">
        <v>77</v>
      </c>
      <c r="L28" s="125" t="s">
        <v>35</v>
      </c>
      <c r="M28" s="124"/>
      <c r="N28" s="121">
        <v>0</v>
      </c>
      <c r="O28" s="124"/>
      <c r="P28" s="125" t="s">
        <v>35</v>
      </c>
      <c r="Q28" s="124"/>
      <c r="R28" s="6">
        <v>20</v>
      </c>
      <c r="S28" s="147" t="s">
        <v>114</v>
      </c>
      <c r="T28" s="125">
        <v>0</v>
      </c>
      <c r="U28" s="124"/>
      <c r="V28" s="121">
        <v>0</v>
      </c>
      <c r="W28" s="124"/>
      <c r="X28" s="125">
        <v>0</v>
      </c>
      <c r="Y28" s="124"/>
      <c r="Z28" s="6">
        <v>24</v>
      </c>
      <c r="AA28" s="147" t="s">
        <v>77</v>
      </c>
      <c r="AB28" s="125" t="s">
        <v>35</v>
      </c>
      <c r="AC28" s="124"/>
      <c r="AD28" s="121">
        <v>0</v>
      </c>
      <c r="AE28" s="124"/>
      <c r="AF28" s="125">
        <v>0</v>
      </c>
      <c r="AG28" s="124"/>
      <c r="AH28" s="6">
        <v>22</v>
      </c>
      <c r="AI28" s="147" t="s">
        <v>77</v>
      </c>
      <c r="AJ28" s="125">
        <v>0</v>
      </c>
      <c r="AK28" s="124"/>
      <c r="AL28" s="121">
        <v>0</v>
      </c>
      <c r="AM28" s="124"/>
      <c r="AN28" s="125">
        <v>0</v>
      </c>
      <c r="AO28" s="124"/>
      <c r="AP28" s="6">
        <v>19</v>
      </c>
      <c r="AQ28" s="147" t="s">
        <v>77</v>
      </c>
      <c r="AR28" s="125">
        <v>0</v>
      </c>
      <c r="AS28" s="124"/>
      <c r="AT28" s="121">
        <v>0</v>
      </c>
      <c r="AU28" s="124"/>
      <c r="AV28" s="125">
        <v>0</v>
      </c>
      <c r="AW28" s="124"/>
      <c r="AX28" s="6">
        <v>24</v>
      </c>
      <c r="AY28" s="147" t="s">
        <v>78</v>
      </c>
      <c r="AZ28" s="125" t="s">
        <v>35</v>
      </c>
      <c r="BA28" s="124"/>
      <c r="BB28" s="121" t="s">
        <v>35</v>
      </c>
      <c r="BC28" s="124"/>
      <c r="BD28" s="125">
        <v>0</v>
      </c>
      <c r="BE28" s="124"/>
      <c r="BF28" s="21">
        <v>21</v>
      </c>
      <c r="BG28" s="147" t="s">
        <v>77</v>
      </c>
      <c r="BH28" s="125">
        <v>0</v>
      </c>
      <c r="BI28" s="124"/>
      <c r="BJ28" s="121">
        <v>0</v>
      </c>
      <c r="BK28" s="124"/>
      <c r="BL28" s="125">
        <v>0</v>
      </c>
      <c r="BM28" s="124"/>
      <c r="BN28" s="6">
        <v>25</v>
      </c>
      <c r="BO28" s="147" t="s">
        <v>77</v>
      </c>
      <c r="BP28" s="125">
        <v>0</v>
      </c>
      <c r="BQ28" s="124"/>
      <c r="BR28" s="121" t="s">
        <v>35</v>
      </c>
      <c r="BS28" s="124"/>
      <c r="BT28" s="125" t="s">
        <v>35</v>
      </c>
      <c r="BU28" s="124"/>
      <c r="BV28" s="6">
        <v>23</v>
      </c>
      <c r="BW28" s="147" t="s">
        <v>77</v>
      </c>
      <c r="BX28" s="125">
        <v>0</v>
      </c>
      <c r="BY28" s="124"/>
      <c r="BZ28" s="121">
        <v>0</v>
      </c>
      <c r="CA28" s="124"/>
      <c r="CB28" s="125">
        <v>0</v>
      </c>
      <c r="CC28" s="124"/>
      <c r="CD28" s="6">
        <v>20</v>
      </c>
      <c r="CE28" s="147" t="s">
        <v>77</v>
      </c>
      <c r="CF28" s="125">
        <v>0</v>
      </c>
      <c r="CG28" s="124"/>
      <c r="CH28" s="121">
        <v>0</v>
      </c>
      <c r="CI28" s="124"/>
      <c r="CJ28" s="125">
        <v>0</v>
      </c>
      <c r="CK28" s="124"/>
      <c r="CL28" s="6">
        <v>25</v>
      </c>
      <c r="CM28" s="147" t="s">
        <v>23</v>
      </c>
      <c r="CN28" s="125" t="s">
        <v>35</v>
      </c>
      <c r="CO28" s="124"/>
      <c r="CP28" s="121" t="s">
        <v>35</v>
      </c>
      <c r="CQ28" s="124"/>
      <c r="CR28" s="125">
        <v>0</v>
      </c>
      <c r="CS28" s="139"/>
    </row>
    <row r="29" spans="1:97" s="2" customFormat="1" ht="12.75" customHeight="1" x14ac:dyDescent="0.2">
      <c r="A29" s="9" t="s">
        <v>4</v>
      </c>
      <c r="B29" s="10">
        <v>24</v>
      </c>
      <c r="C29" s="147" t="s">
        <v>59</v>
      </c>
      <c r="D29" s="126">
        <v>0</v>
      </c>
      <c r="E29" s="126"/>
      <c r="F29" s="126">
        <v>0</v>
      </c>
      <c r="G29" s="126"/>
      <c r="H29" s="126">
        <v>0</v>
      </c>
      <c r="I29" s="126"/>
      <c r="J29" s="51">
        <v>21</v>
      </c>
      <c r="K29" s="147" t="s">
        <v>95</v>
      </c>
      <c r="L29" s="126" t="s">
        <v>35</v>
      </c>
      <c r="M29" s="126"/>
      <c r="N29" s="126">
        <v>0</v>
      </c>
      <c r="O29" s="126"/>
      <c r="P29" s="126" t="s">
        <v>35</v>
      </c>
      <c r="Q29" s="126"/>
      <c r="R29" s="9">
        <v>21</v>
      </c>
      <c r="S29" s="147" t="s">
        <v>61</v>
      </c>
      <c r="T29" s="126">
        <v>0</v>
      </c>
      <c r="U29" s="126"/>
      <c r="V29" s="126">
        <v>0</v>
      </c>
      <c r="W29" s="126"/>
      <c r="X29" s="126">
        <v>0</v>
      </c>
      <c r="Y29" s="126"/>
      <c r="Z29" s="9">
        <v>25</v>
      </c>
      <c r="AA29" s="147" t="s">
        <v>59</v>
      </c>
      <c r="AB29" s="126" t="s">
        <v>35</v>
      </c>
      <c r="AC29" s="126"/>
      <c r="AD29" s="126">
        <v>0</v>
      </c>
      <c r="AE29" s="126"/>
      <c r="AF29" s="126">
        <v>0</v>
      </c>
      <c r="AG29" s="126"/>
      <c r="AH29" s="9">
        <v>23</v>
      </c>
      <c r="AI29" s="147" t="s">
        <v>127</v>
      </c>
      <c r="AJ29" s="126">
        <v>0</v>
      </c>
      <c r="AK29" s="126"/>
      <c r="AL29" s="126">
        <v>0</v>
      </c>
      <c r="AM29" s="126"/>
      <c r="AN29" s="126">
        <v>0</v>
      </c>
      <c r="AO29" s="126"/>
      <c r="AP29" s="9">
        <v>20</v>
      </c>
      <c r="AQ29" s="147" t="s">
        <v>128</v>
      </c>
      <c r="AR29" s="126">
        <v>0</v>
      </c>
      <c r="AS29" s="126"/>
      <c r="AT29" s="126">
        <v>0</v>
      </c>
      <c r="AU29" s="126"/>
      <c r="AV29" s="126">
        <v>0</v>
      </c>
      <c r="AW29" s="126"/>
      <c r="AX29" s="9">
        <v>25</v>
      </c>
      <c r="AY29" s="147" t="s">
        <v>78</v>
      </c>
      <c r="AZ29" s="126" t="s">
        <v>35</v>
      </c>
      <c r="BA29" s="126"/>
      <c r="BB29" s="126" t="s">
        <v>35</v>
      </c>
      <c r="BC29" s="126"/>
      <c r="BD29" s="126">
        <v>0</v>
      </c>
      <c r="BE29" s="126"/>
      <c r="BF29" s="22">
        <v>22</v>
      </c>
      <c r="BG29" s="147" t="s">
        <v>126</v>
      </c>
      <c r="BH29" s="126">
        <v>0</v>
      </c>
      <c r="BI29" s="126"/>
      <c r="BJ29" s="126">
        <v>0</v>
      </c>
      <c r="BK29" s="126"/>
      <c r="BL29" s="126">
        <v>0</v>
      </c>
      <c r="BM29" s="126"/>
      <c r="BN29" s="9">
        <v>26</v>
      </c>
      <c r="BO29" s="147" t="s">
        <v>77</v>
      </c>
      <c r="BP29" s="126">
        <v>0</v>
      </c>
      <c r="BQ29" s="126"/>
      <c r="BR29" s="126" t="s">
        <v>35</v>
      </c>
      <c r="BS29" s="126"/>
      <c r="BT29" s="126" t="s">
        <v>35</v>
      </c>
      <c r="BU29" s="126"/>
      <c r="BV29" s="9">
        <v>24</v>
      </c>
      <c r="BW29" s="147" t="s">
        <v>117</v>
      </c>
      <c r="BX29" s="126">
        <v>0</v>
      </c>
      <c r="BY29" s="126"/>
      <c r="BZ29" s="126">
        <v>0</v>
      </c>
      <c r="CA29" s="126"/>
      <c r="CB29" s="126">
        <v>0</v>
      </c>
      <c r="CC29" s="126"/>
      <c r="CD29" s="9">
        <v>21</v>
      </c>
      <c r="CE29" s="147" t="s">
        <v>57</v>
      </c>
      <c r="CF29" s="126">
        <v>0</v>
      </c>
      <c r="CG29" s="126"/>
      <c r="CH29" s="126">
        <v>0</v>
      </c>
      <c r="CI29" s="126"/>
      <c r="CJ29" s="126">
        <v>0</v>
      </c>
      <c r="CK29" s="126"/>
      <c r="CL29" s="9">
        <v>26</v>
      </c>
      <c r="CM29" s="147" t="s">
        <v>24</v>
      </c>
      <c r="CN29" s="126" t="s">
        <v>35</v>
      </c>
      <c r="CO29" s="126"/>
      <c r="CP29" s="126" t="s">
        <v>35</v>
      </c>
      <c r="CQ29" s="126"/>
      <c r="CR29" s="126">
        <v>0</v>
      </c>
      <c r="CS29" s="140"/>
    </row>
    <row r="30" spans="1:97" s="2" customFormat="1" ht="14.5" customHeight="1" x14ac:dyDescent="0.2">
      <c r="A30" s="9" t="s">
        <v>5</v>
      </c>
      <c r="B30" s="10">
        <v>25</v>
      </c>
      <c r="C30" s="147" t="s">
        <v>77</v>
      </c>
      <c r="D30" s="126">
        <v>0</v>
      </c>
      <c r="E30" s="126"/>
      <c r="F30" s="126">
        <v>0</v>
      </c>
      <c r="G30" s="126"/>
      <c r="H30" s="126">
        <v>0</v>
      </c>
      <c r="I30" s="126"/>
      <c r="J30" s="51">
        <v>22</v>
      </c>
      <c r="K30" s="147" t="s">
        <v>77</v>
      </c>
      <c r="L30" s="126">
        <v>0</v>
      </c>
      <c r="M30" s="126"/>
      <c r="N30" s="126">
        <v>0</v>
      </c>
      <c r="O30" s="126"/>
      <c r="P30" s="126" t="s">
        <v>35</v>
      </c>
      <c r="Q30" s="126"/>
      <c r="R30" s="9">
        <v>22</v>
      </c>
      <c r="S30" s="147" t="s">
        <v>77</v>
      </c>
      <c r="T30" s="126">
        <v>0</v>
      </c>
      <c r="U30" s="126"/>
      <c r="V30" s="126">
        <v>0</v>
      </c>
      <c r="W30" s="126"/>
      <c r="X30" s="126">
        <v>0</v>
      </c>
      <c r="Y30" s="126"/>
      <c r="Z30" s="9">
        <v>26</v>
      </c>
      <c r="AA30" s="147" t="s">
        <v>77</v>
      </c>
      <c r="AB30" s="126" t="s">
        <v>35</v>
      </c>
      <c r="AC30" s="126"/>
      <c r="AD30" s="126">
        <v>0</v>
      </c>
      <c r="AE30" s="126"/>
      <c r="AF30" s="126">
        <v>0</v>
      </c>
      <c r="AG30" s="126"/>
      <c r="AH30" s="9">
        <v>24</v>
      </c>
      <c r="AI30" s="147" t="s">
        <v>53</v>
      </c>
      <c r="AJ30" s="126">
        <v>0</v>
      </c>
      <c r="AK30" s="126"/>
      <c r="AL30" s="126">
        <v>0</v>
      </c>
      <c r="AM30" s="126"/>
      <c r="AN30" s="126">
        <v>0</v>
      </c>
      <c r="AO30" s="126"/>
      <c r="AP30" s="9">
        <v>21</v>
      </c>
      <c r="AQ30" s="147" t="s">
        <v>77</v>
      </c>
      <c r="AR30" s="126">
        <v>0</v>
      </c>
      <c r="AS30" s="126"/>
      <c r="AT30" s="126">
        <v>0</v>
      </c>
      <c r="AU30" s="126"/>
      <c r="AV30" s="126">
        <v>0</v>
      </c>
      <c r="AW30" s="126"/>
      <c r="AX30" s="9">
        <v>26</v>
      </c>
      <c r="AY30" s="147" t="s">
        <v>77</v>
      </c>
      <c r="AZ30" s="126" t="s">
        <v>35</v>
      </c>
      <c r="BA30" s="126"/>
      <c r="BB30" s="126" t="s">
        <v>35</v>
      </c>
      <c r="BC30" s="126"/>
      <c r="BD30" s="126">
        <v>0</v>
      </c>
      <c r="BE30" s="126"/>
      <c r="BF30" s="9">
        <v>23</v>
      </c>
      <c r="BG30" s="147" t="s">
        <v>77</v>
      </c>
      <c r="BH30" s="126">
        <v>0</v>
      </c>
      <c r="BI30" s="126"/>
      <c r="BJ30" s="126">
        <v>0</v>
      </c>
      <c r="BK30" s="126"/>
      <c r="BL30" s="126">
        <v>0</v>
      </c>
      <c r="BM30" s="126"/>
      <c r="BN30" s="9">
        <v>27</v>
      </c>
      <c r="BO30" s="147" t="s">
        <v>77</v>
      </c>
      <c r="BP30" s="126">
        <v>0</v>
      </c>
      <c r="BQ30" s="126"/>
      <c r="BR30" s="126" t="s">
        <v>35</v>
      </c>
      <c r="BS30" s="126"/>
      <c r="BT30" s="126" t="s">
        <v>35</v>
      </c>
      <c r="BU30" s="126"/>
      <c r="BV30" s="9">
        <v>25</v>
      </c>
      <c r="BW30" s="173" t="s">
        <v>133</v>
      </c>
      <c r="BX30" s="174"/>
      <c r="BY30" s="174"/>
      <c r="BZ30" s="174"/>
      <c r="CA30" s="174"/>
      <c r="CB30" s="174"/>
      <c r="CC30" s="175"/>
      <c r="CD30" s="9">
        <v>22</v>
      </c>
      <c r="CE30" s="147" t="s">
        <v>77</v>
      </c>
      <c r="CF30" s="126">
        <v>0</v>
      </c>
      <c r="CG30" s="126"/>
      <c r="CH30" s="126">
        <v>0</v>
      </c>
      <c r="CI30" s="126"/>
      <c r="CJ30" s="126">
        <v>0</v>
      </c>
      <c r="CK30" s="126"/>
      <c r="CL30" s="9">
        <v>27</v>
      </c>
      <c r="CM30" s="147" t="s">
        <v>77</v>
      </c>
      <c r="CN30" s="126" t="s">
        <v>35</v>
      </c>
      <c r="CO30" s="126"/>
      <c r="CP30" s="126" t="s">
        <v>35</v>
      </c>
      <c r="CQ30" s="126"/>
      <c r="CR30" s="126">
        <v>0</v>
      </c>
      <c r="CS30" s="140"/>
    </row>
    <row r="31" spans="1:97" s="2" customFormat="1" ht="15" customHeight="1" x14ac:dyDescent="0.2">
      <c r="A31" s="6" t="s">
        <v>25</v>
      </c>
      <c r="B31" s="8">
        <v>26</v>
      </c>
      <c r="C31" s="147" t="s">
        <v>77</v>
      </c>
      <c r="D31" s="169">
        <v>5</v>
      </c>
      <c r="E31" s="169"/>
      <c r="F31" s="169"/>
      <c r="G31" s="169"/>
      <c r="H31" s="169"/>
      <c r="I31" s="170"/>
      <c r="J31" s="18">
        <v>23</v>
      </c>
      <c r="K31" s="147" t="s">
        <v>77</v>
      </c>
      <c r="L31" s="169">
        <v>9</v>
      </c>
      <c r="M31" s="169"/>
      <c r="N31" s="169"/>
      <c r="O31" s="169"/>
      <c r="P31" s="169"/>
      <c r="Q31" s="170"/>
      <c r="R31" s="18">
        <v>23</v>
      </c>
      <c r="S31" s="147" t="s">
        <v>77</v>
      </c>
      <c r="T31" s="167">
        <v>13</v>
      </c>
      <c r="U31" s="167"/>
      <c r="V31" s="167"/>
      <c r="W31" s="167"/>
      <c r="X31" s="167"/>
      <c r="Y31" s="168"/>
      <c r="Z31" s="18">
        <v>27</v>
      </c>
      <c r="AA31" s="147" t="s">
        <v>77</v>
      </c>
      <c r="AB31" s="125" t="s">
        <v>35</v>
      </c>
      <c r="AC31" s="171">
        <v>18</v>
      </c>
      <c r="AD31" s="171"/>
      <c r="AE31" s="171"/>
      <c r="AF31" s="171"/>
      <c r="AG31" s="172"/>
      <c r="AH31" s="18">
        <v>25</v>
      </c>
      <c r="AI31" s="147" t="s">
        <v>16</v>
      </c>
      <c r="AJ31" s="167">
        <v>22</v>
      </c>
      <c r="AK31" s="167"/>
      <c r="AL31" s="167"/>
      <c r="AM31" s="167"/>
      <c r="AN31" s="167"/>
      <c r="AO31" s="168"/>
      <c r="AP31" s="18">
        <v>22</v>
      </c>
      <c r="AQ31" s="147" t="s">
        <v>77</v>
      </c>
      <c r="AR31" s="167">
        <v>26</v>
      </c>
      <c r="AS31" s="167"/>
      <c r="AT31" s="167"/>
      <c r="AU31" s="167"/>
      <c r="AV31" s="167"/>
      <c r="AW31" s="168"/>
      <c r="AX31" s="18">
        <v>27</v>
      </c>
      <c r="AY31" s="147" t="s">
        <v>77</v>
      </c>
      <c r="AZ31" s="125" t="s">
        <v>35</v>
      </c>
      <c r="BA31" s="124"/>
      <c r="BB31" s="121" t="s">
        <v>35</v>
      </c>
      <c r="BC31" s="124"/>
      <c r="BD31" s="125">
        <v>0</v>
      </c>
      <c r="BE31" s="146"/>
      <c r="BF31" s="21">
        <v>24</v>
      </c>
      <c r="BG31" s="147" t="s">
        <v>77</v>
      </c>
      <c r="BH31" s="167">
        <v>35</v>
      </c>
      <c r="BI31" s="167"/>
      <c r="BJ31" s="167"/>
      <c r="BK31" s="167"/>
      <c r="BL31" s="167"/>
      <c r="BM31" s="168"/>
      <c r="BN31" s="18">
        <v>28</v>
      </c>
      <c r="BO31" s="147" t="s">
        <v>77</v>
      </c>
      <c r="BP31" s="125">
        <v>0</v>
      </c>
      <c r="BQ31" s="124"/>
      <c r="BR31" s="121" t="s">
        <v>35</v>
      </c>
      <c r="BS31" s="124"/>
      <c r="BT31" s="125" t="s">
        <v>35</v>
      </c>
      <c r="BU31" s="146"/>
      <c r="BV31" s="18">
        <v>26</v>
      </c>
      <c r="BW31" s="147" t="s">
        <v>77</v>
      </c>
      <c r="BX31" s="167">
        <v>44</v>
      </c>
      <c r="BY31" s="167"/>
      <c r="BZ31" s="167"/>
      <c r="CA31" s="167"/>
      <c r="CB31" s="167"/>
      <c r="CC31" s="168"/>
      <c r="CD31" s="18">
        <v>23</v>
      </c>
      <c r="CE31" s="147" t="s">
        <v>77</v>
      </c>
      <c r="CF31" s="167">
        <v>48</v>
      </c>
      <c r="CG31" s="167"/>
      <c r="CH31" s="167"/>
      <c r="CI31" s="167"/>
      <c r="CJ31" s="167"/>
      <c r="CK31" s="168"/>
      <c r="CL31" s="18">
        <v>28</v>
      </c>
      <c r="CM31" s="147" t="s">
        <v>77</v>
      </c>
      <c r="CN31" s="125" t="s">
        <v>35</v>
      </c>
      <c r="CO31" s="124"/>
      <c r="CP31" s="121" t="s">
        <v>35</v>
      </c>
      <c r="CQ31" s="124"/>
      <c r="CR31" s="125">
        <v>0</v>
      </c>
      <c r="CS31" s="146"/>
    </row>
    <row r="32" spans="1:97" s="2" customFormat="1" x14ac:dyDescent="0.2">
      <c r="A32" s="6" t="s">
        <v>6</v>
      </c>
      <c r="B32" s="8">
        <v>27</v>
      </c>
      <c r="C32" s="147" t="s">
        <v>77</v>
      </c>
      <c r="D32" s="125">
        <v>0</v>
      </c>
      <c r="E32" s="124"/>
      <c r="F32" s="121">
        <v>0</v>
      </c>
      <c r="G32" s="124"/>
      <c r="H32" s="125">
        <v>0</v>
      </c>
      <c r="I32" s="124"/>
      <c r="J32" s="6">
        <v>24</v>
      </c>
      <c r="K32" s="147" t="s">
        <v>77</v>
      </c>
      <c r="L32" s="125">
        <v>0</v>
      </c>
      <c r="M32" s="124"/>
      <c r="N32" s="121">
        <v>0</v>
      </c>
      <c r="O32" s="124"/>
      <c r="P32" s="125">
        <v>0</v>
      </c>
      <c r="Q32" s="124"/>
      <c r="R32" s="6">
        <v>24</v>
      </c>
      <c r="S32" s="147" t="s">
        <v>77</v>
      </c>
      <c r="T32" s="125">
        <v>0</v>
      </c>
      <c r="U32" s="124"/>
      <c r="V32" s="121">
        <v>0</v>
      </c>
      <c r="W32" s="124"/>
      <c r="X32" s="125">
        <v>0</v>
      </c>
      <c r="Y32" s="124"/>
      <c r="Z32" s="6">
        <v>28</v>
      </c>
      <c r="AA32" s="147" t="s">
        <v>77</v>
      </c>
      <c r="AB32" s="125" t="s">
        <v>35</v>
      </c>
      <c r="AC32" s="124"/>
      <c r="AD32" s="121">
        <v>0</v>
      </c>
      <c r="AE32" s="124"/>
      <c r="AF32" s="125">
        <v>0</v>
      </c>
      <c r="AG32" s="124"/>
      <c r="AH32" s="6">
        <v>26</v>
      </c>
      <c r="AI32" s="147" t="s">
        <v>77</v>
      </c>
      <c r="AJ32" s="125">
        <v>0</v>
      </c>
      <c r="AK32" s="124"/>
      <c r="AL32" s="121">
        <v>0</v>
      </c>
      <c r="AM32" s="124"/>
      <c r="AN32" s="125">
        <v>0</v>
      </c>
      <c r="AO32" s="124"/>
      <c r="AP32" s="6">
        <v>23</v>
      </c>
      <c r="AQ32" s="147" t="s">
        <v>77</v>
      </c>
      <c r="AR32" s="125">
        <v>0</v>
      </c>
      <c r="AS32" s="124"/>
      <c r="AT32" s="121">
        <v>0</v>
      </c>
      <c r="AU32" s="124"/>
      <c r="AV32" s="125">
        <v>0</v>
      </c>
      <c r="AW32" s="124"/>
      <c r="AX32" s="6">
        <v>28</v>
      </c>
      <c r="AY32" s="147" t="s">
        <v>77</v>
      </c>
      <c r="AZ32" s="125" t="s">
        <v>35</v>
      </c>
      <c r="BA32" s="124"/>
      <c r="BB32" s="121" t="s">
        <v>35</v>
      </c>
      <c r="BC32" s="124"/>
      <c r="BD32" s="125">
        <v>0</v>
      </c>
      <c r="BE32" s="124"/>
      <c r="BF32" s="21">
        <v>25</v>
      </c>
      <c r="BG32" s="147" t="s">
        <v>77</v>
      </c>
      <c r="BH32" s="125">
        <v>0</v>
      </c>
      <c r="BI32" s="124"/>
      <c r="BJ32" s="121">
        <v>0</v>
      </c>
      <c r="BK32" s="124"/>
      <c r="BL32" s="125">
        <v>0</v>
      </c>
      <c r="BM32" s="124"/>
      <c r="BN32" s="6">
        <v>29</v>
      </c>
      <c r="BO32" s="147" t="s">
        <v>77</v>
      </c>
      <c r="BP32" s="125">
        <v>0</v>
      </c>
      <c r="BQ32" s="124"/>
      <c r="BR32" s="121" t="s">
        <v>35</v>
      </c>
      <c r="BS32" s="124"/>
      <c r="BT32" s="125" t="s">
        <v>35</v>
      </c>
      <c r="BU32" s="124"/>
      <c r="BV32" s="6">
        <v>27</v>
      </c>
      <c r="BW32" s="147" t="s">
        <v>77</v>
      </c>
      <c r="BX32" s="125">
        <v>0</v>
      </c>
      <c r="BY32" s="124"/>
      <c r="BZ32" s="121">
        <v>0</v>
      </c>
      <c r="CA32" s="124"/>
      <c r="CB32" s="125">
        <v>0</v>
      </c>
      <c r="CC32" s="124"/>
      <c r="CD32" s="6">
        <v>24</v>
      </c>
      <c r="CE32" s="147" t="s">
        <v>77</v>
      </c>
      <c r="CF32" s="125">
        <v>0</v>
      </c>
      <c r="CG32" s="124"/>
      <c r="CH32" s="121">
        <v>0</v>
      </c>
      <c r="CI32" s="124"/>
      <c r="CJ32" s="125">
        <v>0</v>
      </c>
      <c r="CK32" s="124"/>
      <c r="CL32" s="6">
        <v>29</v>
      </c>
      <c r="CM32" s="147" t="s">
        <v>77</v>
      </c>
      <c r="CN32" s="125" t="s">
        <v>35</v>
      </c>
      <c r="CO32" s="124"/>
      <c r="CP32" s="121" t="s">
        <v>35</v>
      </c>
      <c r="CQ32" s="124"/>
      <c r="CR32" s="125">
        <v>0</v>
      </c>
      <c r="CS32" s="139"/>
    </row>
    <row r="33" spans="1:97" s="2" customFormat="1" x14ac:dyDescent="0.2">
      <c r="A33" s="6" t="s">
        <v>7</v>
      </c>
      <c r="B33" s="8">
        <v>28</v>
      </c>
      <c r="C33" s="147" t="s">
        <v>77</v>
      </c>
      <c r="D33" s="125">
        <v>0</v>
      </c>
      <c r="E33" s="124"/>
      <c r="F33" s="121">
        <v>0</v>
      </c>
      <c r="G33" s="124"/>
      <c r="H33" s="125">
        <v>0</v>
      </c>
      <c r="I33" s="124"/>
      <c r="J33" s="6">
        <v>25</v>
      </c>
      <c r="K33" s="147" t="s">
        <v>77</v>
      </c>
      <c r="L33" s="125">
        <v>0</v>
      </c>
      <c r="M33" s="124"/>
      <c r="N33" s="121">
        <v>0</v>
      </c>
      <c r="O33" s="124"/>
      <c r="P33" s="125">
        <v>0</v>
      </c>
      <c r="Q33" s="124"/>
      <c r="R33" s="6">
        <v>25</v>
      </c>
      <c r="S33" s="147" t="s">
        <v>77</v>
      </c>
      <c r="T33" s="125">
        <v>0</v>
      </c>
      <c r="U33" s="124"/>
      <c r="V33" s="121">
        <v>0</v>
      </c>
      <c r="W33" s="124"/>
      <c r="X33" s="125">
        <v>0</v>
      </c>
      <c r="Y33" s="124"/>
      <c r="Z33" s="6">
        <v>29</v>
      </c>
      <c r="AA33" s="147" t="s">
        <v>77</v>
      </c>
      <c r="AB33" s="125" t="s">
        <v>35</v>
      </c>
      <c r="AC33" s="124"/>
      <c r="AD33" s="121">
        <v>0</v>
      </c>
      <c r="AE33" s="124"/>
      <c r="AF33" s="125">
        <v>0</v>
      </c>
      <c r="AG33" s="124"/>
      <c r="AH33" s="6">
        <v>27</v>
      </c>
      <c r="AI33" s="147" t="s">
        <v>77</v>
      </c>
      <c r="AJ33" s="125">
        <v>0</v>
      </c>
      <c r="AK33" s="124"/>
      <c r="AL33" s="121">
        <v>0</v>
      </c>
      <c r="AM33" s="124"/>
      <c r="AN33" s="125">
        <v>0</v>
      </c>
      <c r="AO33" s="124"/>
      <c r="AP33" s="6">
        <v>24</v>
      </c>
      <c r="AQ33" s="147" t="s">
        <v>77</v>
      </c>
      <c r="AR33" s="125">
        <v>0</v>
      </c>
      <c r="AS33" s="124"/>
      <c r="AT33" s="121">
        <v>0</v>
      </c>
      <c r="AU33" s="124"/>
      <c r="AV33" s="125">
        <v>0</v>
      </c>
      <c r="AW33" s="124"/>
      <c r="AX33" s="6">
        <v>29</v>
      </c>
      <c r="AY33" s="147" t="s">
        <v>77</v>
      </c>
      <c r="AZ33" s="125" t="s">
        <v>35</v>
      </c>
      <c r="BA33" s="124"/>
      <c r="BB33" s="121" t="s">
        <v>35</v>
      </c>
      <c r="BC33" s="124"/>
      <c r="BD33" s="125">
        <v>0</v>
      </c>
      <c r="BE33" s="124"/>
      <c r="BF33" s="21">
        <v>26</v>
      </c>
      <c r="BG33" s="147" t="s">
        <v>77</v>
      </c>
      <c r="BH33" s="125">
        <v>0</v>
      </c>
      <c r="BI33" s="124"/>
      <c r="BJ33" s="121">
        <v>0</v>
      </c>
      <c r="BK33" s="124"/>
      <c r="BL33" s="125">
        <v>0</v>
      </c>
      <c r="BM33" s="124"/>
      <c r="BN33" s="6">
        <v>30</v>
      </c>
      <c r="BO33" s="147" t="s">
        <v>77</v>
      </c>
      <c r="BP33" s="125">
        <v>0</v>
      </c>
      <c r="BQ33" s="124"/>
      <c r="BR33" s="121" t="s">
        <v>35</v>
      </c>
      <c r="BS33" s="124"/>
      <c r="BT33" s="125" t="s">
        <v>35</v>
      </c>
      <c r="BU33" s="124"/>
      <c r="BV33" s="6">
        <v>28</v>
      </c>
      <c r="BW33" s="147" t="s">
        <v>77</v>
      </c>
      <c r="BX33" s="125">
        <v>0</v>
      </c>
      <c r="BY33" s="124"/>
      <c r="BZ33" s="121">
        <v>0</v>
      </c>
      <c r="CA33" s="124"/>
      <c r="CB33" s="125">
        <v>0</v>
      </c>
      <c r="CC33" s="124"/>
      <c r="CD33" s="6">
        <v>25</v>
      </c>
      <c r="CE33" s="147" t="s">
        <v>77</v>
      </c>
      <c r="CF33" s="125">
        <v>0</v>
      </c>
      <c r="CG33" s="124"/>
      <c r="CH33" s="121">
        <v>0</v>
      </c>
      <c r="CI33" s="124"/>
      <c r="CJ33" s="125">
        <v>0</v>
      </c>
      <c r="CK33" s="124"/>
      <c r="CL33" s="6">
        <v>30</v>
      </c>
      <c r="CM33" s="147" t="s">
        <v>77</v>
      </c>
      <c r="CN33" s="125" t="s">
        <v>35</v>
      </c>
      <c r="CO33" s="124"/>
      <c r="CP33" s="121" t="s">
        <v>35</v>
      </c>
      <c r="CQ33" s="124"/>
      <c r="CR33" s="125">
        <v>0</v>
      </c>
      <c r="CS33" s="139"/>
    </row>
    <row r="34" spans="1:97" s="2" customFormat="1" x14ac:dyDescent="0.2">
      <c r="A34" s="6" t="s">
        <v>8</v>
      </c>
      <c r="B34" s="8">
        <v>29</v>
      </c>
      <c r="C34" s="147" t="s">
        <v>56</v>
      </c>
      <c r="D34" s="125">
        <v>0</v>
      </c>
      <c r="E34" s="124"/>
      <c r="F34" s="121">
        <v>0</v>
      </c>
      <c r="G34" s="124"/>
      <c r="H34" s="125">
        <v>0</v>
      </c>
      <c r="I34" s="124"/>
      <c r="J34" s="6">
        <v>26</v>
      </c>
      <c r="K34" s="147" t="s">
        <v>56</v>
      </c>
      <c r="L34" s="125">
        <v>0</v>
      </c>
      <c r="M34" s="124"/>
      <c r="N34" s="121">
        <v>0</v>
      </c>
      <c r="O34" s="124"/>
      <c r="P34" s="125">
        <v>0</v>
      </c>
      <c r="Q34" s="124"/>
      <c r="R34" s="6">
        <v>26</v>
      </c>
      <c r="S34" s="147" t="s">
        <v>56</v>
      </c>
      <c r="T34" s="125">
        <v>0</v>
      </c>
      <c r="U34" s="124"/>
      <c r="V34" s="121">
        <v>0</v>
      </c>
      <c r="W34" s="124"/>
      <c r="X34" s="125">
        <v>0</v>
      </c>
      <c r="Y34" s="124"/>
      <c r="Z34" s="6">
        <v>30</v>
      </c>
      <c r="AA34" s="147" t="s">
        <v>77</v>
      </c>
      <c r="AB34" s="125" t="s">
        <v>35</v>
      </c>
      <c r="AC34" s="124"/>
      <c r="AD34" s="121">
        <v>0</v>
      </c>
      <c r="AE34" s="124"/>
      <c r="AF34" s="125">
        <v>0</v>
      </c>
      <c r="AG34" s="124"/>
      <c r="AH34" s="6">
        <v>28</v>
      </c>
      <c r="AI34" s="147" t="s">
        <v>77</v>
      </c>
      <c r="AJ34" s="125">
        <v>0</v>
      </c>
      <c r="AK34" s="124"/>
      <c r="AL34" s="121">
        <v>0</v>
      </c>
      <c r="AM34" s="124"/>
      <c r="AN34" s="125">
        <v>0</v>
      </c>
      <c r="AO34" s="124"/>
      <c r="AP34" s="6">
        <v>25</v>
      </c>
      <c r="AQ34" s="147" t="s">
        <v>77</v>
      </c>
      <c r="AR34" s="125">
        <v>0</v>
      </c>
      <c r="AS34" s="124"/>
      <c r="AT34" s="121">
        <v>0</v>
      </c>
      <c r="AU34" s="124"/>
      <c r="AV34" s="125">
        <v>0</v>
      </c>
      <c r="AW34" s="124"/>
      <c r="AX34" s="6">
        <v>30</v>
      </c>
      <c r="AY34" s="147" t="s">
        <v>77</v>
      </c>
      <c r="AZ34" s="125" t="s">
        <v>35</v>
      </c>
      <c r="BA34" s="124"/>
      <c r="BB34" s="121" t="s">
        <v>35</v>
      </c>
      <c r="BC34" s="124"/>
      <c r="BD34" s="125">
        <v>0</v>
      </c>
      <c r="BE34" s="124"/>
      <c r="BF34" s="21">
        <v>27</v>
      </c>
      <c r="BG34" s="147" t="s">
        <v>77</v>
      </c>
      <c r="BH34" s="125">
        <v>0</v>
      </c>
      <c r="BI34" s="124"/>
      <c r="BJ34" s="121">
        <v>0</v>
      </c>
      <c r="BK34" s="124"/>
      <c r="BL34" s="125">
        <v>0</v>
      </c>
      <c r="BM34" s="124"/>
      <c r="BN34" s="6"/>
      <c r="BO34" s="147" t="s">
        <v>77</v>
      </c>
      <c r="BP34" s="125"/>
      <c r="BQ34" s="124"/>
      <c r="BR34" s="121"/>
      <c r="BS34" s="124"/>
      <c r="BT34" s="125"/>
      <c r="BU34" s="124"/>
      <c r="BV34" s="6">
        <v>29</v>
      </c>
      <c r="BW34" s="147" t="s">
        <v>56</v>
      </c>
      <c r="BX34" s="125">
        <v>0</v>
      </c>
      <c r="BY34" s="124"/>
      <c r="BZ34" s="121">
        <v>0</v>
      </c>
      <c r="CA34" s="124"/>
      <c r="CB34" s="125">
        <v>0</v>
      </c>
      <c r="CC34" s="124"/>
      <c r="CD34" s="6">
        <v>26</v>
      </c>
      <c r="CE34" s="147" t="s">
        <v>77</v>
      </c>
      <c r="CF34" s="125">
        <v>0</v>
      </c>
      <c r="CG34" s="124"/>
      <c r="CH34" s="121">
        <v>0</v>
      </c>
      <c r="CI34" s="124"/>
      <c r="CJ34" s="125">
        <v>0</v>
      </c>
      <c r="CK34" s="124"/>
      <c r="CL34" s="6">
        <v>31</v>
      </c>
      <c r="CM34" s="147" t="s">
        <v>77</v>
      </c>
      <c r="CN34" s="125" t="s">
        <v>35</v>
      </c>
      <c r="CO34" s="124"/>
      <c r="CP34" s="121" t="s">
        <v>35</v>
      </c>
      <c r="CQ34" s="124"/>
      <c r="CR34" s="125">
        <v>0</v>
      </c>
      <c r="CS34" s="139"/>
    </row>
    <row r="35" spans="1:97" s="2" customFormat="1" x14ac:dyDescent="0.2">
      <c r="A35" s="6" t="s">
        <v>3</v>
      </c>
      <c r="B35" s="8">
        <v>30</v>
      </c>
      <c r="C35" s="147" t="s">
        <v>77</v>
      </c>
      <c r="D35" s="125">
        <v>0</v>
      </c>
      <c r="E35" s="124"/>
      <c r="F35" s="121">
        <v>0</v>
      </c>
      <c r="G35" s="124"/>
      <c r="H35" s="125">
        <v>0</v>
      </c>
      <c r="I35" s="124"/>
      <c r="J35" s="6">
        <v>27</v>
      </c>
      <c r="K35" s="147" t="s">
        <v>77</v>
      </c>
      <c r="L35" s="125">
        <v>0</v>
      </c>
      <c r="M35" s="124"/>
      <c r="N35" s="121">
        <v>0</v>
      </c>
      <c r="O35" s="124"/>
      <c r="P35" s="125">
        <v>0</v>
      </c>
      <c r="Q35" s="124"/>
      <c r="R35" s="6">
        <v>27</v>
      </c>
      <c r="S35" s="147" t="s">
        <v>115</v>
      </c>
      <c r="T35" s="125">
        <v>0</v>
      </c>
      <c r="U35" s="124"/>
      <c r="V35" s="121">
        <v>0</v>
      </c>
      <c r="W35" s="124"/>
      <c r="X35" s="125">
        <v>0</v>
      </c>
      <c r="Y35" s="124"/>
      <c r="Z35" s="6"/>
      <c r="AA35" s="147" t="s">
        <v>77</v>
      </c>
      <c r="AB35" s="125"/>
      <c r="AC35" s="124"/>
      <c r="AD35" s="121"/>
      <c r="AE35" s="124"/>
      <c r="AF35" s="125">
        <v>0</v>
      </c>
      <c r="AG35" s="124"/>
      <c r="AH35" s="6">
        <v>29</v>
      </c>
      <c r="AI35" s="147" t="s">
        <v>77</v>
      </c>
      <c r="AJ35" s="125">
        <v>0</v>
      </c>
      <c r="AK35" s="124"/>
      <c r="AL35" s="121">
        <v>0</v>
      </c>
      <c r="AM35" s="124"/>
      <c r="AN35" s="125">
        <v>0</v>
      </c>
      <c r="AO35" s="124"/>
      <c r="AP35" s="6">
        <v>26</v>
      </c>
      <c r="AQ35" s="147" t="s">
        <v>77</v>
      </c>
      <c r="AR35" s="125">
        <v>0</v>
      </c>
      <c r="AS35" s="124"/>
      <c r="AT35" s="121">
        <v>0</v>
      </c>
      <c r="AU35" s="124"/>
      <c r="AV35" s="125">
        <v>0</v>
      </c>
      <c r="AW35" s="124"/>
      <c r="AX35" s="6">
        <v>31</v>
      </c>
      <c r="AY35" s="147" t="s">
        <v>77</v>
      </c>
      <c r="AZ35" s="125" t="s">
        <v>35</v>
      </c>
      <c r="BA35" s="124"/>
      <c r="BB35" s="121" t="s">
        <v>35</v>
      </c>
      <c r="BC35" s="124"/>
      <c r="BD35" s="125">
        <v>0</v>
      </c>
      <c r="BE35" s="124"/>
      <c r="BF35" s="21">
        <v>28</v>
      </c>
      <c r="BG35" s="147" t="s">
        <v>120</v>
      </c>
      <c r="BH35" s="125">
        <v>0</v>
      </c>
      <c r="BI35" s="124"/>
      <c r="BJ35" s="121">
        <v>0</v>
      </c>
      <c r="BK35" s="124"/>
      <c r="BL35" s="125">
        <v>0</v>
      </c>
      <c r="BM35" s="124"/>
      <c r="BN35" s="6"/>
      <c r="BO35" s="147" t="s">
        <v>77</v>
      </c>
      <c r="BP35" s="125"/>
      <c r="BQ35" s="124"/>
      <c r="BR35" s="121"/>
      <c r="BS35" s="124"/>
      <c r="BT35" s="125"/>
      <c r="BU35" s="124"/>
      <c r="BV35" s="6">
        <v>30</v>
      </c>
      <c r="BW35" s="147" t="s">
        <v>77</v>
      </c>
      <c r="BX35" s="125">
        <v>0</v>
      </c>
      <c r="BY35" s="124"/>
      <c r="BZ35" s="121">
        <v>0</v>
      </c>
      <c r="CA35" s="124"/>
      <c r="CB35" s="125">
        <v>0</v>
      </c>
      <c r="CC35" s="124"/>
      <c r="CD35" s="6">
        <v>27</v>
      </c>
      <c r="CE35" s="147" t="s">
        <v>77</v>
      </c>
      <c r="CF35" s="125">
        <v>0</v>
      </c>
      <c r="CG35" s="124"/>
      <c r="CH35" s="121">
        <v>0</v>
      </c>
      <c r="CI35" s="124"/>
      <c r="CJ35" s="125">
        <v>0</v>
      </c>
      <c r="CK35" s="124"/>
      <c r="CL35" s="6"/>
      <c r="CM35" s="147" t="s">
        <v>77</v>
      </c>
      <c r="CN35" s="125">
        <v>0</v>
      </c>
      <c r="CO35" s="124"/>
      <c r="CP35" s="121">
        <v>0</v>
      </c>
      <c r="CQ35" s="124"/>
      <c r="CR35" s="125">
        <v>0</v>
      </c>
      <c r="CS35" s="139"/>
    </row>
    <row r="36" spans="1:97" s="2" customFormat="1" ht="12.75" customHeight="1" x14ac:dyDescent="0.2">
      <c r="A36" s="9" t="s">
        <v>4</v>
      </c>
      <c r="B36" s="10">
        <v>31</v>
      </c>
      <c r="C36" s="147" t="s">
        <v>126</v>
      </c>
      <c r="D36" s="126">
        <v>0</v>
      </c>
      <c r="E36" s="126"/>
      <c r="F36" s="126">
        <v>0</v>
      </c>
      <c r="G36" s="126"/>
      <c r="H36" s="126">
        <v>0</v>
      </c>
      <c r="I36" s="126"/>
      <c r="J36" s="51">
        <v>28</v>
      </c>
      <c r="K36" s="147" t="s">
        <v>126</v>
      </c>
      <c r="L36" s="126">
        <v>0</v>
      </c>
      <c r="M36" s="126"/>
      <c r="N36" s="126">
        <v>0</v>
      </c>
      <c r="O36" s="126"/>
      <c r="P36" s="126">
        <v>0</v>
      </c>
      <c r="Q36" s="126"/>
      <c r="R36" s="9">
        <v>28</v>
      </c>
      <c r="S36" s="147" t="s">
        <v>43</v>
      </c>
      <c r="T36" s="126">
        <v>0</v>
      </c>
      <c r="U36" s="126"/>
      <c r="V36" s="126">
        <v>0</v>
      </c>
      <c r="W36" s="126"/>
      <c r="X36" s="126">
        <v>0</v>
      </c>
      <c r="Y36" s="126"/>
      <c r="Z36" s="9"/>
      <c r="AA36" s="147" t="s">
        <v>77</v>
      </c>
      <c r="AB36" s="126"/>
      <c r="AC36" s="126"/>
      <c r="AD36" s="126"/>
      <c r="AE36" s="126"/>
      <c r="AF36" s="126">
        <v>0</v>
      </c>
      <c r="AG36" s="126"/>
      <c r="AH36" s="9">
        <v>30</v>
      </c>
      <c r="AI36" s="147" t="s">
        <v>57</v>
      </c>
      <c r="AJ36" s="126">
        <v>0</v>
      </c>
      <c r="AK36" s="126"/>
      <c r="AL36" s="126">
        <v>0</v>
      </c>
      <c r="AM36" s="126"/>
      <c r="AN36" s="126">
        <v>0</v>
      </c>
      <c r="AO36" s="126"/>
      <c r="AP36" s="9">
        <v>27</v>
      </c>
      <c r="AQ36" s="147" t="s">
        <v>129</v>
      </c>
      <c r="AR36" s="126">
        <v>0</v>
      </c>
      <c r="AS36" s="126"/>
      <c r="AT36" s="126">
        <v>0</v>
      </c>
      <c r="AU36" s="126"/>
      <c r="AV36" s="126">
        <v>0</v>
      </c>
      <c r="AW36" s="126"/>
      <c r="AX36" s="9"/>
      <c r="AY36" s="147" t="s">
        <v>77</v>
      </c>
      <c r="AZ36" s="126">
        <v>0</v>
      </c>
      <c r="BA36" s="126"/>
      <c r="BB36" s="126">
        <v>0</v>
      </c>
      <c r="BC36" s="126"/>
      <c r="BD36" s="126">
        <v>0</v>
      </c>
      <c r="BE36" s="126"/>
      <c r="BF36" s="9">
        <v>29</v>
      </c>
      <c r="BG36" s="147" t="s">
        <v>121</v>
      </c>
      <c r="BH36" s="126">
        <v>0</v>
      </c>
      <c r="BI36" s="126"/>
      <c r="BJ36" s="126">
        <v>0</v>
      </c>
      <c r="BK36" s="126"/>
      <c r="BL36" s="126">
        <v>0</v>
      </c>
      <c r="BM36" s="126"/>
      <c r="BN36" s="9"/>
      <c r="BO36" s="147" t="s">
        <v>77</v>
      </c>
      <c r="BP36" s="126"/>
      <c r="BQ36" s="126"/>
      <c r="BR36" s="126"/>
      <c r="BS36" s="126"/>
      <c r="BT36" s="126"/>
      <c r="BU36" s="126"/>
      <c r="BV36" s="9">
        <v>31</v>
      </c>
      <c r="BW36" s="147" t="s">
        <v>130</v>
      </c>
      <c r="BX36" s="126">
        <v>0</v>
      </c>
      <c r="BY36" s="126"/>
      <c r="BZ36" s="126">
        <v>0</v>
      </c>
      <c r="CA36" s="126"/>
      <c r="CB36" s="126">
        <v>0</v>
      </c>
      <c r="CC36" s="126"/>
      <c r="CD36" s="9">
        <v>28</v>
      </c>
      <c r="CE36" s="147" t="s">
        <v>57</v>
      </c>
      <c r="CF36" s="126">
        <v>0</v>
      </c>
      <c r="CG36" s="126"/>
      <c r="CH36" s="126">
        <v>0</v>
      </c>
      <c r="CI36" s="126"/>
      <c r="CJ36" s="126">
        <v>0</v>
      </c>
      <c r="CK36" s="126"/>
      <c r="CL36" s="9"/>
      <c r="CM36" s="147" t="s">
        <v>77</v>
      </c>
      <c r="CN36" s="126">
        <v>0</v>
      </c>
      <c r="CO36" s="126"/>
      <c r="CP36" s="126">
        <v>0</v>
      </c>
      <c r="CQ36" s="126"/>
      <c r="CR36" s="126">
        <v>0</v>
      </c>
      <c r="CS36" s="140"/>
    </row>
    <row r="37" spans="1:97" s="2" customFormat="1" x14ac:dyDescent="0.2">
      <c r="A37" s="9" t="s">
        <v>5</v>
      </c>
      <c r="B37" s="10"/>
      <c r="C37" s="147" t="s">
        <v>77</v>
      </c>
      <c r="D37" s="126"/>
      <c r="E37" s="126"/>
      <c r="F37" s="126"/>
      <c r="G37" s="126"/>
      <c r="H37" s="126"/>
      <c r="I37" s="126"/>
      <c r="J37" s="51"/>
      <c r="K37" s="147" t="s">
        <v>77</v>
      </c>
      <c r="L37" s="126"/>
      <c r="M37" s="126"/>
      <c r="N37" s="126"/>
      <c r="O37" s="126"/>
      <c r="P37" s="126"/>
      <c r="Q37" s="126"/>
      <c r="R37" s="9">
        <v>29</v>
      </c>
      <c r="S37" s="147" t="s">
        <v>44</v>
      </c>
      <c r="T37" s="126">
        <v>0</v>
      </c>
      <c r="U37" s="126"/>
      <c r="V37" s="126">
        <v>0</v>
      </c>
      <c r="W37" s="126"/>
      <c r="X37" s="126">
        <v>0</v>
      </c>
      <c r="Y37" s="126"/>
      <c r="Z37" s="9"/>
      <c r="AA37" s="147" t="s">
        <v>77</v>
      </c>
      <c r="AB37" s="126"/>
      <c r="AC37" s="126"/>
      <c r="AD37" s="126"/>
      <c r="AE37" s="126"/>
      <c r="AF37" s="126">
        <v>0</v>
      </c>
      <c r="AG37" s="126"/>
      <c r="AH37" s="9">
        <v>31</v>
      </c>
      <c r="AI37" s="147" t="s">
        <v>77</v>
      </c>
      <c r="AJ37" s="126">
        <v>0</v>
      </c>
      <c r="AK37" s="126"/>
      <c r="AL37" s="126">
        <v>0</v>
      </c>
      <c r="AM37" s="126"/>
      <c r="AN37" s="126">
        <v>0</v>
      </c>
      <c r="AO37" s="126"/>
      <c r="AP37" s="9">
        <v>28</v>
      </c>
      <c r="AQ37" s="147" t="s">
        <v>119</v>
      </c>
      <c r="AR37" s="126">
        <v>0</v>
      </c>
      <c r="AS37" s="126"/>
      <c r="AT37" s="126">
        <v>0</v>
      </c>
      <c r="AU37" s="126"/>
      <c r="AV37" s="126">
        <v>0</v>
      </c>
      <c r="AW37" s="126"/>
      <c r="AX37" s="9"/>
      <c r="AY37" s="147" t="s">
        <v>77</v>
      </c>
      <c r="AZ37" s="126">
        <v>0</v>
      </c>
      <c r="BA37" s="126"/>
      <c r="BB37" s="126">
        <v>0</v>
      </c>
      <c r="BC37" s="126"/>
      <c r="BD37" s="126">
        <v>0</v>
      </c>
      <c r="BE37" s="126"/>
      <c r="BF37" s="9">
        <v>30</v>
      </c>
      <c r="BG37" s="147" t="s">
        <v>47</v>
      </c>
      <c r="BH37" s="126">
        <v>0</v>
      </c>
      <c r="BI37" s="126"/>
      <c r="BJ37" s="126">
        <v>0</v>
      </c>
      <c r="BK37" s="126"/>
      <c r="BL37" s="126">
        <v>0</v>
      </c>
      <c r="BM37" s="126"/>
      <c r="BN37" s="9"/>
      <c r="BO37" s="147" t="s">
        <v>77</v>
      </c>
      <c r="BP37" s="126"/>
      <c r="BQ37" s="126"/>
      <c r="BR37" s="126"/>
      <c r="BS37" s="126"/>
      <c r="BT37" s="126"/>
      <c r="BU37" s="126"/>
      <c r="BV37" s="9"/>
      <c r="BW37" s="147" t="s">
        <v>77</v>
      </c>
      <c r="BX37" s="126"/>
      <c r="BY37" s="126"/>
      <c r="BZ37" s="126"/>
      <c r="CA37" s="126"/>
      <c r="CB37" s="126"/>
      <c r="CC37" s="126"/>
      <c r="CD37" s="9">
        <v>29</v>
      </c>
      <c r="CE37" s="147" t="s">
        <v>113</v>
      </c>
      <c r="CF37" s="126">
        <v>0</v>
      </c>
      <c r="CG37" s="126"/>
      <c r="CH37" s="126">
        <v>0</v>
      </c>
      <c r="CI37" s="126"/>
      <c r="CJ37" s="126">
        <v>0</v>
      </c>
      <c r="CK37" s="126"/>
      <c r="CL37" s="9"/>
      <c r="CM37" s="147" t="s">
        <v>77</v>
      </c>
      <c r="CN37" s="126">
        <v>0</v>
      </c>
      <c r="CO37" s="126"/>
      <c r="CP37" s="126">
        <v>0</v>
      </c>
      <c r="CQ37" s="126"/>
      <c r="CR37" s="126">
        <v>0</v>
      </c>
      <c r="CS37" s="140"/>
    </row>
    <row r="38" spans="1:97" s="2" customFormat="1" ht="15" customHeight="1" x14ac:dyDescent="0.2">
      <c r="A38" s="6" t="s">
        <v>25</v>
      </c>
      <c r="B38" s="8"/>
      <c r="C38" s="147" t="s">
        <v>77</v>
      </c>
      <c r="D38" s="125"/>
      <c r="E38" s="124"/>
      <c r="F38" s="125"/>
      <c r="G38" s="124"/>
      <c r="H38" s="125"/>
      <c r="I38" s="124"/>
      <c r="J38" s="6"/>
      <c r="K38" s="147" t="s">
        <v>77</v>
      </c>
      <c r="L38" s="125"/>
      <c r="M38" s="124"/>
      <c r="N38" s="125"/>
      <c r="O38" s="124"/>
      <c r="P38" s="125"/>
      <c r="Q38" s="124"/>
      <c r="R38" s="6">
        <v>30</v>
      </c>
      <c r="S38" s="147" t="s">
        <v>77</v>
      </c>
      <c r="T38" s="167">
        <v>14</v>
      </c>
      <c r="U38" s="167"/>
      <c r="V38" s="167"/>
      <c r="W38" s="167"/>
      <c r="X38" s="167"/>
      <c r="Y38" s="168"/>
      <c r="Z38" s="6"/>
      <c r="AA38" s="147" t="s">
        <v>77</v>
      </c>
      <c r="AB38" s="125"/>
      <c r="AC38" s="124"/>
      <c r="AD38" s="121"/>
      <c r="AE38" s="124"/>
      <c r="AF38" s="125">
        <v>0</v>
      </c>
      <c r="AG38" s="124"/>
      <c r="AH38" s="6"/>
      <c r="AI38" s="147" t="s">
        <v>77</v>
      </c>
      <c r="AJ38" s="125"/>
      <c r="AK38" s="124"/>
      <c r="AL38" s="121"/>
      <c r="AM38" s="124"/>
      <c r="AN38" s="125">
        <v>0</v>
      </c>
      <c r="AO38" s="124"/>
      <c r="AP38" s="6">
        <v>29</v>
      </c>
      <c r="AQ38" s="147" t="s">
        <v>77</v>
      </c>
      <c r="AR38" s="167">
        <v>27</v>
      </c>
      <c r="AS38" s="167"/>
      <c r="AT38" s="167"/>
      <c r="AU38" s="167"/>
      <c r="AV38" s="167"/>
      <c r="AW38" s="168"/>
      <c r="AX38" s="6"/>
      <c r="AY38" s="147" t="s">
        <v>77</v>
      </c>
      <c r="AZ38" s="125">
        <v>0</v>
      </c>
      <c r="BA38" s="124"/>
      <c r="BB38" s="121">
        <v>0</v>
      </c>
      <c r="BC38" s="124"/>
      <c r="BD38" s="125">
        <v>0</v>
      </c>
      <c r="BE38" s="124"/>
      <c r="BF38" s="21">
        <v>31</v>
      </c>
      <c r="BG38" s="147" t="s">
        <v>77</v>
      </c>
      <c r="BH38" s="167">
        <v>36</v>
      </c>
      <c r="BI38" s="167"/>
      <c r="BJ38" s="167"/>
      <c r="BK38" s="167"/>
      <c r="BL38" s="167"/>
      <c r="BM38" s="168"/>
      <c r="BN38" s="6"/>
      <c r="BO38" s="147" t="s">
        <v>77</v>
      </c>
      <c r="BP38" s="125"/>
      <c r="BQ38" s="124"/>
      <c r="BR38" s="121"/>
      <c r="BS38" s="124"/>
      <c r="BT38" s="125"/>
      <c r="BU38" s="124"/>
      <c r="BV38" s="6"/>
      <c r="BW38" s="147" t="s">
        <v>77</v>
      </c>
      <c r="BX38" s="125"/>
      <c r="BY38" s="124"/>
      <c r="BZ38" s="121"/>
      <c r="CA38" s="124"/>
      <c r="CB38" s="125"/>
      <c r="CC38" s="124"/>
      <c r="CD38" s="6">
        <v>30</v>
      </c>
      <c r="CE38" s="147" t="s">
        <v>77</v>
      </c>
      <c r="CF38" s="167">
        <v>49</v>
      </c>
      <c r="CG38" s="167"/>
      <c r="CH38" s="167"/>
      <c r="CI38" s="167"/>
      <c r="CJ38" s="167"/>
      <c r="CK38" s="168"/>
      <c r="CL38" s="6"/>
      <c r="CM38" s="147" t="s">
        <v>77</v>
      </c>
      <c r="CN38" s="125">
        <v>0</v>
      </c>
      <c r="CO38" s="124"/>
      <c r="CP38" s="121">
        <v>0</v>
      </c>
      <c r="CQ38" s="124"/>
      <c r="CR38" s="125">
        <v>0</v>
      </c>
      <c r="CS38" s="139"/>
    </row>
    <row r="39" spans="1:97" s="2" customFormat="1" x14ac:dyDescent="0.2">
      <c r="A39" s="6" t="s">
        <v>6</v>
      </c>
      <c r="B39" s="8"/>
      <c r="C39" s="147" t="s">
        <v>77</v>
      </c>
      <c r="D39" s="125"/>
      <c r="E39" s="124"/>
      <c r="F39" s="125"/>
      <c r="G39" s="124"/>
      <c r="H39" s="125"/>
      <c r="I39" s="124"/>
      <c r="J39" s="6"/>
      <c r="K39" s="147" t="s">
        <v>77</v>
      </c>
      <c r="L39" s="125"/>
      <c r="M39" s="124"/>
      <c r="N39" s="125"/>
      <c r="O39" s="124"/>
      <c r="P39" s="125"/>
      <c r="Q39" s="124"/>
      <c r="R39" s="6">
        <v>31</v>
      </c>
      <c r="S39" s="147" t="s">
        <v>77</v>
      </c>
      <c r="T39" s="125">
        <v>0</v>
      </c>
      <c r="U39" s="124"/>
      <c r="V39" s="121">
        <v>0</v>
      </c>
      <c r="W39" s="124"/>
      <c r="X39" s="125">
        <v>0</v>
      </c>
      <c r="Y39" s="124"/>
      <c r="Z39" s="6"/>
      <c r="AA39" s="147" t="s">
        <v>77</v>
      </c>
      <c r="AB39" s="125"/>
      <c r="AC39" s="124"/>
      <c r="AD39" s="121"/>
      <c r="AE39" s="124"/>
      <c r="AF39" s="125">
        <v>0</v>
      </c>
      <c r="AG39" s="124"/>
      <c r="AH39" s="6"/>
      <c r="AI39" s="147" t="s">
        <v>77</v>
      </c>
      <c r="AJ39" s="125"/>
      <c r="AK39" s="124"/>
      <c r="AL39" s="121"/>
      <c r="AM39" s="124"/>
      <c r="AN39" s="125">
        <v>0</v>
      </c>
      <c r="AO39" s="124"/>
      <c r="AP39" s="6">
        <v>30</v>
      </c>
      <c r="AQ39" s="147" t="s">
        <v>77</v>
      </c>
      <c r="AR39" s="125">
        <v>0</v>
      </c>
      <c r="AS39" s="124"/>
      <c r="AT39" s="121">
        <v>0</v>
      </c>
      <c r="AU39" s="124"/>
      <c r="AV39" s="125">
        <v>0</v>
      </c>
      <c r="AW39" s="124"/>
      <c r="AX39" s="6"/>
      <c r="AY39" s="147" t="s">
        <v>77</v>
      </c>
      <c r="AZ39" s="125">
        <v>0</v>
      </c>
      <c r="BA39" s="124"/>
      <c r="BB39" s="121">
        <v>0</v>
      </c>
      <c r="BC39" s="124"/>
      <c r="BD39" s="125">
        <v>0</v>
      </c>
      <c r="BE39" s="124"/>
      <c r="BF39" s="21"/>
      <c r="BG39" s="147" t="s">
        <v>77</v>
      </c>
      <c r="BH39" s="125"/>
      <c r="BI39" s="124"/>
      <c r="BJ39" s="121"/>
      <c r="BK39" s="124"/>
      <c r="BL39" s="125"/>
      <c r="BM39" s="124"/>
      <c r="BN39" s="6"/>
      <c r="BO39" s="147" t="s">
        <v>77</v>
      </c>
      <c r="BP39" s="125"/>
      <c r="BQ39" s="124"/>
      <c r="BR39" s="121"/>
      <c r="BS39" s="124"/>
      <c r="BT39" s="125"/>
      <c r="BU39" s="124"/>
      <c r="BV39" s="6"/>
      <c r="BW39" s="147" t="s">
        <v>77</v>
      </c>
      <c r="BX39" s="125"/>
      <c r="BY39" s="124"/>
      <c r="BZ39" s="121"/>
      <c r="CA39" s="124"/>
      <c r="CB39" s="125"/>
      <c r="CC39" s="124"/>
      <c r="CD39" s="6"/>
      <c r="CE39" s="147" t="s">
        <v>77</v>
      </c>
      <c r="CF39" s="125"/>
      <c r="CG39" s="124"/>
      <c r="CH39" s="121"/>
      <c r="CI39" s="124"/>
      <c r="CJ39" s="125"/>
      <c r="CK39" s="124"/>
      <c r="CL39" s="6"/>
      <c r="CM39" s="147" t="s">
        <v>77</v>
      </c>
      <c r="CN39" s="125"/>
      <c r="CO39" s="124"/>
      <c r="CP39" s="121"/>
      <c r="CQ39" s="124"/>
      <c r="CR39" s="125"/>
      <c r="CS39" s="139"/>
    </row>
    <row r="40" spans="1:97" s="2" customFormat="1" x14ac:dyDescent="0.2">
      <c r="A40" s="6"/>
      <c r="B40" s="8"/>
      <c r="C40" s="147" t="s">
        <v>77</v>
      </c>
      <c r="D40" s="125"/>
      <c r="E40" s="124"/>
      <c r="F40" s="125"/>
      <c r="G40" s="124"/>
      <c r="H40" s="125"/>
      <c r="I40" s="124"/>
      <c r="J40" s="6"/>
      <c r="K40" s="147" t="s">
        <v>77</v>
      </c>
      <c r="L40" s="125"/>
      <c r="M40" s="124"/>
      <c r="N40" s="125"/>
      <c r="O40" s="124"/>
      <c r="P40" s="125"/>
      <c r="Q40" s="124"/>
      <c r="R40" s="6"/>
      <c r="S40" s="147" t="s">
        <v>77</v>
      </c>
      <c r="T40" s="125"/>
      <c r="U40" s="124"/>
      <c r="V40" s="125"/>
      <c r="W40" s="124"/>
      <c r="X40" s="125"/>
      <c r="Y40" s="124"/>
      <c r="Z40" s="6"/>
      <c r="AA40" s="147" t="s">
        <v>77</v>
      </c>
      <c r="AB40" s="125"/>
      <c r="AC40" s="124"/>
      <c r="AD40" s="125"/>
      <c r="AE40" s="124"/>
      <c r="AF40" s="125"/>
      <c r="AG40" s="124"/>
      <c r="AH40" s="6"/>
      <c r="AI40" s="147" t="s">
        <v>77</v>
      </c>
      <c r="AJ40" s="125"/>
      <c r="AK40" s="124"/>
      <c r="AL40" s="125"/>
      <c r="AM40" s="124"/>
      <c r="AN40" s="125"/>
      <c r="AO40" s="124"/>
      <c r="AP40" s="6"/>
      <c r="AQ40" s="77" t="s">
        <v>32</v>
      </c>
      <c r="AR40" s="125"/>
      <c r="AS40" s="124"/>
      <c r="AT40" s="125"/>
      <c r="AU40" s="124"/>
      <c r="AV40" s="125"/>
      <c r="AW40" s="124"/>
      <c r="AX40" s="6"/>
      <c r="AY40" s="147" t="s">
        <v>77</v>
      </c>
      <c r="AZ40" s="125"/>
      <c r="BA40" s="124"/>
      <c r="BB40" s="125"/>
      <c r="BC40" s="124"/>
      <c r="BD40" s="125"/>
      <c r="BE40" s="124"/>
      <c r="BF40" s="21"/>
      <c r="BG40" s="147" t="s">
        <v>77</v>
      </c>
      <c r="BH40" s="125"/>
      <c r="BI40" s="124"/>
      <c r="BJ40" s="125"/>
      <c r="BK40" s="124"/>
      <c r="BL40" s="125"/>
      <c r="BM40" s="124"/>
      <c r="BN40" s="6"/>
      <c r="BO40" s="147" t="s">
        <v>77</v>
      </c>
      <c r="BP40" s="125"/>
      <c r="BQ40" s="124"/>
      <c r="BR40" s="125"/>
      <c r="BS40" s="124"/>
      <c r="BT40" s="125"/>
      <c r="BU40" s="124"/>
      <c r="BV40" s="6"/>
      <c r="BW40" s="147" t="s">
        <v>77</v>
      </c>
      <c r="BX40" s="125"/>
      <c r="BY40" s="124"/>
      <c r="BZ40" s="125"/>
      <c r="CA40" s="124"/>
      <c r="CB40" s="125"/>
      <c r="CC40" s="124"/>
      <c r="CD40" s="6"/>
      <c r="CE40" s="147" t="s">
        <v>77</v>
      </c>
      <c r="CF40" s="125"/>
      <c r="CG40" s="124"/>
      <c r="CH40" s="125"/>
      <c r="CI40" s="124"/>
      <c r="CJ40" s="125"/>
      <c r="CK40" s="124"/>
      <c r="CL40" s="6"/>
      <c r="CM40" s="147" t="s">
        <v>77</v>
      </c>
      <c r="CN40" s="125"/>
      <c r="CO40" s="124"/>
      <c r="CP40" s="125"/>
      <c r="CQ40" s="124"/>
      <c r="CR40" s="125"/>
      <c r="CS40" s="139"/>
    </row>
    <row r="41" spans="1:97" s="2" customFormat="1" x14ac:dyDescent="0.2">
      <c r="A41" s="11"/>
      <c r="B41" s="12"/>
      <c r="C41" s="68" t="s">
        <v>77</v>
      </c>
      <c r="D41" s="128"/>
      <c r="E41" s="129"/>
      <c r="F41" s="128"/>
      <c r="G41" s="129"/>
      <c r="H41" s="128"/>
      <c r="I41" s="129"/>
      <c r="J41" s="11"/>
      <c r="K41" s="68" t="s">
        <v>77</v>
      </c>
      <c r="L41" s="128"/>
      <c r="M41" s="129"/>
      <c r="N41" s="128"/>
      <c r="O41" s="129"/>
      <c r="P41" s="128"/>
      <c r="Q41" s="129"/>
      <c r="R41" s="11"/>
      <c r="S41" s="68" t="s">
        <v>77</v>
      </c>
      <c r="T41" s="128"/>
      <c r="U41" s="129"/>
      <c r="V41" s="128"/>
      <c r="W41" s="129"/>
      <c r="X41" s="128"/>
      <c r="Y41" s="129"/>
      <c r="Z41" s="11"/>
      <c r="AA41" s="68" t="s">
        <v>77</v>
      </c>
      <c r="AB41" s="128"/>
      <c r="AC41" s="129"/>
      <c r="AD41" s="128"/>
      <c r="AE41" s="129"/>
      <c r="AF41" s="128"/>
      <c r="AG41" s="129"/>
      <c r="AH41" s="11"/>
      <c r="AI41" s="68" t="s">
        <v>77</v>
      </c>
      <c r="AJ41" s="128"/>
      <c r="AK41" s="129"/>
      <c r="AL41" s="128"/>
      <c r="AM41" s="129"/>
      <c r="AN41" s="128"/>
      <c r="AO41" s="129"/>
      <c r="AP41" s="11"/>
      <c r="AQ41" s="78" t="s">
        <v>34</v>
      </c>
      <c r="AR41" s="128"/>
      <c r="AS41" s="129"/>
      <c r="AT41" s="128"/>
      <c r="AU41" s="129"/>
      <c r="AV41" s="128"/>
      <c r="AW41" s="129"/>
      <c r="AX41" s="11"/>
      <c r="AY41" s="68" t="s">
        <v>77</v>
      </c>
      <c r="AZ41" s="128"/>
      <c r="BA41" s="129"/>
      <c r="BB41" s="128"/>
      <c r="BC41" s="129"/>
      <c r="BD41" s="128"/>
      <c r="BE41" s="129"/>
      <c r="BF41" s="23"/>
      <c r="BG41" s="68" t="s">
        <v>77</v>
      </c>
      <c r="BH41" s="128"/>
      <c r="BI41" s="129"/>
      <c r="BJ41" s="128"/>
      <c r="BK41" s="129"/>
      <c r="BL41" s="128"/>
      <c r="BM41" s="129"/>
      <c r="BN41" s="11"/>
      <c r="BO41" s="68" t="s">
        <v>77</v>
      </c>
      <c r="BP41" s="128"/>
      <c r="BQ41" s="129"/>
      <c r="BR41" s="128"/>
      <c r="BS41" s="129"/>
      <c r="BT41" s="128"/>
      <c r="BU41" s="129"/>
      <c r="BV41" s="11"/>
      <c r="BW41" s="68" t="s">
        <v>77</v>
      </c>
      <c r="BX41" s="128"/>
      <c r="BY41" s="129"/>
      <c r="BZ41" s="128"/>
      <c r="CA41" s="129"/>
      <c r="CB41" s="128"/>
      <c r="CC41" s="129"/>
      <c r="CD41" s="11"/>
      <c r="CE41" s="68" t="s">
        <v>77</v>
      </c>
      <c r="CF41" s="128"/>
      <c r="CG41" s="129"/>
      <c r="CH41" s="128"/>
      <c r="CI41" s="129"/>
      <c r="CJ41" s="128"/>
      <c r="CK41" s="129"/>
      <c r="CL41" s="11"/>
      <c r="CM41" s="68" t="s">
        <v>77</v>
      </c>
      <c r="CN41" s="128"/>
      <c r="CO41" s="129"/>
      <c r="CP41" s="128"/>
      <c r="CQ41" s="129"/>
      <c r="CR41" s="128"/>
      <c r="CS41" s="142"/>
    </row>
    <row r="42" spans="1:97" x14ac:dyDescent="0.2">
      <c r="BO42" s="75" t="s">
        <v>109</v>
      </c>
    </row>
    <row r="43" spans="1:97" x14ac:dyDescent="0.2">
      <c r="D43" s="130" t="s">
        <v>29</v>
      </c>
      <c r="E43" s="131"/>
      <c r="F43" s="130"/>
      <c r="G43" s="131"/>
      <c r="H43" s="130"/>
      <c r="I43" s="131"/>
      <c r="L43" s="130"/>
      <c r="M43" s="131"/>
      <c r="N43" s="130"/>
      <c r="O43" s="131"/>
      <c r="P43" s="130"/>
      <c r="Q43" s="131"/>
      <c r="S43" s="69"/>
      <c r="T43" s="130"/>
      <c r="U43" s="131"/>
      <c r="V43" s="130"/>
      <c r="W43" s="131"/>
      <c r="X43" s="130"/>
      <c r="Y43" s="131"/>
      <c r="AB43" s="130"/>
      <c r="AC43" s="131"/>
      <c r="AD43" s="130"/>
      <c r="AE43" s="131"/>
      <c r="AF43" s="130"/>
      <c r="AG43" s="131"/>
      <c r="AJ43" s="130"/>
      <c r="AK43" s="131"/>
      <c r="AL43" s="130"/>
      <c r="AM43" s="131"/>
      <c r="AN43" s="130"/>
      <c r="AO43" s="131"/>
      <c r="AR43" s="130"/>
      <c r="AS43" s="131"/>
      <c r="AT43" s="130"/>
      <c r="AU43" s="131"/>
      <c r="AV43" s="130"/>
      <c r="AW43" s="131"/>
      <c r="AZ43" s="130"/>
      <c r="BA43" s="131"/>
      <c r="BB43" s="130"/>
      <c r="BC43" s="131"/>
      <c r="BD43" s="130"/>
      <c r="BE43" s="131"/>
      <c r="BH43" s="130"/>
      <c r="BI43" s="131"/>
      <c r="BJ43" s="130"/>
      <c r="BK43" s="131"/>
      <c r="BL43" s="130"/>
      <c r="BM43" s="131"/>
      <c r="BO43" s="75" t="s">
        <v>110</v>
      </c>
      <c r="BP43" s="130"/>
      <c r="BQ43" s="131"/>
      <c r="BR43" s="130"/>
      <c r="BS43" s="131"/>
      <c r="BT43" s="130"/>
      <c r="BU43" s="131"/>
      <c r="BX43" s="130"/>
      <c r="BY43" s="131"/>
      <c r="BZ43" s="130"/>
      <c r="CA43" s="131"/>
      <c r="CB43" s="130"/>
      <c r="CC43" s="131"/>
      <c r="CF43" s="130"/>
      <c r="CG43" s="131"/>
      <c r="CH43" s="130"/>
      <c r="CI43" s="131"/>
      <c r="CJ43" s="130"/>
      <c r="CK43" s="131"/>
      <c r="CN43" s="130"/>
      <c r="CO43" s="131"/>
      <c r="CP43" s="130"/>
      <c r="CQ43" s="131"/>
      <c r="CR43" s="130"/>
      <c r="CS43" s="143"/>
    </row>
    <row r="44" spans="1:97" x14ac:dyDescent="0.2">
      <c r="D44" s="130" t="s">
        <v>28</v>
      </c>
      <c r="E44" s="131"/>
      <c r="F44" s="130"/>
      <c r="G44" s="131"/>
      <c r="H44" s="130"/>
      <c r="I44" s="131"/>
      <c r="L44" s="130"/>
      <c r="M44" s="131"/>
      <c r="N44" s="130"/>
      <c r="O44" s="131"/>
      <c r="P44" s="130"/>
      <c r="Q44" s="131"/>
      <c r="S44" s="69"/>
      <c r="T44" s="130"/>
      <c r="U44" s="131"/>
      <c r="V44" s="130"/>
      <c r="W44" s="131"/>
      <c r="X44" s="130"/>
      <c r="Y44" s="131"/>
      <c r="AB44" s="130"/>
      <c r="AC44" s="131"/>
      <c r="AD44" s="130"/>
      <c r="AE44" s="131"/>
      <c r="AF44" s="130"/>
      <c r="AG44" s="131"/>
      <c r="AJ44" s="130"/>
      <c r="AK44" s="131"/>
      <c r="AL44" s="130"/>
      <c r="AM44" s="131"/>
      <c r="AN44" s="130"/>
      <c r="AO44" s="131"/>
      <c r="AR44" s="130"/>
      <c r="AS44" s="131"/>
      <c r="AT44" s="130"/>
      <c r="AU44" s="131"/>
      <c r="AV44" s="130"/>
      <c r="AW44" s="131"/>
      <c r="AZ44" s="130"/>
      <c r="BA44" s="131"/>
      <c r="BB44" s="130"/>
      <c r="BC44" s="131"/>
      <c r="BD44" s="130"/>
      <c r="BE44" s="131"/>
      <c r="BH44" s="130"/>
      <c r="BI44" s="131"/>
      <c r="BJ44" s="130"/>
      <c r="BK44" s="131"/>
      <c r="BL44" s="130"/>
      <c r="BM44" s="131"/>
      <c r="BO44" s="75" t="s">
        <v>111</v>
      </c>
      <c r="BP44" s="130"/>
      <c r="BQ44" s="131"/>
      <c r="BR44" s="130"/>
      <c r="BS44" s="131"/>
      <c r="BT44" s="130"/>
      <c r="BU44" s="131"/>
      <c r="BX44" s="130"/>
      <c r="BY44" s="131"/>
      <c r="BZ44" s="130"/>
      <c r="CA44" s="131"/>
      <c r="CB44" s="130"/>
      <c r="CC44" s="131"/>
      <c r="CF44" s="130"/>
      <c r="CG44" s="131"/>
      <c r="CH44" s="130"/>
      <c r="CI44" s="131"/>
      <c r="CJ44" s="130"/>
      <c r="CK44" s="131"/>
      <c r="CN44" s="130"/>
      <c r="CO44" s="131"/>
      <c r="CP44" s="130"/>
      <c r="CQ44" s="131"/>
      <c r="CR44" s="130"/>
      <c r="CS44" s="143"/>
    </row>
    <row r="45" spans="1:97" x14ac:dyDescent="0.2">
      <c r="D45" s="130" t="s">
        <v>30</v>
      </c>
      <c r="E45" s="131"/>
      <c r="F45" s="130"/>
      <c r="G45" s="131"/>
      <c r="H45" s="130"/>
      <c r="I45" s="131"/>
      <c r="L45" s="130"/>
      <c r="M45" s="131"/>
      <c r="N45" s="130"/>
      <c r="O45" s="131"/>
      <c r="P45" s="130"/>
      <c r="Q45" s="131"/>
      <c r="S45" s="69"/>
      <c r="T45" s="130"/>
      <c r="U45" s="131"/>
      <c r="V45" s="130"/>
      <c r="W45" s="131"/>
      <c r="X45" s="130"/>
      <c r="Y45" s="131"/>
      <c r="AB45" s="130"/>
      <c r="AC45" s="131"/>
      <c r="AD45" s="130"/>
      <c r="AE45" s="131"/>
      <c r="AF45" s="130"/>
      <c r="AG45" s="131"/>
      <c r="AJ45" s="130"/>
      <c r="AK45" s="131"/>
      <c r="AL45" s="130"/>
      <c r="AM45" s="131"/>
      <c r="AN45" s="130"/>
      <c r="AO45" s="131"/>
      <c r="AR45" s="130"/>
      <c r="AS45" s="131"/>
      <c r="AT45" s="130"/>
      <c r="AU45" s="131"/>
      <c r="AV45" s="130"/>
      <c r="AW45" s="131"/>
      <c r="AZ45" s="130"/>
      <c r="BA45" s="131"/>
      <c r="BB45" s="130"/>
      <c r="BC45" s="131"/>
      <c r="BD45" s="130"/>
      <c r="BE45" s="131"/>
      <c r="BH45" s="130"/>
      <c r="BI45" s="131"/>
      <c r="BJ45" s="130"/>
      <c r="BK45" s="131"/>
      <c r="BL45" s="130"/>
      <c r="BM45" s="131"/>
      <c r="BP45" s="130"/>
      <c r="BQ45" s="131"/>
      <c r="BR45" s="130"/>
      <c r="BS45" s="131"/>
      <c r="BT45" s="130"/>
      <c r="BU45" s="131"/>
      <c r="BX45" s="130"/>
      <c r="BY45" s="131"/>
      <c r="BZ45" s="130"/>
      <c r="CA45" s="131"/>
      <c r="CB45" s="130"/>
      <c r="CC45" s="131"/>
      <c r="CF45" s="130"/>
      <c r="CG45" s="131"/>
      <c r="CH45" s="130"/>
      <c r="CI45" s="131"/>
      <c r="CJ45" s="130"/>
      <c r="CK45" s="131"/>
      <c r="CN45" s="130"/>
      <c r="CO45" s="131"/>
      <c r="CP45" s="130"/>
      <c r="CQ45" s="131"/>
      <c r="CR45" s="130"/>
      <c r="CS45" s="143"/>
    </row>
    <row r="46" spans="1:97" x14ac:dyDescent="0.2">
      <c r="S46" s="69"/>
      <c r="BF46" s="25"/>
      <c r="BO46" s="75" t="s">
        <v>75</v>
      </c>
      <c r="BW46" s="75">
        <v>3</v>
      </c>
    </row>
    <row r="47" spans="1:97" x14ac:dyDescent="0.2">
      <c r="S47" s="69"/>
      <c r="BF47" s="25"/>
      <c r="BO47" s="74" t="s">
        <v>76</v>
      </c>
      <c r="BW47" s="75">
        <v>3</v>
      </c>
    </row>
  </sheetData>
  <mergeCells count="53">
    <mergeCell ref="CL2:CM2"/>
    <mergeCell ref="B2:C2"/>
    <mergeCell ref="J2:K2"/>
    <mergeCell ref="R2:S2"/>
    <mergeCell ref="Z2:AA2"/>
    <mergeCell ref="AH2:AI2"/>
    <mergeCell ref="AP2:AQ2"/>
    <mergeCell ref="AX2:AY2"/>
    <mergeCell ref="BF2:BG2"/>
    <mergeCell ref="BN2:BO2"/>
    <mergeCell ref="BV2:BW2"/>
    <mergeCell ref="CD2:CE2"/>
    <mergeCell ref="D3:I3"/>
    <mergeCell ref="D10:I10"/>
    <mergeCell ref="T10:Y10"/>
    <mergeCell ref="AJ10:AO10"/>
    <mergeCell ref="AR10:AW10"/>
    <mergeCell ref="CF10:CK10"/>
    <mergeCell ref="CN10:CS10"/>
    <mergeCell ref="D17:I17"/>
    <mergeCell ref="M17:Q17"/>
    <mergeCell ref="T17:Y17"/>
    <mergeCell ref="AJ17:AO17"/>
    <mergeCell ref="AR17:AW17"/>
    <mergeCell ref="BI17:BM17"/>
    <mergeCell ref="BP17:BU17"/>
    <mergeCell ref="BY17:CC17"/>
    <mergeCell ref="BP10:BU10"/>
    <mergeCell ref="CF17:CK17"/>
    <mergeCell ref="CN17:CS17"/>
    <mergeCell ref="D24:I24"/>
    <mergeCell ref="T24:Y24"/>
    <mergeCell ref="AC24:AG24"/>
    <mergeCell ref="AJ24:AO24"/>
    <mergeCell ref="AR24:AW24"/>
    <mergeCell ref="BH24:BM24"/>
    <mergeCell ref="BX24:CC24"/>
    <mergeCell ref="CF24:CK24"/>
    <mergeCell ref="CO24:CS24"/>
    <mergeCell ref="BW30:CC30"/>
    <mergeCell ref="D31:I31"/>
    <mergeCell ref="L31:Q31"/>
    <mergeCell ref="T31:Y31"/>
    <mergeCell ref="AC31:AG31"/>
    <mergeCell ref="AJ31:AO31"/>
    <mergeCell ref="AR31:AW31"/>
    <mergeCell ref="BH31:BM31"/>
    <mergeCell ref="BX31:CC31"/>
    <mergeCell ref="CF31:CK31"/>
    <mergeCell ref="T38:Y38"/>
    <mergeCell ref="AR38:AW38"/>
    <mergeCell ref="BH38:BM38"/>
    <mergeCell ref="CF38:CK38"/>
  </mergeCells>
  <conditionalFormatting sqref="F6:F9 F36 F25:F30 F18:F23 F11:F16">
    <cfRule type="cellIs" dxfId="7084" priority="1562" operator="equal">
      <formula>"x"</formula>
    </cfRule>
  </conditionalFormatting>
  <conditionalFormatting sqref="D6:D30 D32:D36">
    <cfRule type="cellIs" dxfId="7083" priority="1561" operator="equal">
      <formula>"x"</formula>
    </cfRule>
  </conditionalFormatting>
  <conditionalFormatting sqref="D8:D9 D15:D16 D22:D23 D29:D30 D36:D37">
    <cfRule type="cellIs" dxfId="7082" priority="1560" operator="notEqual">
      <formula>"x"</formula>
    </cfRule>
  </conditionalFormatting>
  <conditionalFormatting sqref="F8:F9 F15:F16 F22:F23 F29:F30 F36:F37">
    <cfRule type="cellIs" dxfId="7081" priority="1559" operator="notEqual">
      <formula>"x"</formula>
    </cfRule>
  </conditionalFormatting>
  <conditionalFormatting sqref="H6:H9 H32:H36 H25:H30 H18:H23 H11:H16">
    <cfRule type="cellIs" dxfId="7080" priority="1558" operator="equal">
      <formula>"x"</formula>
    </cfRule>
  </conditionalFormatting>
  <conditionalFormatting sqref="H8:H9 H15:H16 H22:H23 H29:H30 H36:H37">
    <cfRule type="cellIs" dxfId="7079" priority="1557" operator="notEqual">
      <formula>"x"</formula>
    </cfRule>
  </conditionalFormatting>
  <conditionalFormatting sqref="N6:N8 N32:N36 N25:N30 N18:N23 N12:N16">
    <cfRule type="cellIs" dxfId="7078" priority="1556" operator="equal">
      <formula>"x"</formula>
    </cfRule>
  </conditionalFormatting>
  <conditionalFormatting sqref="L6:L8 L12:L16 L18:L23 L25:L30 L32:L36">
    <cfRule type="cellIs" dxfId="7077" priority="1555" operator="equal">
      <formula>"x"</formula>
    </cfRule>
  </conditionalFormatting>
  <conditionalFormatting sqref="L8 L15:L16 L22:L23 L29:L30 L36:L37">
    <cfRule type="cellIs" dxfId="7076" priority="1554" operator="notEqual">
      <formula>"x"</formula>
    </cfRule>
  </conditionalFormatting>
  <conditionalFormatting sqref="N8 N15:N16 N22:N23 N29:N30 N36:N37">
    <cfRule type="cellIs" dxfId="7075" priority="1553" operator="notEqual">
      <formula>"x"</formula>
    </cfRule>
  </conditionalFormatting>
  <conditionalFormatting sqref="P6:P8 P32:P36 P25:P30 P18:P23 P12:P16">
    <cfRule type="cellIs" dxfId="7074" priority="1552" operator="equal">
      <formula>"x"</formula>
    </cfRule>
  </conditionalFormatting>
  <conditionalFormatting sqref="P8 P15:P16 P22:P23 P29:P30 P36:P37">
    <cfRule type="cellIs" dxfId="7073" priority="1551" operator="notEqual">
      <formula>"x"</formula>
    </cfRule>
  </conditionalFormatting>
  <conditionalFormatting sqref="L11">
    <cfRule type="cellIs" dxfId="7072" priority="1550" operator="equal">
      <formula>"x"</formula>
    </cfRule>
  </conditionalFormatting>
  <conditionalFormatting sqref="P11">
    <cfRule type="cellIs" dxfId="7071" priority="1549" operator="equal">
      <formula>"x"</formula>
    </cfRule>
  </conditionalFormatting>
  <conditionalFormatting sqref="N9">
    <cfRule type="cellIs" dxfId="7070" priority="1548" operator="equal">
      <formula>"x"</formula>
    </cfRule>
  </conditionalFormatting>
  <conditionalFormatting sqref="L9">
    <cfRule type="cellIs" dxfId="7069" priority="1547" operator="equal">
      <formula>"x"</formula>
    </cfRule>
  </conditionalFormatting>
  <conditionalFormatting sqref="L9">
    <cfRule type="cellIs" dxfId="7068" priority="1546" operator="notEqual">
      <formula>"x"</formula>
    </cfRule>
  </conditionalFormatting>
  <conditionalFormatting sqref="N9">
    <cfRule type="cellIs" dxfId="7067" priority="1545" operator="notEqual">
      <formula>"x"</formula>
    </cfRule>
  </conditionalFormatting>
  <conditionalFormatting sqref="P9">
    <cfRule type="cellIs" dxfId="7066" priority="1544" operator="equal">
      <formula>"x"</formula>
    </cfRule>
  </conditionalFormatting>
  <conditionalFormatting sqref="P9">
    <cfRule type="cellIs" dxfId="7065" priority="1543" operator="notEqual">
      <formula>"x"</formula>
    </cfRule>
  </conditionalFormatting>
  <conditionalFormatting sqref="M17">
    <cfRule type="cellIs" dxfId="7064" priority="1542" operator="equal">
      <formula>"x"</formula>
    </cfRule>
  </conditionalFormatting>
  <conditionalFormatting sqref="L17">
    <cfRule type="cellIs" dxfId="7063" priority="1541" operator="equal">
      <formula>"x"</formula>
    </cfRule>
  </conditionalFormatting>
  <conditionalFormatting sqref="L31">
    <cfRule type="cellIs" dxfId="7062" priority="1540" operator="equal">
      <formula>"x"</formula>
    </cfRule>
  </conditionalFormatting>
  <conditionalFormatting sqref="V6:V7 V32:V36 V25:V30 V18:V21 V12:V15 V23">
    <cfRule type="cellIs" dxfId="7061" priority="1539" operator="equal">
      <formula>"x"</formula>
    </cfRule>
  </conditionalFormatting>
  <conditionalFormatting sqref="T6:T7 T12:T15 T18:T21 T25:T30 T32:T36 T23">
    <cfRule type="cellIs" dxfId="7060" priority="1538" operator="equal">
      <formula>"x"</formula>
    </cfRule>
  </conditionalFormatting>
  <conditionalFormatting sqref="T15 T23 T29:T30 T36">
    <cfRule type="cellIs" dxfId="7059" priority="1537" operator="notEqual">
      <formula>"x"</formula>
    </cfRule>
  </conditionalFormatting>
  <conditionalFormatting sqref="V15 V23 V29:V30 V36">
    <cfRule type="cellIs" dxfId="7058" priority="1536" operator="notEqual">
      <formula>"x"</formula>
    </cfRule>
  </conditionalFormatting>
  <conditionalFormatting sqref="X6:X7 X32:X36 X25:X30 X18:X21 X12:X15 X23">
    <cfRule type="cellIs" dxfId="7057" priority="1535" operator="equal">
      <formula>"x"</formula>
    </cfRule>
  </conditionalFormatting>
  <conditionalFormatting sqref="X15 X23 X29:X30 X36">
    <cfRule type="cellIs" dxfId="7056" priority="1534" operator="notEqual">
      <formula>"x"</formula>
    </cfRule>
  </conditionalFormatting>
  <conditionalFormatting sqref="V11">
    <cfRule type="cellIs" dxfId="7055" priority="1533" operator="equal">
      <formula>"x"</formula>
    </cfRule>
  </conditionalFormatting>
  <conditionalFormatting sqref="T11">
    <cfRule type="cellIs" dxfId="7054" priority="1532" operator="equal">
      <formula>"x"</formula>
    </cfRule>
  </conditionalFormatting>
  <conditionalFormatting sqref="X11">
    <cfRule type="cellIs" dxfId="7053" priority="1531" operator="equal">
      <formula>"x"</formula>
    </cfRule>
  </conditionalFormatting>
  <conditionalFormatting sqref="T10">
    <cfRule type="cellIs" dxfId="7052" priority="1530" operator="equal">
      <formula>"x"</formula>
    </cfRule>
  </conditionalFormatting>
  <conditionalFormatting sqref="X22">
    <cfRule type="cellIs" dxfId="7051" priority="1503" operator="notEqual">
      <formula>"x"</formula>
    </cfRule>
  </conditionalFormatting>
  <conditionalFormatting sqref="T37">
    <cfRule type="cellIs" dxfId="7050" priority="1500" operator="notEqual">
      <formula>"x"</formula>
    </cfRule>
  </conditionalFormatting>
  <conditionalFormatting sqref="T17">
    <cfRule type="cellIs" dxfId="7049" priority="1529" operator="equal">
      <formula>"x"</formula>
    </cfRule>
  </conditionalFormatting>
  <conditionalFormatting sqref="T24">
    <cfRule type="cellIs" dxfId="7048" priority="1528" operator="equal">
      <formula>"x"</formula>
    </cfRule>
  </conditionalFormatting>
  <conditionalFormatting sqref="T31">
    <cfRule type="cellIs" dxfId="7047" priority="1527" operator="equal">
      <formula>"x"</formula>
    </cfRule>
  </conditionalFormatting>
  <conditionalFormatting sqref="V9">
    <cfRule type="cellIs" dxfId="7046" priority="1526" operator="equal">
      <formula>"x"</formula>
    </cfRule>
  </conditionalFormatting>
  <conditionalFormatting sqref="T9">
    <cfRule type="cellIs" dxfId="7045" priority="1525" operator="equal">
      <formula>"x"</formula>
    </cfRule>
  </conditionalFormatting>
  <conditionalFormatting sqref="T9">
    <cfRule type="cellIs" dxfId="7044" priority="1524" operator="notEqual">
      <formula>"x"</formula>
    </cfRule>
  </conditionalFormatting>
  <conditionalFormatting sqref="V9">
    <cfRule type="cellIs" dxfId="7043" priority="1523" operator="notEqual">
      <formula>"x"</formula>
    </cfRule>
  </conditionalFormatting>
  <conditionalFormatting sqref="X9">
    <cfRule type="cellIs" dxfId="7042" priority="1522" operator="equal">
      <formula>"x"</formula>
    </cfRule>
  </conditionalFormatting>
  <conditionalFormatting sqref="X9">
    <cfRule type="cellIs" dxfId="7041" priority="1521" operator="notEqual">
      <formula>"x"</formula>
    </cfRule>
  </conditionalFormatting>
  <conditionalFormatting sqref="V8">
    <cfRule type="cellIs" dxfId="7040" priority="1520" operator="equal">
      <formula>"x"</formula>
    </cfRule>
  </conditionalFormatting>
  <conditionalFormatting sqref="T8">
    <cfRule type="cellIs" dxfId="7039" priority="1519" operator="equal">
      <formula>"x"</formula>
    </cfRule>
  </conditionalFormatting>
  <conditionalFormatting sqref="T8">
    <cfRule type="cellIs" dxfId="7038" priority="1518" operator="notEqual">
      <formula>"x"</formula>
    </cfRule>
  </conditionalFormatting>
  <conditionalFormatting sqref="V8">
    <cfRule type="cellIs" dxfId="7037" priority="1517" operator="notEqual">
      <formula>"x"</formula>
    </cfRule>
  </conditionalFormatting>
  <conditionalFormatting sqref="X8">
    <cfRule type="cellIs" dxfId="7036" priority="1516" operator="equal">
      <formula>"x"</formula>
    </cfRule>
  </conditionalFormatting>
  <conditionalFormatting sqref="X8">
    <cfRule type="cellIs" dxfId="7035" priority="1515" operator="notEqual">
      <formula>"x"</formula>
    </cfRule>
  </conditionalFormatting>
  <conditionalFormatting sqref="V16">
    <cfRule type="cellIs" dxfId="7034" priority="1514" operator="equal">
      <formula>"x"</formula>
    </cfRule>
  </conditionalFormatting>
  <conditionalFormatting sqref="T16">
    <cfRule type="cellIs" dxfId="7033" priority="1513" operator="equal">
      <formula>"x"</formula>
    </cfRule>
  </conditionalFormatting>
  <conditionalFormatting sqref="T16">
    <cfRule type="cellIs" dxfId="7032" priority="1512" operator="notEqual">
      <formula>"x"</formula>
    </cfRule>
  </conditionalFormatting>
  <conditionalFormatting sqref="V16">
    <cfRule type="cellIs" dxfId="7031" priority="1511" operator="notEqual">
      <formula>"x"</formula>
    </cfRule>
  </conditionalFormatting>
  <conditionalFormatting sqref="X16">
    <cfRule type="cellIs" dxfId="7030" priority="1510" operator="equal">
      <formula>"x"</formula>
    </cfRule>
  </conditionalFormatting>
  <conditionalFormatting sqref="X16">
    <cfRule type="cellIs" dxfId="7029" priority="1509" operator="notEqual">
      <formula>"x"</formula>
    </cfRule>
  </conditionalFormatting>
  <conditionalFormatting sqref="V22">
    <cfRule type="cellIs" dxfId="7028" priority="1508" operator="equal">
      <formula>"x"</formula>
    </cfRule>
  </conditionalFormatting>
  <conditionalFormatting sqref="T22">
    <cfRule type="cellIs" dxfId="7027" priority="1507" operator="equal">
      <formula>"x"</formula>
    </cfRule>
  </conditionalFormatting>
  <conditionalFormatting sqref="T22">
    <cfRule type="cellIs" dxfId="7026" priority="1506" operator="notEqual">
      <formula>"x"</formula>
    </cfRule>
  </conditionalFormatting>
  <conditionalFormatting sqref="V22">
    <cfRule type="cellIs" dxfId="7025" priority="1505" operator="notEqual">
      <formula>"x"</formula>
    </cfRule>
  </conditionalFormatting>
  <conditionalFormatting sqref="X22">
    <cfRule type="cellIs" dxfId="7024" priority="1504" operator="equal">
      <formula>"x"</formula>
    </cfRule>
  </conditionalFormatting>
  <conditionalFormatting sqref="AF22">
    <cfRule type="cellIs" dxfId="7023" priority="1450" operator="notEqual">
      <formula>"x"</formula>
    </cfRule>
  </conditionalFormatting>
  <conditionalFormatting sqref="V37">
    <cfRule type="cellIs" dxfId="7022" priority="1502" operator="equal">
      <formula>"x"</formula>
    </cfRule>
  </conditionalFormatting>
  <conditionalFormatting sqref="T37">
    <cfRule type="cellIs" dxfId="7021" priority="1501" operator="equal">
      <formula>"x"</formula>
    </cfRule>
  </conditionalFormatting>
  <conditionalFormatting sqref="AB37">
    <cfRule type="cellIs" dxfId="7020" priority="1447" operator="notEqual">
      <formula>"x"</formula>
    </cfRule>
  </conditionalFormatting>
  <conditionalFormatting sqref="V37">
    <cfRule type="cellIs" dxfId="7019" priority="1499" operator="notEqual">
      <formula>"x"</formula>
    </cfRule>
  </conditionalFormatting>
  <conditionalFormatting sqref="X37">
    <cfRule type="cellIs" dxfId="7018" priority="1498" operator="equal">
      <formula>"x"</formula>
    </cfRule>
  </conditionalFormatting>
  <conditionalFormatting sqref="X37">
    <cfRule type="cellIs" dxfId="7017" priority="1497" operator="notEqual">
      <formula>"x"</formula>
    </cfRule>
  </conditionalFormatting>
  <conditionalFormatting sqref="T38">
    <cfRule type="cellIs" dxfId="7016" priority="1496" operator="equal">
      <formula>"x"</formula>
    </cfRule>
  </conditionalFormatting>
  <conditionalFormatting sqref="V39">
    <cfRule type="cellIs" dxfId="7015" priority="1495" operator="equal">
      <formula>"x"</formula>
    </cfRule>
  </conditionalFormatting>
  <conditionalFormatting sqref="T39">
    <cfRule type="cellIs" dxfId="7014" priority="1494" operator="equal">
      <formula>"x"</formula>
    </cfRule>
  </conditionalFormatting>
  <conditionalFormatting sqref="X39">
    <cfRule type="cellIs" dxfId="7013" priority="1493" operator="equal">
      <formula>"x"</formula>
    </cfRule>
  </conditionalFormatting>
  <conditionalFormatting sqref="AD32:AD36 AD25:AD30 AD18:AD19 AD12:AD15 AD23 AD6:AD7">
    <cfRule type="cellIs" dxfId="7012" priority="1492" operator="equal">
      <formula>"x"</formula>
    </cfRule>
  </conditionalFormatting>
  <conditionalFormatting sqref="AB6:AB7 AB12:AB15 AB18:AB19 AB25:AB30 AB32:AB36 AB23">
    <cfRule type="cellIs" dxfId="7011" priority="1491" operator="equal">
      <formula>"x"</formula>
    </cfRule>
  </conditionalFormatting>
  <conditionalFormatting sqref="AB15 AB23 AB29:AB30 AB36">
    <cfRule type="cellIs" dxfId="7010" priority="1490" operator="notEqual">
      <formula>"x"</formula>
    </cfRule>
  </conditionalFormatting>
  <conditionalFormatting sqref="AD15 AD23 AD29:AD30 AD36">
    <cfRule type="cellIs" dxfId="7009" priority="1489" operator="notEqual">
      <formula>"x"</formula>
    </cfRule>
  </conditionalFormatting>
  <conditionalFormatting sqref="AF6:AF7 AF32:AF36 AF25:AF30 AF18:AF19 AF12:AF15 AF23">
    <cfRule type="cellIs" dxfId="7008" priority="1488" operator="equal">
      <formula>"x"</formula>
    </cfRule>
  </conditionalFormatting>
  <conditionalFormatting sqref="AF15 AF23 AF29:AF30 AF36">
    <cfRule type="cellIs" dxfId="7007" priority="1487" operator="notEqual">
      <formula>"x"</formula>
    </cfRule>
  </conditionalFormatting>
  <conditionalFormatting sqref="AD11">
    <cfRule type="cellIs" dxfId="7006" priority="1486" operator="equal">
      <formula>"x"</formula>
    </cfRule>
  </conditionalFormatting>
  <conditionalFormatting sqref="AB11">
    <cfRule type="cellIs" dxfId="7005" priority="1485" operator="equal">
      <formula>"x"</formula>
    </cfRule>
  </conditionalFormatting>
  <conditionalFormatting sqref="AF11">
    <cfRule type="cellIs" dxfId="7004" priority="1484" operator="equal">
      <formula>"x"</formula>
    </cfRule>
  </conditionalFormatting>
  <conditionalFormatting sqref="AD10">
    <cfRule type="cellIs" dxfId="7003" priority="1483" operator="equal">
      <formula>"x"</formula>
    </cfRule>
  </conditionalFormatting>
  <conditionalFormatting sqref="AB10">
    <cfRule type="cellIs" dxfId="7002" priority="1482" operator="equal">
      <formula>"x"</formula>
    </cfRule>
  </conditionalFormatting>
  <conditionalFormatting sqref="AF10">
    <cfRule type="cellIs" dxfId="7001" priority="1481" operator="equal">
      <formula>"x"</formula>
    </cfRule>
  </conditionalFormatting>
  <conditionalFormatting sqref="AF37">
    <cfRule type="cellIs" dxfId="7000" priority="1444" operator="notEqual">
      <formula>"x"</formula>
    </cfRule>
  </conditionalFormatting>
  <conditionalFormatting sqref="AD17">
    <cfRule type="cellIs" dxfId="6999" priority="1480" operator="equal">
      <formula>"x"</formula>
    </cfRule>
  </conditionalFormatting>
  <conditionalFormatting sqref="AB17">
    <cfRule type="cellIs" dxfId="6998" priority="1479" operator="equal">
      <formula>"x"</formula>
    </cfRule>
  </conditionalFormatting>
  <conditionalFormatting sqref="AF17">
    <cfRule type="cellIs" dxfId="6997" priority="1478" operator="equal">
      <formula>"x"</formula>
    </cfRule>
  </conditionalFormatting>
  <conditionalFormatting sqref="AC24">
    <cfRule type="cellIs" dxfId="6996" priority="1477" operator="equal">
      <formula>"x"</formula>
    </cfRule>
  </conditionalFormatting>
  <conditionalFormatting sqref="AB24">
    <cfRule type="cellIs" dxfId="6995" priority="1476" operator="equal">
      <formula>"x"</formula>
    </cfRule>
  </conditionalFormatting>
  <conditionalFormatting sqref="AC31">
    <cfRule type="cellIs" dxfId="6994" priority="1475" operator="equal">
      <formula>"x"</formula>
    </cfRule>
  </conditionalFormatting>
  <conditionalFormatting sqref="AB31">
    <cfRule type="cellIs" dxfId="6993" priority="1474" operator="equal">
      <formula>"x"</formula>
    </cfRule>
  </conditionalFormatting>
  <conditionalFormatting sqref="AD9">
    <cfRule type="cellIs" dxfId="6992" priority="1473" operator="equal">
      <formula>"x"</formula>
    </cfRule>
  </conditionalFormatting>
  <conditionalFormatting sqref="AB9">
    <cfRule type="cellIs" dxfId="6991" priority="1472" operator="equal">
      <formula>"x"</formula>
    </cfRule>
  </conditionalFormatting>
  <conditionalFormatting sqref="AB9">
    <cfRule type="cellIs" dxfId="6990" priority="1471" operator="notEqual">
      <formula>"x"</formula>
    </cfRule>
  </conditionalFormatting>
  <conditionalFormatting sqref="AD9">
    <cfRule type="cellIs" dxfId="6989" priority="1470" operator="notEqual">
      <formula>"x"</formula>
    </cfRule>
  </conditionalFormatting>
  <conditionalFormatting sqref="AF9">
    <cfRule type="cellIs" dxfId="6988" priority="1469" operator="equal">
      <formula>"x"</formula>
    </cfRule>
  </conditionalFormatting>
  <conditionalFormatting sqref="AF9">
    <cfRule type="cellIs" dxfId="6987" priority="1468" operator="notEqual">
      <formula>"x"</formula>
    </cfRule>
  </conditionalFormatting>
  <conditionalFormatting sqref="AD8">
    <cfRule type="cellIs" dxfId="6986" priority="1467" operator="equal">
      <formula>"x"</formula>
    </cfRule>
  </conditionalFormatting>
  <conditionalFormatting sqref="AB8">
    <cfRule type="cellIs" dxfId="6985" priority="1466" operator="equal">
      <formula>"x"</formula>
    </cfRule>
  </conditionalFormatting>
  <conditionalFormatting sqref="AB8">
    <cfRule type="cellIs" dxfId="6984" priority="1465" operator="notEqual">
      <formula>"x"</formula>
    </cfRule>
  </conditionalFormatting>
  <conditionalFormatting sqref="AD8">
    <cfRule type="cellIs" dxfId="6983" priority="1464" operator="notEqual">
      <formula>"x"</formula>
    </cfRule>
  </conditionalFormatting>
  <conditionalFormatting sqref="AF8">
    <cfRule type="cellIs" dxfId="6982" priority="1463" operator="equal">
      <formula>"x"</formula>
    </cfRule>
  </conditionalFormatting>
  <conditionalFormatting sqref="AF8">
    <cfRule type="cellIs" dxfId="6981" priority="1462" operator="notEqual">
      <formula>"x"</formula>
    </cfRule>
  </conditionalFormatting>
  <conditionalFormatting sqref="AD16">
    <cfRule type="cellIs" dxfId="6980" priority="1461" operator="equal">
      <formula>"x"</formula>
    </cfRule>
  </conditionalFormatting>
  <conditionalFormatting sqref="AB16">
    <cfRule type="cellIs" dxfId="6979" priority="1460" operator="equal">
      <formula>"x"</formula>
    </cfRule>
  </conditionalFormatting>
  <conditionalFormatting sqref="AB16">
    <cfRule type="cellIs" dxfId="6978" priority="1459" operator="notEqual">
      <formula>"x"</formula>
    </cfRule>
  </conditionalFormatting>
  <conditionalFormatting sqref="AD16">
    <cfRule type="cellIs" dxfId="6977" priority="1458" operator="notEqual">
      <formula>"x"</formula>
    </cfRule>
  </conditionalFormatting>
  <conditionalFormatting sqref="AF16">
    <cfRule type="cellIs" dxfId="6976" priority="1457" operator="equal">
      <formula>"x"</formula>
    </cfRule>
  </conditionalFormatting>
  <conditionalFormatting sqref="AF16">
    <cfRule type="cellIs" dxfId="6975" priority="1456" operator="notEqual">
      <formula>"x"</formula>
    </cfRule>
  </conditionalFormatting>
  <conditionalFormatting sqref="AD22">
    <cfRule type="cellIs" dxfId="6974" priority="1455" operator="equal">
      <formula>"x"</formula>
    </cfRule>
  </conditionalFormatting>
  <conditionalFormatting sqref="AB22">
    <cfRule type="cellIs" dxfId="6973" priority="1454" operator="equal">
      <formula>"x"</formula>
    </cfRule>
  </conditionalFormatting>
  <conditionalFormatting sqref="AB22">
    <cfRule type="cellIs" dxfId="6972" priority="1453" operator="notEqual">
      <formula>"x"</formula>
    </cfRule>
  </conditionalFormatting>
  <conditionalFormatting sqref="AD22">
    <cfRule type="cellIs" dxfId="6971" priority="1452" operator="notEqual">
      <formula>"x"</formula>
    </cfRule>
  </conditionalFormatting>
  <conditionalFormatting sqref="AF22">
    <cfRule type="cellIs" dxfId="6970" priority="1451" operator="equal">
      <formula>"x"</formula>
    </cfRule>
  </conditionalFormatting>
  <conditionalFormatting sqref="AD37">
    <cfRule type="cellIs" dxfId="6969" priority="1449" operator="equal">
      <formula>"x"</formula>
    </cfRule>
  </conditionalFormatting>
  <conditionalFormatting sqref="AB37">
    <cfRule type="cellIs" dxfId="6968" priority="1448" operator="equal">
      <formula>"x"</formula>
    </cfRule>
  </conditionalFormatting>
  <conditionalFormatting sqref="AD37">
    <cfRule type="cellIs" dxfId="6967" priority="1446" operator="notEqual">
      <formula>"x"</formula>
    </cfRule>
  </conditionalFormatting>
  <conditionalFormatting sqref="AF37">
    <cfRule type="cellIs" dxfId="6966" priority="1445" operator="equal">
      <formula>"x"</formula>
    </cfRule>
  </conditionalFormatting>
  <conditionalFormatting sqref="AD38">
    <cfRule type="cellIs" dxfId="6965" priority="1443" operator="equal">
      <formula>"x"</formula>
    </cfRule>
  </conditionalFormatting>
  <conditionalFormatting sqref="AB38">
    <cfRule type="cellIs" dxfId="6964" priority="1442" operator="equal">
      <formula>"x"</formula>
    </cfRule>
  </conditionalFormatting>
  <conditionalFormatting sqref="AF38">
    <cfRule type="cellIs" dxfId="6963" priority="1441" operator="equal">
      <formula>"x"</formula>
    </cfRule>
  </conditionalFormatting>
  <conditionalFormatting sqref="AD39">
    <cfRule type="cellIs" dxfId="6962" priority="1440" operator="equal">
      <formula>"x"</formula>
    </cfRule>
  </conditionalFormatting>
  <conditionalFormatting sqref="AB39">
    <cfRule type="cellIs" dxfId="6961" priority="1439" operator="equal">
      <formula>"x"</formula>
    </cfRule>
  </conditionalFormatting>
  <conditionalFormatting sqref="AF39">
    <cfRule type="cellIs" dxfId="6960" priority="1438" operator="equal">
      <formula>"x"</formula>
    </cfRule>
  </conditionalFormatting>
  <conditionalFormatting sqref="AD20">
    <cfRule type="cellIs" dxfId="6959" priority="1437" operator="equal">
      <formula>"x"</formula>
    </cfRule>
  </conditionalFormatting>
  <conditionalFormatting sqref="AB20">
    <cfRule type="cellIs" dxfId="6958" priority="1436" operator="equal">
      <formula>"x"</formula>
    </cfRule>
  </conditionalFormatting>
  <conditionalFormatting sqref="AF20">
    <cfRule type="cellIs" dxfId="6957" priority="1435" operator="equal">
      <formula>"x"</formula>
    </cfRule>
  </conditionalFormatting>
  <conditionalFormatting sqref="AD21">
    <cfRule type="cellIs" dxfId="6956" priority="1434" operator="equal">
      <formula>"x"</formula>
    </cfRule>
  </conditionalFormatting>
  <conditionalFormatting sqref="AB21">
    <cfRule type="cellIs" dxfId="6955" priority="1433" operator="equal">
      <formula>"x"</formula>
    </cfRule>
  </conditionalFormatting>
  <conditionalFormatting sqref="AF21">
    <cfRule type="cellIs" dxfId="6954" priority="1432" operator="equal">
      <formula>"x"</formula>
    </cfRule>
  </conditionalFormatting>
  <conditionalFormatting sqref="AN22">
    <cfRule type="cellIs" dxfId="6953" priority="1395" operator="notEqual">
      <formula>"x"</formula>
    </cfRule>
  </conditionalFormatting>
  <conditionalFormatting sqref="AJ37">
    <cfRule type="cellIs" dxfId="6952" priority="1392" operator="notEqual">
      <formula>"x"</formula>
    </cfRule>
  </conditionalFormatting>
  <conditionalFormatting sqref="AL32:AL36 AL25:AL30 AL18:AL19 AL12:AL15 AL23">
    <cfRule type="cellIs" dxfId="6951" priority="1431" operator="equal">
      <formula>"x"</formula>
    </cfRule>
  </conditionalFormatting>
  <conditionalFormatting sqref="AJ12:AJ15 AJ18:AJ19 AJ25:AJ30 AJ32:AJ36 AJ23">
    <cfRule type="cellIs" dxfId="6950" priority="1430" operator="equal">
      <formula>"x"</formula>
    </cfRule>
  </conditionalFormatting>
  <conditionalFormatting sqref="AJ15 AJ23 AJ29:AJ30 AJ36">
    <cfRule type="cellIs" dxfId="6949" priority="1429" operator="notEqual">
      <formula>"x"</formula>
    </cfRule>
  </conditionalFormatting>
  <conditionalFormatting sqref="AL15 AL23 AL29:AL30 AL36">
    <cfRule type="cellIs" dxfId="6948" priority="1428" operator="notEqual">
      <formula>"x"</formula>
    </cfRule>
  </conditionalFormatting>
  <conditionalFormatting sqref="AN32:AN36 AN25:AN30 AN18:AN19 AN12:AN15 AN23">
    <cfRule type="cellIs" dxfId="6947" priority="1427" operator="equal">
      <formula>"x"</formula>
    </cfRule>
  </conditionalFormatting>
  <conditionalFormatting sqref="AN15 AN23 AN29:AN30 AN36">
    <cfRule type="cellIs" dxfId="6946" priority="1426" operator="notEqual">
      <formula>"x"</formula>
    </cfRule>
  </conditionalFormatting>
  <conditionalFormatting sqref="AL11">
    <cfRule type="cellIs" dxfId="6945" priority="1425" operator="equal">
      <formula>"x"</formula>
    </cfRule>
  </conditionalFormatting>
  <conditionalFormatting sqref="AJ11">
    <cfRule type="cellIs" dxfId="6944" priority="1424" operator="equal">
      <formula>"x"</formula>
    </cfRule>
  </conditionalFormatting>
  <conditionalFormatting sqref="AN11">
    <cfRule type="cellIs" dxfId="6943" priority="1423" operator="equal">
      <formula>"x"</formula>
    </cfRule>
  </conditionalFormatting>
  <conditionalFormatting sqref="AJ10">
    <cfRule type="cellIs" dxfId="6942" priority="1422" operator="equal">
      <formula>"x"</formula>
    </cfRule>
  </conditionalFormatting>
  <conditionalFormatting sqref="AN37">
    <cfRule type="cellIs" dxfId="6941" priority="1389" operator="notEqual">
      <formula>"x"</formula>
    </cfRule>
  </conditionalFormatting>
  <conditionalFormatting sqref="AJ17">
    <cfRule type="cellIs" dxfId="6940" priority="1421" operator="equal">
      <formula>"x"</formula>
    </cfRule>
  </conditionalFormatting>
  <conditionalFormatting sqref="AJ24">
    <cfRule type="cellIs" dxfId="6939" priority="1420" operator="equal">
      <formula>"x"</formula>
    </cfRule>
  </conditionalFormatting>
  <conditionalFormatting sqref="AJ31">
    <cfRule type="cellIs" dxfId="6938" priority="1419" operator="equal">
      <formula>"x"</formula>
    </cfRule>
  </conditionalFormatting>
  <conditionalFormatting sqref="AL9">
    <cfRule type="cellIs" dxfId="6937" priority="1418" operator="equal">
      <formula>"x"</formula>
    </cfRule>
  </conditionalFormatting>
  <conditionalFormatting sqref="AJ9">
    <cfRule type="cellIs" dxfId="6936" priority="1417" operator="equal">
      <formula>"x"</formula>
    </cfRule>
  </conditionalFormatting>
  <conditionalFormatting sqref="AJ9">
    <cfRule type="cellIs" dxfId="6935" priority="1416" operator="notEqual">
      <formula>"x"</formula>
    </cfRule>
  </conditionalFormatting>
  <conditionalFormatting sqref="AL9">
    <cfRule type="cellIs" dxfId="6934" priority="1415" operator="notEqual">
      <formula>"x"</formula>
    </cfRule>
  </conditionalFormatting>
  <conditionalFormatting sqref="AN9">
    <cfRule type="cellIs" dxfId="6933" priority="1414" operator="equal">
      <formula>"x"</formula>
    </cfRule>
  </conditionalFormatting>
  <conditionalFormatting sqref="AN9">
    <cfRule type="cellIs" dxfId="6932" priority="1413" operator="notEqual">
      <formula>"x"</formula>
    </cfRule>
  </conditionalFormatting>
  <conditionalFormatting sqref="AL8">
    <cfRule type="cellIs" dxfId="6931" priority="1412" operator="equal">
      <formula>"x"</formula>
    </cfRule>
  </conditionalFormatting>
  <conditionalFormatting sqref="AJ8">
    <cfRule type="cellIs" dxfId="6930" priority="1411" operator="equal">
      <formula>"x"</formula>
    </cfRule>
  </conditionalFormatting>
  <conditionalFormatting sqref="AJ8">
    <cfRule type="cellIs" dxfId="6929" priority="1410" operator="notEqual">
      <formula>"x"</formula>
    </cfRule>
  </conditionalFormatting>
  <conditionalFormatting sqref="AL8">
    <cfRule type="cellIs" dxfId="6928" priority="1409" operator="notEqual">
      <formula>"x"</formula>
    </cfRule>
  </conditionalFormatting>
  <conditionalFormatting sqref="AN8">
    <cfRule type="cellIs" dxfId="6927" priority="1408" operator="equal">
      <formula>"x"</formula>
    </cfRule>
  </conditionalFormatting>
  <conditionalFormatting sqref="AN8">
    <cfRule type="cellIs" dxfId="6926" priority="1407" operator="notEqual">
      <formula>"x"</formula>
    </cfRule>
  </conditionalFormatting>
  <conditionalFormatting sqref="AL16">
    <cfRule type="cellIs" dxfId="6925" priority="1406" operator="equal">
      <formula>"x"</formula>
    </cfRule>
  </conditionalFormatting>
  <conditionalFormatting sqref="AJ16">
    <cfRule type="cellIs" dxfId="6924" priority="1405" operator="equal">
      <formula>"x"</formula>
    </cfRule>
  </conditionalFormatting>
  <conditionalFormatting sqref="AJ16">
    <cfRule type="cellIs" dxfId="6923" priority="1404" operator="notEqual">
      <formula>"x"</formula>
    </cfRule>
  </conditionalFormatting>
  <conditionalFormatting sqref="AL16">
    <cfRule type="cellIs" dxfId="6922" priority="1403" operator="notEqual">
      <formula>"x"</formula>
    </cfRule>
  </conditionalFormatting>
  <conditionalFormatting sqref="AN16">
    <cfRule type="cellIs" dxfId="6921" priority="1402" operator="equal">
      <formula>"x"</formula>
    </cfRule>
  </conditionalFormatting>
  <conditionalFormatting sqref="AN16">
    <cfRule type="cellIs" dxfId="6920" priority="1401" operator="notEqual">
      <formula>"x"</formula>
    </cfRule>
  </conditionalFormatting>
  <conditionalFormatting sqref="AL22">
    <cfRule type="cellIs" dxfId="6919" priority="1400" operator="equal">
      <formula>"x"</formula>
    </cfRule>
  </conditionalFormatting>
  <conditionalFormatting sqref="AJ22">
    <cfRule type="cellIs" dxfId="6918" priority="1399" operator="equal">
      <formula>"x"</formula>
    </cfRule>
  </conditionalFormatting>
  <conditionalFormatting sqref="AJ22">
    <cfRule type="cellIs" dxfId="6917" priority="1398" operator="notEqual">
      <formula>"x"</formula>
    </cfRule>
  </conditionalFormatting>
  <conditionalFormatting sqref="AL22">
    <cfRule type="cellIs" dxfId="6916" priority="1397" operator="notEqual">
      <formula>"x"</formula>
    </cfRule>
  </conditionalFormatting>
  <conditionalFormatting sqref="AN22">
    <cfRule type="cellIs" dxfId="6915" priority="1396" operator="equal">
      <formula>"x"</formula>
    </cfRule>
  </conditionalFormatting>
  <conditionalFormatting sqref="AL37">
    <cfRule type="cellIs" dxfId="6914" priority="1394" operator="equal">
      <formula>"x"</formula>
    </cfRule>
  </conditionalFormatting>
  <conditionalFormatting sqref="AJ37">
    <cfRule type="cellIs" dxfId="6913" priority="1393" operator="equal">
      <formula>"x"</formula>
    </cfRule>
  </conditionalFormatting>
  <conditionalFormatting sqref="AL37">
    <cfRule type="cellIs" dxfId="6912" priority="1391" operator="notEqual">
      <formula>"x"</formula>
    </cfRule>
  </conditionalFormatting>
  <conditionalFormatting sqref="AN37">
    <cfRule type="cellIs" dxfId="6911" priority="1390" operator="equal">
      <formula>"x"</formula>
    </cfRule>
  </conditionalFormatting>
  <conditionalFormatting sqref="AL38">
    <cfRule type="cellIs" dxfId="6910" priority="1388" operator="equal">
      <formula>"x"</formula>
    </cfRule>
  </conditionalFormatting>
  <conditionalFormatting sqref="AJ38">
    <cfRule type="cellIs" dxfId="6909" priority="1387" operator="equal">
      <formula>"x"</formula>
    </cfRule>
  </conditionalFormatting>
  <conditionalFormatting sqref="AN38">
    <cfRule type="cellIs" dxfId="6908" priority="1386" operator="equal">
      <formula>"x"</formula>
    </cfRule>
  </conditionalFormatting>
  <conditionalFormatting sqref="AL39">
    <cfRule type="cellIs" dxfId="6907" priority="1385" operator="equal">
      <formula>"x"</formula>
    </cfRule>
  </conditionalFormatting>
  <conditionalFormatting sqref="AJ39">
    <cfRule type="cellIs" dxfId="6906" priority="1384" operator="equal">
      <formula>"x"</formula>
    </cfRule>
  </conditionalFormatting>
  <conditionalFormatting sqref="AN39">
    <cfRule type="cellIs" dxfId="6905" priority="1383" operator="equal">
      <formula>"x"</formula>
    </cfRule>
  </conditionalFormatting>
  <conditionalFormatting sqref="AL20">
    <cfRule type="cellIs" dxfId="6904" priority="1382" operator="equal">
      <formula>"x"</formula>
    </cfRule>
  </conditionalFormatting>
  <conditionalFormatting sqref="AJ20">
    <cfRule type="cellIs" dxfId="6903" priority="1381" operator="equal">
      <formula>"x"</formula>
    </cfRule>
  </conditionalFormatting>
  <conditionalFormatting sqref="AN20">
    <cfRule type="cellIs" dxfId="6902" priority="1380" operator="equal">
      <formula>"x"</formula>
    </cfRule>
  </conditionalFormatting>
  <conditionalFormatting sqref="AL21">
    <cfRule type="cellIs" dxfId="6901" priority="1379" operator="equal">
      <formula>"x"</formula>
    </cfRule>
  </conditionalFormatting>
  <conditionalFormatting sqref="AJ21">
    <cfRule type="cellIs" dxfId="6900" priority="1378" operator="equal">
      <formula>"x"</formula>
    </cfRule>
  </conditionalFormatting>
  <conditionalFormatting sqref="AN21">
    <cfRule type="cellIs" dxfId="6899" priority="1377" operator="equal">
      <formula>"x"</formula>
    </cfRule>
  </conditionalFormatting>
  <conditionalFormatting sqref="AL6:AL7">
    <cfRule type="cellIs" dxfId="6898" priority="1376" operator="equal">
      <formula>"x"</formula>
    </cfRule>
  </conditionalFormatting>
  <conditionalFormatting sqref="AJ6:AJ7">
    <cfRule type="cellIs" dxfId="6897" priority="1375" operator="equal">
      <formula>"x"</formula>
    </cfRule>
  </conditionalFormatting>
  <conditionalFormatting sqref="AN6:AN7">
    <cfRule type="cellIs" dxfId="6896" priority="1374" operator="equal">
      <formula>"x"</formula>
    </cfRule>
  </conditionalFormatting>
  <conditionalFormatting sqref="AV22">
    <cfRule type="cellIs" dxfId="6895" priority="1337" operator="notEqual">
      <formula>"x"</formula>
    </cfRule>
  </conditionalFormatting>
  <conditionalFormatting sqref="AR37">
    <cfRule type="cellIs" dxfId="6894" priority="1334" operator="notEqual">
      <formula>"x"</formula>
    </cfRule>
  </conditionalFormatting>
  <conditionalFormatting sqref="AT32:AT36 AT25:AT30 AT18:AT19 AT12:AT15 AT23">
    <cfRule type="cellIs" dxfId="6893" priority="1373" operator="equal">
      <formula>"x"</formula>
    </cfRule>
  </conditionalFormatting>
  <conditionalFormatting sqref="AR12:AR15 AR18:AR19 AR25:AR30 AR32:AR36 AR23">
    <cfRule type="cellIs" dxfId="6892" priority="1372" operator="equal">
      <formula>"x"</formula>
    </cfRule>
  </conditionalFormatting>
  <conditionalFormatting sqref="AR15 AR23 AR29:AR30 AR36">
    <cfRule type="cellIs" dxfId="6891" priority="1371" operator="notEqual">
      <formula>"x"</formula>
    </cfRule>
  </conditionalFormatting>
  <conditionalFormatting sqref="AT15 AT23 AT29:AT30 AT36">
    <cfRule type="cellIs" dxfId="6890" priority="1370" operator="notEqual">
      <formula>"x"</formula>
    </cfRule>
  </conditionalFormatting>
  <conditionalFormatting sqref="AV32:AV36 AV25:AV30 AV18:AV19 AV12:AV15 AV23">
    <cfRule type="cellIs" dxfId="6889" priority="1369" operator="equal">
      <formula>"x"</formula>
    </cfRule>
  </conditionalFormatting>
  <conditionalFormatting sqref="AV15 AV23 AV29:AV30 AV36">
    <cfRule type="cellIs" dxfId="6888" priority="1368" operator="notEqual">
      <formula>"x"</formula>
    </cfRule>
  </conditionalFormatting>
  <conditionalFormatting sqref="AT11">
    <cfRule type="cellIs" dxfId="6887" priority="1367" operator="equal">
      <formula>"x"</formula>
    </cfRule>
  </conditionalFormatting>
  <conditionalFormatting sqref="AR11">
    <cfRule type="cellIs" dxfId="6886" priority="1366" operator="equal">
      <formula>"x"</formula>
    </cfRule>
  </conditionalFormatting>
  <conditionalFormatting sqref="AV11">
    <cfRule type="cellIs" dxfId="6885" priority="1365" operator="equal">
      <formula>"x"</formula>
    </cfRule>
  </conditionalFormatting>
  <conditionalFormatting sqref="AR10">
    <cfRule type="cellIs" dxfId="6884" priority="1364" operator="equal">
      <formula>"x"</formula>
    </cfRule>
  </conditionalFormatting>
  <conditionalFormatting sqref="AV37">
    <cfRule type="cellIs" dxfId="6883" priority="1331" operator="notEqual">
      <formula>"x"</formula>
    </cfRule>
  </conditionalFormatting>
  <conditionalFormatting sqref="AR17">
    <cfRule type="cellIs" dxfId="6882" priority="1363" operator="equal">
      <formula>"x"</formula>
    </cfRule>
  </conditionalFormatting>
  <conditionalFormatting sqref="AR24">
    <cfRule type="cellIs" dxfId="6881" priority="1362" operator="equal">
      <formula>"x"</formula>
    </cfRule>
  </conditionalFormatting>
  <conditionalFormatting sqref="AR31">
    <cfRule type="cellIs" dxfId="6880" priority="1361" operator="equal">
      <formula>"x"</formula>
    </cfRule>
  </conditionalFormatting>
  <conditionalFormatting sqref="AT9">
    <cfRule type="cellIs" dxfId="6879" priority="1360" operator="equal">
      <formula>"x"</formula>
    </cfRule>
  </conditionalFormatting>
  <conditionalFormatting sqref="AR9">
    <cfRule type="cellIs" dxfId="6878" priority="1359" operator="equal">
      <formula>"x"</formula>
    </cfRule>
  </conditionalFormatting>
  <conditionalFormatting sqref="AR9">
    <cfRule type="cellIs" dxfId="6877" priority="1358" operator="notEqual">
      <formula>"x"</formula>
    </cfRule>
  </conditionalFormatting>
  <conditionalFormatting sqref="AT9">
    <cfRule type="cellIs" dxfId="6876" priority="1357" operator="notEqual">
      <formula>"x"</formula>
    </cfRule>
  </conditionalFormatting>
  <conditionalFormatting sqref="AV9">
    <cfRule type="cellIs" dxfId="6875" priority="1356" operator="equal">
      <formula>"x"</formula>
    </cfRule>
  </conditionalFormatting>
  <conditionalFormatting sqref="AV9">
    <cfRule type="cellIs" dxfId="6874" priority="1355" operator="notEqual">
      <formula>"x"</formula>
    </cfRule>
  </conditionalFormatting>
  <conditionalFormatting sqref="AT8">
    <cfRule type="cellIs" dxfId="6873" priority="1354" operator="equal">
      <formula>"x"</formula>
    </cfRule>
  </conditionalFormatting>
  <conditionalFormatting sqref="AR8">
    <cfRule type="cellIs" dxfId="6872" priority="1353" operator="equal">
      <formula>"x"</formula>
    </cfRule>
  </conditionalFormatting>
  <conditionalFormatting sqref="AR8">
    <cfRule type="cellIs" dxfId="6871" priority="1352" operator="notEqual">
      <formula>"x"</formula>
    </cfRule>
  </conditionalFormatting>
  <conditionalFormatting sqref="AT8">
    <cfRule type="cellIs" dxfId="6870" priority="1351" operator="notEqual">
      <formula>"x"</formula>
    </cfRule>
  </conditionalFormatting>
  <conditionalFormatting sqref="AV8">
    <cfRule type="cellIs" dxfId="6869" priority="1350" operator="equal">
      <formula>"x"</formula>
    </cfRule>
  </conditionalFormatting>
  <conditionalFormatting sqref="AV8">
    <cfRule type="cellIs" dxfId="6868" priority="1349" operator="notEqual">
      <formula>"x"</formula>
    </cfRule>
  </conditionalFormatting>
  <conditionalFormatting sqref="AT16">
    <cfRule type="cellIs" dxfId="6867" priority="1348" operator="equal">
      <formula>"x"</formula>
    </cfRule>
  </conditionalFormatting>
  <conditionalFormatting sqref="AR16">
    <cfRule type="cellIs" dxfId="6866" priority="1347" operator="equal">
      <formula>"x"</formula>
    </cfRule>
  </conditionalFormatting>
  <conditionalFormatting sqref="AR16">
    <cfRule type="cellIs" dxfId="6865" priority="1346" operator="notEqual">
      <formula>"x"</formula>
    </cfRule>
  </conditionalFormatting>
  <conditionalFormatting sqref="AT16">
    <cfRule type="cellIs" dxfId="6864" priority="1345" operator="notEqual">
      <formula>"x"</formula>
    </cfRule>
  </conditionalFormatting>
  <conditionalFormatting sqref="AV16">
    <cfRule type="cellIs" dxfId="6863" priority="1344" operator="equal">
      <formula>"x"</formula>
    </cfRule>
  </conditionalFormatting>
  <conditionalFormatting sqref="AV16">
    <cfRule type="cellIs" dxfId="6862" priority="1343" operator="notEqual">
      <formula>"x"</formula>
    </cfRule>
  </conditionalFormatting>
  <conditionalFormatting sqref="AT22">
    <cfRule type="cellIs" dxfId="6861" priority="1342" operator="equal">
      <formula>"x"</formula>
    </cfRule>
  </conditionalFormatting>
  <conditionalFormatting sqref="AR22">
    <cfRule type="cellIs" dxfId="6860" priority="1341" operator="equal">
      <formula>"x"</formula>
    </cfRule>
  </conditionalFormatting>
  <conditionalFormatting sqref="AR22">
    <cfRule type="cellIs" dxfId="6859" priority="1340" operator="notEqual">
      <formula>"x"</formula>
    </cfRule>
  </conditionalFormatting>
  <conditionalFormatting sqref="AT22">
    <cfRule type="cellIs" dxfId="6858" priority="1339" operator="notEqual">
      <formula>"x"</formula>
    </cfRule>
  </conditionalFormatting>
  <conditionalFormatting sqref="AV22">
    <cfRule type="cellIs" dxfId="6857" priority="1338" operator="equal">
      <formula>"x"</formula>
    </cfRule>
  </conditionalFormatting>
  <conditionalFormatting sqref="AT37">
    <cfRule type="cellIs" dxfId="6856" priority="1336" operator="equal">
      <formula>"x"</formula>
    </cfRule>
  </conditionalFormatting>
  <conditionalFormatting sqref="AR37">
    <cfRule type="cellIs" dxfId="6855" priority="1335" operator="equal">
      <formula>"x"</formula>
    </cfRule>
  </conditionalFormatting>
  <conditionalFormatting sqref="AT37">
    <cfRule type="cellIs" dxfId="6854" priority="1333" operator="notEqual">
      <formula>"x"</formula>
    </cfRule>
  </conditionalFormatting>
  <conditionalFormatting sqref="AV37">
    <cfRule type="cellIs" dxfId="6853" priority="1332" operator="equal">
      <formula>"x"</formula>
    </cfRule>
  </conditionalFormatting>
  <conditionalFormatting sqref="AR38">
    <cfRule type="cellIs" dxfId="6852" priority="1330" operator="equal">
      <formula>"x"</formula>
    </cfRule>
  </conditionalFormatting>
  <conditionalFormatting sqref="AT39">
    <cfRule type="cellIs" dxfId="6851" priority="1329" operator="equal">
      <formula>"x"</formula>
    </cfRule>
  </conditionalFormatting>
  <conditionalFormatting sqref="AR39">
    <cfRule type="cellIs" dxfId="6850" priority="1328" operator="equal">
      <formula>"x"</formula>
    </cfRule>
  </conditionalFormatting>
  <conditionalFormatting sqref="AV39">
    <cfRule type="cellIs" dxfId="6849" priority="1327" operator="equal">
      <formula>"x"</formula>
    </cfRule>
  </conditionalFormatting>
  <conditionalFormatting sqref="AT20">
    <cfRule type="cellIs" dxfId="6848" priority="1326" operator="equal">
      <formula>"x"</formula>
    </cfRule>
  </conditionalFormatting>
  <conditionalFormatting sqref="AR20">
    <cfRule type="cellIs" dxfId="6847" priority="1325" operator="equal">
      <formula>"x"</formula>
    </cfRule>
  </conditionalFormatting>
  <conditionalFormatting sqref="AV20">
    <cfRule type="cellIs" dxfId="6846" priority="1324" operator="equal">
      <formula>"x"</formula>
    </cfRule>
  </conditionalFormatting>
  <conditionalFormatting sqref="AT21">
    <cfRule type="cellIs" dxfId="6845" priority="1323" operator="equal">
      <formula>"x"</formula>
    </cfRule>
  </conditionalFormatting>
  <conditionalFormatting sqref="AR21">
    <cfRule type="cellIs" dxfId="6844" priority="1322" operator="equal">
      <formula>"x"</formula>
    </cfRule>
  </conditionalFormatting>
  <conditionalFormatting sqref="AV21">
    <cfRule type="cellIs" dxfId="6843" priority="1321" operator="equal">
      <formula>"x"</formula>
    </cfRule>
  </conditionalFormatting>
  <conditionalFormatting sqref="AT6:AT7">
    <cfRule type="cellIs" dxfId="6842" priority="1320" operator="equal">
      <formula>"x"</formula>
    </cfRule>
  </conditionalFormatting>
  <conditionalFormatting sqref="AR6:AR7">
    <cfRule type="cellIs" dxfId="6841" priority="1319" operator="equal">
      <formula>"x"</formula>
    </cfRule>
  </conditionalFormatting>
  <conditionalFormatting sqref="AV6:AV7">
    <cfRule type="cellIs" dxfId="6840" priority="1318" operator="equal">
      <formula>"x"</formula>
    </cfRule>
  </conditionalFormatting>
  <conditionalFormatting sqref="BD22">
    <cfRule type="cellIs" dxfId="6839" priority="1273" operator="notEqual">
      <formula>"x"</formula>
    </cfRule>
  </conditionalFormatting>
  <conditionalFormatting sqref="AZ37">
    <cfRule type="cellIs" dxfId="6838" priority="1270" operator="notEqual">
      <formula>"x"</formula>
    </cfRule>
  </conditionalFormatting>
  <conditionalFormatting sqref="BB32:BB36 BB25:BB30 BB18:BB19 BB12:BB15 BB23">
    <cfRule type="cellIs" dxfId="6837" priority="1317" operator="equal">
      <formula>"x"</formula>
    </cfRule>
  </conditionalFormatting>
  <conditionalFormatting sqref="AZ12:AZ15 AZ18:AZ19 AZ25:AZ30 AZ32:AZ36 AZ23">
    <cfRule type="cellIs" dxfId="6836" priority="1316" operator="equal">
      <formula>"x"</formula>
    </cfRule>
  </conditionalFormatting>
  <conditionalFormatting sqref="AZ15 AZ23 AZ29:AZ30 AZ36">
    <cfRule type="cellIs" dxfId="6835" priority="1315" operator="notEqual">
      <formula>"x"</formula>
    </cfRule>
  </conditionalFormatting>
  <conditionalFormatting sqref="BB15 BB23 BB29:BB30 BB36">
    <cfRule type="cellIs" dxfId="6834" priority="1314" operator="notEqual">
      <formula>"x"</formula>
    </cfRule>
  </conditionalFormatting>
  <conditionalFormatting sqref="BD32:BD36 BD25:BD30 BD18:BD19 BD12:BD15 BD23">
    <cfRule type="cellIs" dxfId="6833" priority="1313" operator="equal">
      <formula>"x"</formula>
    </cfRule>
  </conditionalFormatting>
  <conditionalFormatting sqref="BD15 BD23 BD29:BD30 BD36">
    <cfRule type="cellIs" dxfId="6832" priority="1312" operator="notEqual">
      <formula>"x"</formula>
    </cfRule>
  </conditionalFormatting>
  <conditionalFormatting sqref="BB11">
    <cfRule type="cellIs" dxfId="6831" priority="1311" operator="equal">
      <formula>"x"</formula>
    </cfRule>
  </conditionalFormatting>
  <conditionalFormatting sqref="AZ11">
    <cfRule type="cellIs" dxfId="6830" priority="1310" operator="equal">
      <formula>"x"</formula>
    </cfRule>
  </conditionalFormatting>
  <conditionalFormatting sqref="BD11">
    <cfRule type="cellIs" dxfId="6829" priority="1309" operator="equal">
      <formula>"x"</formula>
    </cfRule>
  </conditionalFormatting>
  <conditionalFormatting sqref="BB10">
    <cfRule type="cellIs" dxfId="6828" priority="1308" operator="equal">
      <formula>"x"</formula>
    </cfRule>
  </conditionalFormatting>
  <conditionalFormatting sqref="AZ10">
    <cfRule type="cellIs" dxfId="6827" priority="1307" operator="equal">
      <formula>"x"</formula>
    </cfRule>
  </conditionalFormatting>
  <conditionalFormatting sqref="BD10">
    <cfRule type="cellIs" dxfId="6826" priority="1306" operator="equal">
      <formula>"x"</formula>
    </cfRule>
  </conditionalFormatting>
  <conditionalFormatting sqref="BD37">
    <cfRule type="cellIs" dxfId="6825" priority="1267" operator="notEqual">
      <formula>"x"</formula>
    </cfRule>
  </conditionalFormatting>
  <conditionalFormatting sqref="BB17">
    <cfRule type="cellIs" dxfId="6824" priority="1305" operator="equal">
      <formula>"x"</formula>
    </cfRule>
  </conditionalFormatting>
  <conditionalFormatting sqref="AZ17">
    <cfRule type="cellIs" dxfId="6823" priority="1304" operator="equal">
      <formula>"x"</formula>
    </cfRule>
  </conditionalFormatting>
  <conditionalFormatting sqref="BD17">
    <cfRule type="cellIs" dxfId="6822" priority="1303" operator="equal">
      <formula>"x"</formula>
    </cfRule>
  </conditionalFormatting>
  <conditionalFormatting sqref="BB24">
    <cfRule type="cellIs" dxfId="6821" priority="1302" operator="equal">
      <formula>"x"</formula>
    </cfRule>
  </conditionalFormatting>
  <conditionalFormatting sqref="AZ24">
    <cfRule type="cellIs" dxfId="6820" priority="1301" operator="equal">
      <formula>"x"</formula>
    </cfRule>
  </conditionalFormatting>
  <conditionalFormatting sqref="BD24">
    <cfRule type="cellIs" dxfId="6819" priority="1300" operator="equal">
      <formula>"x"</formula>
    </cfRule>
  </conditionalFormatting>
  <conditionalFormatting sqref="BB31">
    <cfRule type="cellIs" dxfId="6818" priority="1299" operator="equal">
      <formula>"x"</formula>
    </cfRule>
  </conditionalFormatting>
  <conditionalFormatting sqref="AZ31">
    <cfRule type="cellIs" dxfId="6817" priority="1298" operator="equal">
      <formula>"x"</formula>
    </cfRule>
  </conditionalFormatting>
  <conditionalFormatting sqref="BD31">
    <cfRule type="cellIs" dxfId="6816" priority="1297" operator="equal">
      <formula>"x"</formula>
    </cfRule>
  </conditionalFormatting>
  <conditionalFormatting sqref="BB9">
    <cfRule type="cellIs" dxfId="6815" priority="1296" operator="equal">
      <formula>"x"</formula>
    </cfRule>
  </conditionalFormatting>
  <conditionalFormatting sqref="AZ9">
    <cfRule type="cellIs" dxfId="6814" priority="1295" operator="equal">
      <formula>"x"</formula>
    </cfRule>
  </conditionalFormatting>
  <conditionalFormatting sqref="AZ9">
    <cfRule type="cellIs" dxfId="6813" priority="1294" operator="notEqual">
      <formula>"x"</formula>
    </cfRule>
  </conditionalFormatting>
  <conditionalFormatting sqref="BB9">
    <cfRule type="cellIs" dxfId="6812" priority="1293" operator="notEqual">
      <formula>"x"</formula>
    </cfRule>
  </conditionalFormatting>
  <conditionalFormatting sqref="BD9">
    <cfRule type="cellIs" dxfId="6811" priority="1292" operator="equal">
      <formula>"x"</formula>
    </cfRule>
  </conditionalFormatting>
  <conditionalFormatting sqref="BD9">
    <cfRule type="cellIs" dxfId="6810" priority="1291" operator="notEqual">
      <formula>"x"</formula>
    </cfRule>
  </conditionalFormatting>
  <conditionalFormatting sqref="BB8">
    <cfRule type="cellIs" dxfId="6809" priority="1290" operator="equal">
      <formula>"x"</formula>
    </cfRule>
  </conditionalFormatting>
  <conditionalFormatting sqref="AZ8">
    <cfRule type="cellIs" dxfId="6808" priority="1289" operator="equal">
      <formula>"x"</formula>
    </cfRule>
  </conditionalFormatting>
  <conditionalFormatting sqref="AZ8">
    <cfRule type="cellIs" dxfId="6807" priority="1288" operator="notEqual">
      <formula>"x"</formula>
    </cfRule>
  </conditionalFormatting>
  <conditionalFormatting sqref="BB8">
    <cfRule type="cellIs" dxfId="6806" priority="1287" operator="notEqual">
      <formula>"x"</formula>
    </cfRule>
  </conditionalFormatting>
  <conditionalFormatting sqref="BD8">
    <cfRule type="cellIs" dxfId="6805" priority="1286" operator="equal">
      <formula>"x"</formula>
    </cfRule>
  </conditionalFormatting>
  <conditionalFormatting sqref="BD8">
    <cfRule type="cellIs" dxfId="6804" priority="1285" operator="notEqual">
      <formula>"x"</formula>
    </cfRule>
  </conditionalFormatting>
  <conditionalFormatting sqref="BB16">
    <cfRule type="cellIs" dxfId="6803" priority="1284" operator="equal">
      <formula>"x"</formula>
    </cfRule>
  </conditionalFormatting>
  <conditionalFormatting sqref="AZ16">
    <cfRule type="cellIs" dxfId="6802" priority="1283" operator="equal">
      <formula>"x"</formula>
    </cfRule>
  </conditionalFormatting>
  <conditionalFormatting sqref="AZ16">
    <cfRule type="cellIs" dxfId="6801" priority="1282" operator="notEqual">
      <formula>"x"</formula>
    </cfRule>
  </conditionalFormatting>
  <conditionalFormatting sqref="BB16">
    <cfRule type="cellIs" dxfId="6800" priority="1281" operator="notEqual">
      <formula>"x"</formula>
    </cfRule>
  </conditionalFormatting>
  <conditionalFormatting sqref="BD16">
    <cfRule type="cellIs" dxfId="6799" priority="1280" operator="equal">
      <formula>"x"</formula>
    </cfRule>
  </conditionalFormatting>
  <conditionalFormatting sqref="BD16">
    <cfRule type="cellIs" dxfId="6798" priority="1279" operator="notEqual">
      <formula>"x"</formula>
    </cfRule>
  </conditionalFormatting>
  <conditionalFormatting sqref="BB22">
    <cfRule type="cellIs" dxfId="6797" priority="1278" operator="equal">
      <formula>"x"</formula>
    </cfRule>
  </conditionalFormatting>
  <conditionalFormatting sqref="AZ22">
    <cfRule type="cellIs" dxfId="6796" priority="1277" operator="equal">
      <formula>"x"</formula>
    </cfRule>
  </conditionalFormatting>
  <conditionalFormatting sqref="AZ22">
    <cfRule type="cellIs" dxfId="6795" priority="1276" operator="notEqual">
      <formula>"x"</formula>
    </cfRule>
  </conditionalFormatting>
  <conditionalFormatting sqref="BB22">
    <cfRule type="cellIs" dxfId="6794" priority="1275" operator="notEqual">
      <formula>"x"</formula>
    </cfRule>
  </conditionalFormatting>
  <conditionalFormatting sqref="BD22">
    <cfRule type="cellIs" dxfId="6793" priority="1274" operator="equal">
      <formula>"x"</formula>
    </cfRule>
  </conditionalFormatting>
  <conditionalFormatting sqref="BB37">
    <cfRule type="cellIs" dxfId="6792" priority="1272" operator="equal">
      <formula>"x"</formula>
    </cfRule>
  </conditionalFormatting>
  <conditionalFormatting sqref="AZ37">
    <cfRule type="cellIs" dxfId="6791" priority="1271" operator="equal">
      <formula>"x"</formula>
    </cfRule>
  </conditionalFormatting>
  <conditionalFormatting sqref="BB37">
    <cfRule type="cellIs" dxfId="6790" priority="1269" operator="notEqual">
      <formula>"x"</formula>
    </cfRule>
  </conditionalFormatting>
  <conditionalFormatting sqref="BD37">
    <cfRule type="cellIs" dxfId="6789" priority="1268" operator="equal">
      <formula>"x"</formula>
    </cfRule>
  </conditionalFormatting>
  <conditionalFormatting sqref="BB38">
    <cfRule type="cellIs" dxfId="6788" priority="1266" operator="equal">
      <formula>"x"</formula>
    </cfRule>
  </conditionalFormatting>
  <conditionalFormatting sqref="AZ38">
    <cfRule type="cellIs" dxfId="6787" priority="1265" operator="equal">
      <formula>"x"</formula>
    </cfRule>
  </conditionalFormatting>
  <conditionalFormatting sqref="BD38">
    <cfRule type="cellIs" dxfId="6786" priority="1264" operator="equal">
      <formula>"x"</formula>
    </cfRule>
  </conditionalFormatting>
  <conditionalFormatting sqref="BB39">
    <cfRule type="cellIs" dxfId="6785" priority="1263" operator="equal">
      <formula>"x"</formula>
    </cfRule>
  </conditionalFormatting>
  <conditionalFormatting sqref="AZ39">
    <cfRule type="cellIs" dxfId="6784" priority="1262" operator="equal">
      <formula>"x"</formula>
    </cfRule>
  </conditionalFormatting>
  <conditionalFormatting sqref="BD39">
    <cfRule type="cellIs" dxfId="6783" priority="1261" operator="equal">
      <formula>"x"</formula>
    </cfRule>
  </conditionalFormatting>
  <conditionalFormatting sqref="BB20">
    <cfRule type="cellIs" dxfId="6782" priority="1260" operator="equal">
      <formula>"x"</formula>
    </cfRule>
  </conditionalFormatting>
  <conditionalFormatting sqref="AZ20">
    <cfRule type="cellIs" dxfId="6781" priority="1259" operator="equal">
      <formula>"x"</formula>
    </cfRule>
  </conditionalFormatting>
  <conditionalFormatting sqref="BD20">
    <cfRule type="cellIs" dxfId="6780" priority="1258" operator="equal">
      <formula>"x"</formula>
    </cfRule>
  </conditionalFormatting>
  <conditionalFormatting sqref="BB21">
    <cfRule type="cellIs" dxfId="6779" priority="1257" operator="equal">
      <formula>"x"</formula>
    </cfRule>
  </conditionalFormatting>
  <conditionalFormatting sqref="AZ21">
    <cfRule type="cellIs" dxfId="6778" priority="1256" operator="equal">
      <formula>"x"</formula>
    </cfRule>
  </conditionalFormatting>
  <conditionalFormatting sqref="BD21">
    <cfRule type="cellIs" dxfId="6777" priority="1255" operator="equal">
      <formula>"x"</formula>
    </cfRule>
  </conditionalFormatting>
  <conditionalFormatting sqref="BB6:BB7">
    <cfRule type="cellIs" dxfId="6776" priority="1254" operator="equal">
      <formula>"x"</formula>
    </cfRule>
  </conditionalFormatting>
  <conditionalFormatting sqref="AZ6:AZ7">
    <cfRule type="cellIs" dxfId="6775" priority="1253" operator="equal">
      <formula>"x"</formula>
    </cfRule>
  </conditionalFormatting>
  <conditionalFormatting sqref="BD6:BD7">
    <cfRule type="cellIs" dxfId="6774" priority="1252" operator="equal">
      <formula>"x"</formula>
    </cfRule>
  </conditionalFormatting>
  <conditionalFormatting sqref="AZ5">
    <cfRule type="cellIs" dxfId="6773" priority="1251" operator="equal">
      <formula>"x"</formula>
    </cfRule>
  </conditionalFormatting>
  <conditionalFormatting sqref="BB5">
    <cfRule type="cellIs" dxfId="6772" priority="1250" operator="equal">
      <formula>"x"</formula>
    </cfRule>
  </conditionalFormatting>
  <conditionalFormatting sqref="BD5">
    <cfRule type="cellIs" dxfId="6771" priority="1249" operator="equal">
      <formula>"x"</formula>
    </cfRule>
  </conditionalFormatting>
  <conditionalFormatting sqref="BL22">
    <cfRule type="cellIs" dxfId="6770" priority="1209" operator="notEqual">
      <formula>"x"</formula>
    </cfRule>
  </conditionalFormatting>
  <conditionalFormatting sqref="BH37">
    <cfRule type="cellIs" dxfId="6769" priority="1206" operator="notEqual">
      <formula>"x"</formula>
    </cfRule>
  </conditionalFormatting>
  <conditionalFormatting sqref="BJ32:BJ36 BJ25:BJ30 BJ18:BJ19 BJ12:BJ15 BJ23">
    <cfRule type="cellIs" dxfId="6768" priority="1248" operator="equal">
      <formula>"x"</formula>
    </cfRule>
  </conditionalFormatting>
  <conditionalFormatting sqref="BH12:BH15 BH18:BH19 BH25:BH30 BH32:BH36 BH23">
    <cfRule type="cellIs" dxfId="6767" priority="1247" operator="equal">
      <formula>"x"</formula>
    </cfRule>
  </conditionalFormatting>
  <conditionalFormatting sqref="BH15 BH23 BH29:BH30 BH36">
    <cfRule type="cellIs" dxfId="6766" priority="1246" operator="notEqual">
      <formula>"x"</formula>
    </cfRule>
  </conditionalFormatting>
  <conditionalFormatting sqref="BJ15 BJ23 BJ29:BJ30 BJ36">
    <cfRule type="cellIs" dxfId="6765" priority="1245" operator="notEqual">
      <formula>"x"</formula>
    </cfRule>
  </conditionalFormatting>
  <conditionalFormatting sqref="BL32:BL36 BL25:BL30 BL18:BL19 BL12:BL15 BL23">
    <cfRule type="cellIs" dxfId="6764" priority="1244" operator="equal">
      <formula>"x"</formula>
    </cfRule>
  </conditionalFormatting>
  <conditionalFormatting sqref="BL15 BL23 BL29:BL30 BL36">
    <cfRule type="cellIs" dxfId="6763" priority="1243" operator="notEqual">
      <formula>"x"</formula>
    </cfRule>
  </conditionalFormatting>
  <conditionalFormatting sqref="BJ11">
    <cfRule type="cellIs" dxfId="6762" priority="1242" operator="equal">
      <formula>"x"</formula>
    </cfRule>
  </conditionalFormatting>
  <conditionalFormatting sqref="BH11">
    <cfRule type="cellIs" dxfId="6761" priority="1241" operator="equal">
      <formula>"x"</formula>
    </cfRule>
  </conditionalFormatting>
  <conditionalFormatting sqref="BL11">
    <cfRule type="cellIs" dxfId="6760" priority="1240" operator="equal">
      <formula>"x"</formula>
    </cfRule>
  </conditionalFormatting>
  <conditionalFormatting sqref="BJ10">
    <cfRule type="cellIs" dxfId="6759" priority="1239" operator="equal">
      <formula>"x"</formula>
    </cfRule>
  </conditionalFormatting>
  <conditionalFormatting sqref="BH10">
    <cfRule type="cellIs" dxfId="6758" priority="1238" operator="equal">
      <formula>"x"</formula>
    </cfRule>
  </conditionalFormatting>
  <conditionalFormatting sqref="BL10">
    <cfRule type="cellIs" dxfId="6757" priority="1237" operator="equal">
      <formula>"x"</formula>
    </cfRule>
  </conditionalFormatting>
  <conditionalFormatting sqref="BL37">
    <cfRule type="cellIs" dxfId="6756" priority="1203" operator="notEqual">
      <formula>"x"</formula>
    </cfRule>
  </conditionalFormatting>
  <conditionalFormatting sqref="BI17">
    <cfRule type="cellIs" dxfId="6755" priority="1236" operator="equal">
      <formula>"x"</formula>
    </cfRule>
  </conditionalFormatting>
  <conditionalFormatting sqref="BH17">
    <cfRule type="cellIs" dxfId="6754" priority="1235" operator="equal">
      <formula>"x"</formula>
    </cfRule>
  </conditionalFormatting>
  <conditionalFormatting sqref="BH24">
    <cfRule type="cellIs" dxfId="6753" priority="1234" operator="equal">
      <formula>"x"</formula>
    </cfRule>
  </conditionalFormatting>
  <conditionalFormatting sqref="BH31">
    <cfRule type="cellIs" dxfId="6752" priority="1233" operator="equal">
      <formula>"x"</formula>
    </cfRule>
  </conditionalFormatting>
  <conditionalFormatting sqref="BJ9">
    <cfRule type="cellIs" dxfId="6751" priority="1232" operator="equal">
      <formula>"x"</formula>
    </cfRule>
  </conditionalFormatting>
  <conditionalFormatting sqref="BH9">
    <cfRule type="cellIs" dxfId="6750" priority="1231" operator="equal">
      <formula>"x"</formula>
    </cfRule>
  </conditionalFormatting>
  <conditionalFormatting sqref="BH9">
    <cfRule type="cellIs" dxfId="6749" priority="1230" operator="notEqual">
      <formula>"x"</formula>
    </cfRule>
  </conditionalFormatting>
  <conditionalFormatting sqref="BJ9">
    <cfRule type="cellIs" dxfId="6748" priority="1229" operator="notEqual">
      <formula>"x"</formula>
    </cfRule>
  </conditionalFormatting>
  <conditionalFormatting sqref="BL9">
    <cfRule type="cellIs" dxfId="6747" priority="1228" operator="equal">
      <formula>"x"</formula>
    </cfRule>
  </conditionalFormatting>
  <conditionalFormatting sqref="BL9">
    <cfRule type="cellIs" dxfId="6746" priority="1227" operator="notEqual">
      <formula>"x"</formula>
    </cfRule>
  </conditionalFormatting>
  <conditionalFormatting sqref="BJ8">
    <cfRule type="cellIs" dxfId="6745" priority="1226" operator="equal">
      <formula>"x"</formula>
    </cfRule>
  </conditionalFormatting>
  <conditionalFormatting sqref="BH8">
    <cfRule type="cellIs" dxfId="6744" priority="1225" operator="equal">
      <formula>"x"</formula>
    </cfRule>
  </conditionalFormatting>
  <conditionalFormatting sqref="BH8">
    <cfRule type="cellIs" dxfId="6743" priority="1224" operator="notEqual">
      <formula>"x"</formula>
    </cfRule>
  </conditionalFormatting>
  <conditionalFormatting sqref="BJ8">
    <cfRule type="cellIs" dxfId="6742" priority="1223" operator="notEqual">
      <formula>"x"</formula>
    </cfRule>
  </conditionalFormatting>
  <conditionalFormatting sqref="BL8">
    <cfRule type="cellIs" dxfId="6741" priority="1222" operator="equal">
      <formula>"x"</formula>
    </cfRule>
  </conditionalFormatting>
  <conditionalFormatting sqref="BL8">
    <cfRule type="cellIs" dxfId="6740" priority="1221" operator="notEqual">
      <formula>"x"</formula>
    </cfRule>
  </conditionalFormatting>
  <conditionalFormatting sqref="BJ16">
    <cfRule type="cellIs" dxfId="6739" priority="1220" operator="equal">
      <formula>"x"</formula>
    </cfRule>
  </conditionalFormatting>
  <conditionalFormatting sqref="BH16">
    <cfRule type="cellIs" dxfId="6738" priority="1219" operator="equal">
      <formula>"x"</formula>
    </cfRule>
  </conditionalFormatting>
  <conditionalFormatting sqref="BH16">
    <cfRule type="cellIs" dxfId="6737" priority="1218" operator="notEqual">
      <formula>"x"</formula>
    </cfRule>
  </conditionalFormatting>
  <conditionalFormatting sqref="BJ16">
    <cfRule type="cellIs" dxfId="6736" priority="1217" operator="notEqual">
      <formula>"x"</formula>
    </cfRule>
  </conditionalFormatting>
  <conditionalFormatting sqref="BL16">
    <cfRule type="cellIs" dxfId="6735" priority="1216" operator="equal">
      <formula>"x"</formula>
    </cfRule>
  </conditionalFormatting>
  <conditionalFormatting sqref="BL16">
    <cfRule type="cellIs" dxfId="6734" priority="1215" operator="notEqual">
      <formula>"x"</formula>
    </cfRule>
  </conditionalFormatting>
  <conditionalFormatting sqref="BJ22">
    <cfRule type="cellIs" dxfId="6733" priority="1214" operator="equal">
      <formula>"x"</formula>
    </cfRule>
  </conditionalFormatting>
  <conditionalFormatting sqref="BH22">
    <cfRule type="cellIs" dxfId="6732" priority="1213" operator="equal">
      <formula>"x"</formula>
    </cfRule>
  </conditionalFormatting>
  <conditionalFormatting sqref="BH22">
    <cfRule type="cellIs" dxfId="6731" priority="1212" operator="notEqual">
      <formula>"x"</formula>
    </cfRule>
  </conditionalFormatting>
  <conditionalFormatting sqref="BJ22">
    <cfRule type="cellIs" dxfId="6730" priority="1211" operator="notEqual">
      <formula>"x"</formula>
    </cfRule>
  </conditionalFormatting>
  <conditionalFormatting sqref="BL22">
    <cfRule type="cellIs" dxfId="6729" priority="1210" operator="equal">
      <formula>"x"</formula>
    </cfRule>
  </conditionalFormatting>
  <conditionalFormatting sqref="BJ37">
    <cfRule type="cellIs" dxfId="6728" priority="1208" operator="equal">
      <formula>"x"</formula>
    </cfRule>
  </conditionalFormatting>
  <conditionalFormatting sqref="BH37">
    <cfRule type="cellIs" dxfId="6727" priority="1207" operator="equal">
      <formula>"x"</formula>
    </cfRule>
  </conditionalFormatting>
  <conditionalFormatting sqref="BJ37">
    <cfRule type="cellIs" dxfId="6726" priority="1205" operator="notEqual">
      <formula>"x"</formula>
    </cfRule>
  </conditionalFormatting>
  <conditionalFormatting sqref="BL37">
    <cfRule type="cellIs" dxfId="6725" priority="1204" operator="equal">
      <formula>"x"</formula>
    </cfRule>
  </conditionalFormatting>
  <conditionalFormatting sqref="BH38">
    <cfRule type="cellIs" dxfId="6724" priority="1202" operator="equal">
      <formula>"x"</formula>
    </cfRule>
  </conditionalFormatting>
  <conditionalFormatting sqref="BJ39">
    <cfRule type="cellIs" dxfId="6723" priority="1201" operator="equal">
      <formula>"x"</formula>
    </cfRule>
  </conditionalFormatting>
  <conditionalFormatting sqref="BH39">
    <cfRule type="cellIs" dxfId="6722" priority="1200" operator="equal">
      <formula>"x"</formula>
    </cfRule>
  </conditionalFormatting>
  <conditionalFormatting sqref="BL39">
    <cfRule type="cellIs" dxfId="6721" priority="1199" operator="equal">
      <formula>"x"</formula>
    </cfRule>
  </conditionalFormatting>
  <conditionalFormatting sqref="BJ20">
    <cfRule type="cellIs" dxfId="6720" priority="1198" operator="equal">
      <formula>"x"</formula>
    </cfRule>
  </conditionalFormatting>
  <conditionalFormatting sqref="BH20">
    <cfRule type="cellIs" dxfId="6719" priority="1197" operator="equal">
      <formula>"x"</formula>
    </cfRule>
  </conditionalFormatting>
  <conditionalFormatting sqref="BL20">
    <cfRule type="cellIs" dxfId="6718" priority="1196" operator="equal">
      <formula>"x"</formula>
    </cfRule>
  </conditionalFormatting>
  <conditionalFormatting sqref="BJ21">
    <cfRule type="cellIs" dxfId="6717" priority="1195" operator="equal">
      <formula>"x"</formula>
    </cfRule>
  </conditionalFormatting>
  <conditionalFormatting sqref="BH21">
    <cfRule type="cellIs" dxfId="6716" priority="1194" operator="equal">
      <formula>"x"</formula>
    </cfRule>
  </conditionalFormatting>
  <conditionalFormatting sqref="BL21">
    <cfRule type="cellIs" dxfId="6715" priority="1193" operator="equal">
      <formula>"x"</formula>
    </cfRule>
  </conditionalFormatting>
  <conditionalFormatting sqref="BJ6:BJ7">
    <cfRule type="cellIs" dxfId="6714" priority="1192" operator="equal">
      <formula>"x"</formula>
    </cfRule>
  </conditionalFormatting>
  <conditionalFormatting sqref="BH6:BH7">
    <cfRule type="cellIs" dxfId="6713" priority="1191" operator="equal">
      <formula>"x"</formula>
    </cfRule>
  </conditionalFormatting>
  <conditionalFormatting sqref="BL6:BL7">
    <cfRule type="cellIs" dxfId="6712" priority="1190" operator="equal">
      <formula>"x"</formula>
    </cfRule>
  </conditionalFormatting>
  <conditionalFormatting sqref="BH5">
    <cfRule type="cellIs" dxfId="6711" priority="1189" operator="equal">
      <formula>"x"</formula>
    </cfRule>
  </conditionalFormatting>
  <conditionalFormatting sqref="BJ5">
    <cfRule type="cellIs" dxfId="6710" priority="1188" operator="equal">
      <formula>"x"</formula>
    </cfRule>
  </conditionalFormatting>
  <conditionalFormatting sqref="BL5">
    <cfRule type="cellIs" dxfId="6709" priority="1187" operator="equal">
      <formula>"x"</formula>
    </cfRule>
  </conditionalFormatting>
  <conditionalFormatting sqref="BT22">
    <cfRule type="cellIs" dxfId="6708" priority="1146" operator="notEqual">
      <formula>"x"</formula>
    </cfRule>
  </conditionalFormatting>
  <conditionalFormatting sqref="BP37">
    <cfRule type="cellIs" dxfId="6707" priority="1143" operator="notEqual">
      <formula>"x"</formula>
    </cfRule>
  </conditionalFormatting>
  <conditionalFormatting sqref="BR32:BR36 BR25:BR30 BR18:BR19 BR12:BR15 BR23">
    <cfRule type="cellIs" dxfId="6706" priority="1186" operator="equal">
      <formula>"x"</formula>
    </cfRule>
  </conditionalFormatting>
  <conditionalFormatting sqref="BP12:BP15 BP18:BP19 BP25:BP30 BP32:BP36 BP23">
    <cfRule type="cellIs" dxfId="6705" priority="1185" operator="equal">
      <formula>"x"</formula>
    </cfRule>
  </conditionalFormatting>
  <conditionalFormatting sqref="BP15 BP23 BP29:BP30 BP36">
    <cfRule type="cellIs" dxfId="6704" priority="1184" operator="notEqual">
      <formula>"x"</formula>
    </cfRule>
  </conditionalFormatting>
  <conditionalFormatting sqref="BR15 BR23 BR29:BR30 BR36">
    <cfRule type="cellIs" dxfId="6703" priority="1183" operator="notEqual">
      <formula>"x"</formula>
    </cfRule>
  </conditionalFormatting>
  <conditionalFormatting sqref="BT32:BT36 BT25:BT30 BT18:BT19 BT12:BT15 BT23">
    <cfRule type="cellIs" dxfId="6702" priority="1182" operator="equal">
      <formula>"x"</formula>
    </cfRule>
  </conditionalFormatting>
  <conditionalFormatting sqref="BT15 BT23 BT29:BT30 BT36">
    <cfRule type="cellIs" dxfId="6701" priority="1181" operator="notEqual">
      <formula>"x"</formula>
    </cfRule>
  </conditionalFormatting>
  <conditionalFormatting sqref="BR11">
    <cfRule type="cellIs" dxfId="6700" priority="1180" operator="equal">
      <formula>"x"</formula>
    </cfRule>
  </conditionalFormatting>
  <conditionalFormatting sqref="BP11">
    <cfRule type="cellIs" dxfId="6699" priority="1179" operator="equal">
      <formula>"x"</formula>
    </cfRule>
  </conditionalFormatting>
  <conditionalFormatting sqref="BT11">
    <cfRule type="cellIs" dxfId="6698" priority="1178" operator="equal">
      <formula>"x"</formula>
    </cfRule>
  </conditionalFormatting>
  <conditionalFormatting sqref="BP10">
    <cfRule type="cellIs" dxfId="6697" priority="1177" operator="equal">
      <formula>"x"</formula>
    </cfRule>
  </conditionalFormatting>
  <conditionalFormatting sqref="BT37">
    <cfRule type="cellIs" dxfId="6696" priority="1140" operator="notEqual">
      <formula>"x"</formula>
    </cfRule>
  </conditionalFormatting>
  <conditionalFormatting sqref="BP17">
    <cfRule type="cellIs" dxfId="6695" priority="1176" operator="equal">
      <formula>"x"</formula>
    </cfRule>
  </conditionalFormatting>
  <conditionalFormatting sqref="BR24">
    <cfRule type="cellIs" dxfId="6694" priority="1175" operator="equal">
      <formula>"x"</formula>
    </cfRule>
  </conditionalFormatting>
  <conditionalFormatting sqref="BP24">
    <cfRule type="cellIs" dxfId="6693" priority="1174" operator="equal">
      <formula>"x"</formula>
    </cfRule>
  </conditionalFormatting>
  <conditionalFormatting sqref="BT24">
    <cfRule type="cellIs" dxfId="6692" priority="1173" operator="equal">
      <formula>"x"</formula>
    </cfRule>
  </conditionalFormatting>
  <conditionalFormatting sqref="BR31">
    <cfRule type="cellIs" dxfId="6691" priority="1172" operator="equal">
      <formula>"x"</formula>
    </cfRule>
  </conditionalFormatting>
  <conditionalFormatting sqref="BP31">
    <cfRule type="cellIs" dxfId="6690" priority="1171" operator="equal">
      <formula>"x"</formula>
    </cfRule>
  </conditionalFormatting>
  <conditionalFormatting sqref="BT31">
    <cfRule type="cellIs" dxfId="6689" priority="1170" operator="equal">
      <formula>"x"</formula>
    </cfRule>
  </conditionalFormatting>
  <conditionalFormatting sqref="BR9">
    <cfRule type="cellIs" dxfId="6688" priority="1169" operator="equal">
      <formula>"x"</formula>
    </cfRule>
  </conditionalFormatting>
  <conditionalFormatting sqref="BP9">
    <cfRule type="cellIs" dxfId="6687" priority="1168" operator="equal">
      <formula>"x"</formula>
    </cfRule>
  </conditionalFormatting>
  <conditionalFormatting sqref="BP9">
    <cfRule type="cellIs" dxfId="6686" priority="1167" operator="notEqual">
      <formula>"x"</formula>
    </cfRule>
  </conditionalFormatting>
  <conditionalFormatting sqref="BR9">
    <cfRule type="cellIs" dxfId="6685" priority="1166" operator="notEqual">
      <formula>"x"</formula>
    </cfRule>
  </conditionalFormatting>
  <conditionalFormatting sqref="BT9">
    <cfRule type="cellIs" dxfId="6684" priority="1165" operator="equal">
      <formula>"x"</formula>
    </cfRule>
  </conditionalFormatting>
  <conditionalFormatting sqref="BT9">
    <cfRule type="cellIs" dxfId="6683" priority="1164" operator="notEqual">
      <formula>"x"</formula>
    </cfRule>
  </conditionalFormatting>
  <conditionalFormatting sqref="BR8">
    <cfRule type="cellIs" dxfId="6682" priority="1163" operator="equal">
      <formula>"x"</formula>
    </cfRule>
  </conditionalFormatting>
  <conditionalFormatting sqref="BP8">
    <cfRule type="cellIs" dxfId="6681" priority="1162" operator="equal">
      <formula>"x"</formula>
    </cfRule>
  </conditionalFormatting>
  <conditionalFormatting sqref="BP8">
    <cfRule type="cellIs" dxfId="6680" priority="1161" operator="notEqual">
      <formula>"x"</formula>
    </cfRule>
  </conditionalFormatting>
  <conditionalFormatting sqref="BR8">
    <cfRule type="cellIs" dxfId="6679" priority="1160" operator="notEqual">
      <formula>"x"</formula>
    </cfRule>
  </conditionalFormatting>
  <conditionalFormatting sqref="BT8">
    <cfRule type="cellIs" dxfId="6678" priority="1159" operator="equal">
      <formula>"x"</formula>
    </cfRule>
  </conditionalFormatting>
  <conditionalFormatting sqref="BT8">
    <cfRule type="cellIs" dxfId="6677" priority="1158" operator="notEqual">
      <formula>"x"</formula>
    </cfRule>
  </conditionalFormatting>
  <conditionalFormatting sqref="BR16">
    <cfRule type="cellIs" dxfId="6676" priority="1157" operator="equal">
      <formula>"x"</formula>
    </cfRule>
  </conditionalFormatting>
  <conditionalFormatting sqref="BP16">
    <cfRule type="cellIs" dxfId="6675" priority="1156" operator="equal">
      <formula>"x"</formula>
    </cfRule>
  </conditionalFormatting>
  <conditionalFormatting sqref="BP16">
    <cfRule type="cellIs" dxfId="6674" priority="1155" operator="notEqual">
      <formula>"x"</formula>
    </cfRule>
  </conditionalFormatting>
  <conditionalFormatting sqref="BR16">
    <cfRule type="cellIs" dxfId="6673" priority="1154" operator="notEqual">
      <formula>"x"</formula>
    </cfRule>
  </conditionalFormatting>
  <conditionalFormatting sqref="BT16">
    <cfRule type="cellIs" dxfId="6672" priority="1153" operator="equal">
      <formula>"x"</formula>
    </cfRule>
  </conditionalFormatting>
  <conditionalFormatting sqref="BT16">
    <cfRule type="cellIs" dxfId="6671" priority="1152" operator="notEqual">
      <formula>"x"</formula>
    </cfRule>
  </conditionalFormatting>
  <conditionalFormatting sqref="BR22">
    <cfRule type="cellIs" dxfId="6670" priority="1151" operator="equal">
      <formula>"x"</formula>
    </cfRule>
  </conditionalFormatting>
  <conditionalFormatting sqref="BP22">
    <cfRule type="cellIs" dxfId="6669" priority="1150" operator="equal">
      <formula>"x"</formula>
    </cfRule>
  </conditionalFormatting>
  <conditionalFormatting sqref="BP22">
    <cfRule type="cellIs" dxfId="6668" priority="1149" operator="notEqual">
      <formula>"x"</formula>
    </cfRule>
  </conditionalFormatting>
  <conditionalFormatting sqref="BR22">
    <cfRule type="cellIs" dxfId="6667" priority="1148" operator="notEqual">
      <formula>"x"</formula>
    </cfRule>
  </conditionalFormatting>
  <conditionalFormatting sqref="BT22">
    <cfRule type="cellIs" dxfId="6666" priority="1147" operator="equal">
      <formula>"x"</formula>
    </cfRule>
  </conditionalFormatting>
  <conditionalFormatting sqref="BR37">
    <cfRule type="cellIs" dxfId="6665" priority="1145" operator="equal">
      <formula>"x"</formula>
    </cfRule>
  </conditionalFormatting>
  <conditionalFormatting sqref="BP37">
    <cfRule type="cellIs" dxfId="6664" priority="1144" operator="equal">
      <formula>"x"</formula>
    </cfRule>
  </conditionalFormatting>
  <conditionalFormatting sqref="BR37">
    <cfRule type="cellIs" dxfId="6663" priority="1142" operator="notEqual">
      <formula>"x"</formula>
    </cfRule>
  </conditionalFormatting>
  <conditionalFormatting sqref="BT37">
    <cfRule type="cellIs" dxfId="6662" priority="1141" operator="equal">
      <formula>"x"</formula>
    </cfRule>
  </conditionalFormatting>
  <conditionalFormatting sqref="BR38">
    <cfRule type="cellIs" dxfId="6661" priority="1139" operator="equal">
      <formula>"x"</formula>
    </cfRule>
  </conditionalFormatting>
  <conditionalFormatting sqref="BP38">
    <cfRule type="cellIs" dxfId="6660" priority="1138" operator="equal">
      <formula>"x"</formula>
    </cfRule>
  </conditionalFormatting>
  <conditionalFormatting sqref="BT38">
    <cfRule type="cellIs" dxfId="6659" priority="1137" operator="equal">
      <formula>"x"</formula>
    </cfRule>
  </conditionalFormatting>
  <conditionalFormatting sqref="BR39">
    <cfRule type="cellIs" dxfId="6658" priority="1136" operator="equal">
      <formula>"x"</formula>
    </cfRule>
  </conditionalFormatting>
  <conditionalFormatting sqref="BP39">
    <cfRule type="cellIs" dxfId="6657" priority="1135" operator="equal">
      <formula>"x"</formula>
    </cfRule>
  </conditionalFormatting>
  <conditionalFormatting sqref="BT39">
    <cfRule type="cellIs" dxfId="6656" priority="1134" operator="equal">
      <formula>"x"</formula>
    </cfRule>
  </conditionalFormatting>
  <conditionalFormatting sqref="BR20">
    <cfRule type="cellIs" dxfId="6655" priority="1133" operator="equal">
      <formula>"x"</formula>
    </cfRule>
  </conditionalFormatting>
  <conditionalFormatting sqref="BP20">
    <cfRule type="cellIs" dxfId="6654" priority="1132" operator="equal">
      <formula>"x"</formula>
    </cfRule>
  </conditionalFormatting>
  <conditionalFormatting sqref="BT20">
    <cfRule type="cellIs" dxfId="6653" priority="1131" operator="equal">
      <formula>"x"</formula>
    </cfRule>
  </conditionalFormatting>
  <conditionalFormatting sqref="BR21">
    <cfRule type="cellIs" dxfId="6652" priority="1130" operator="equal">
      <formula>"x"</formula>
    </cfRule>
  </conditionalFormatting>
  <conditionalFormatting sqref="BP21">
    <cfRule type="cellIs" dxfId="6651" priority="1129" operator="equal">
      <formula>"x"</formula>
    </cfRule>
  </conditionalFormatting>
  <conditionalFormatting sqref="BT21">
    <cfRule type="cellIs" dxfId="6650" priority="1128" operator="equal">
      <formula>"x"</formula>
    </cfRule>
  </conditionalFormatting>
  <conditionalFormatting sqref="BR6:BR7">
    <cfRule type="cellIs" dxfId="6649" priority="1127" operator="equal">
      <formula>"x"</formula>
    </cfRule>
  </conditionalFormatting>
  <conditionalFormatting sqref="BP6:BP7">
    <cfRule type="cellIs" dxfId="6648" priority="1126" operator="equal">
      <formula>"x"</formula>
    </cfRule>
  </conditionalFormatting>
  <conditionalFormatting sqref="BT6:BT7">
    <cfRule type="cellIs" dxfId="6647" priority="1125" operator="equal">
      <formula>"x"</formula>
    </cfRule>
  </conditionalFormatting>
  <conditionalFormatting sqref="BP5">
    <cfRule type="cellIs" dxfId="6646" priority="1124" operator="equal">
      <formula>"x"</formula>
    </cfRule>
  </conditionalFormatting>
  <conditionalFormatting sqref="BR5">
    <cfRule type="cellIs" dxfId="6645" priority="1123" operator="equal">
      <formula>"x"</formula>
    </cfRule>
  </conditionalFormatting>
  <conditionalFormatting sqref="BT5">
    <cfRule type="cellIs" dxfId="6644" priority="1122" operator="equal">
      <formula>"x"</formula>
    </cfRule>
  </conditionalFormatting>
  <conditionalFormatting sqref="BP4">
    <cfRule type="cellIs" dxfId="6643" priority="1121" operator="equal">
      <formula>"x"</formula>
    </cfRule>
  </conditionalFormatting>
  <conditionalFormatting sqref="BR4">
    <cfRule type="cellIs" dxfId="6642" priority="1120" operator="equal">
      <formula>"x"</formula>
    </cfRule>
  </conditionalFormatting>
  <conditionalFormatting sqref="BT4">
    <cfRule type="cellIs" dxfId="6641" priority="1119" operator="equal">
      <formula>"x"</formula>
    </cfRule>
  </conditionalFormatting>
  <conditionalFormatting sqref="CB22">
    <cfRule type="cellIs" dxfId="6640" priority="1079" operator="notEqual">
      <formula>"x"</formula>
    </cfRule>
  </conditionalFormatting>
  <conditionalFormatting sqref="BX37">
    <cfRule type="cellIs" dxfId="6639" priority="1076" operator="notEqual">
      <formula>"x"</formula>
    </cfRule>
  </conditionalFormatting>
  <conditionalFormatting sqref="BZ32:BZ36 BZ25:BZ29 BZ18:BZ19 BZ12:BZ15 BZ23">
    <cfRule type="cellIs" dxfId="6638" priority="1118" operator="equal">
      <formula>"x"</formula>
    </cfRule>
  </conditionalFormatting>
  <conditionalFormatting sqref="BX12:BX15 BX18:BX19 BX25:BX29 BX32:BX36 BX23">
    <cfRule type="cellIs" dxfId="6637" priority="1117" operator="equal">
      <formula>"x"</formula>
    </cfRule>
  </conditionalFormatting>
  <conditionalFormatting sqref="BX15 BX23 BX29 BX36">
    <cfRule type="cellIs" dxfId="6636" priority="1116" operator="notEqual">
      <formula>"x"</formula>
    </cfRule>
  </conditionalFormatting>
  <conditionalFormatting sqref="BZ15 BZ23 BZ29 BZ36">
    <cfRule type="cellIs" dxfId="6635" priority="1115" operator="notEqual">
      <formula>"x"</formula>
    </cfRule>
  </conditionalFormatting>
  <conditionalFormatting sqref="CB32:CB36 CB25:CB29 CB18:CB19 CB12:CB15 CB23">
    <cfRule type="cellIs" dxfId="6634" priority="1114" operator="equal">
      <formula>"x"</formula>
    </cfRule>
  </conditionalFormatting>
  <conditionalFormatting sqref="CB15 CB23 CB29 CB36">
    <cfRule type="cellIs" dxfId="6633" priority="1113" operator="notEqual">
      <formula>"x"</formula>
    </cfRule>
  </conditionalFormatting>
  <conditionalFormatting sqref="BZ11">
    <cfRule type="cellIs" dxfId="6632" priority="1112" operator="equal">
      <formula>"x"</formula>
    </cfRule>
  </conditionalFormatting>
  <conditionalFormatting sqref="BX11">
    <cfRule type="cellIs" dxfId="6631" priority="1111" operator="equal">
      <formula>"x"</formula>
    </cfRule>
  </conditionalFormatting>
  <conditionalFormatting sqref="CB11">
    <cfRule type="cellIs" dxfId="6630" priority="1110" operator="equal">
      <formula>"x"</formula>
    </cfRule>
  </conditionalFormatting>
  <conditionalFormatting sqref="BZ10">
    <cfRule type="cellIs" dxfId="6629" priority="1109" operator="equal">
      <formula>"x"</formula>
    </cfRule>
  </conditionalFormatting>
  <conditionalFormatting sqref="BX10">
    <cfRule type="cellIs" dxfId="6628" priority="1108" operator="equal">
      <formula>"x"</formula>
    </cfRule>
  </conditionalFormatting>
  <conditionalFormatting sqref="CB10">
    <cfRule type="cellIs" dxfId="6627" priority="1107" operator="equal">
      <formula>"x"</formula>
    </cfRule>
  </conditionalFormatting>
  <conditionalFormatting sqref="CB37">
    <cfRule type="cellIs" dxfId="6626" priority="1073" operator="notEqual">
      <formula>"x"</formula>
    </cfRule>
  </conditionalFormatting>
  <conditionalFormatting sqref="BY17">
    <cfRule type="cellIs" dxfId="6625" priority="1106" operator="equal">
      <formula>"x"</formula>
    </cfRule>
  </conditionalFormatting>
  <conditionalFormatting sqref="BX17">
    <cfRule type="cellIs" dxfId="6624" priority="1105" operator="equal">
      <formula>"x"</formula>
    </cfRule>
  </conditionalFormatting>
  <conditionalFormatting sqref="BX24">
    <cfRule type="cellIs" dxfId="6623" priority="1104" operator="equal">
      <formula>"x"</formula>
    </cfRule>
  </conditionalFormatting>
  <conditionalFormatting sqref="BX31">
    <cfRule type="cellIs" dxfId="6622" priority="1103" operator="equal">
      <formula>"x"</formula>
    </cfRule>
  </conditionalFormatting>
  <conditionalFormatting sqref="BZ9">
    <cfRule type="cellIs" dxfId="6621" priority="1102" operator="equal">
      <formula>"x"</formula>
    </cfRule>
  </conditionalFormatting>
  <conditionalFormatting sqref="BX9">
    <cfRule type="cellIs" dxfId="6620" priority="1101" operator="equal">
      <formula>"x"</formula>
    </cfRule>
  </conditionalFormatting>
  <conditionalFormatting sqref="BX9">
    <cfRule type="cellIs" dxfId="6619" priority="1100" operator="notEqual">
      <formula>"x"</formula>
    </cfRule>
  </conditionalFormatting>
  <conditionalFormatting sqref="BZ9">
    <cfRule type="cellIs" dxfId="6618" priority="1099" operator="notEqual">
      <formula>"x"</formula>
    </cfRule>
  </conditionalFormatting>
  <conditionalFormatting sqref="CB9">
    <cfRule type="cellIs" dxfId="6617" priority="1098" operator="equal">
      <formula>"x"</formula>
    </cfRule>
  </conditionalFormatting>
  <conditionalFormatting sqref="CB9">
    <cfRule type="cellIs" dxfId="6616" priority="1097" operator="notEqual">
      <formula>"x"</formula>
    </cfRule>
  </conditionalFormatting>
  <conditionalFormatting sqref="BZ8">
    <cfRule type="cellIs" dxfId="6615" priority="1096" operator="equal">
      <formula>"x"</formula>
    </cfRule>
  </conditionalFormatting>
  <conditionalFormatting sqref="BX8">
    <cfRule type="cellIs" dxfId="6614" priority="1095" operator="equal">
      <formula>"x"</formula>
    </cfRule>
  </conditionalFormatting>
  <conditionalFormatting sqref="BX8">
    <cfRule type="cellIs" dxfId="6613" priority="1094" operator="notEqual">
      <formula>"x"</formula>
    </cfRule>
  </conditionalFormatting>
  <conditionalFormatting sqref="BZ8">
    <cfRule type="cellIs" dxfId="6612" priority="1093" operator="notEqual">
      <formula>"x"</formula>
    </cfRule>
  </conditionalFormatting>
  <conditionalFormatting sqref="CB8">
    <cfRule type="cellIs" dxfId="6611" priority="1092" operator="equal">
      <formula>"x"</formula>
    </cfRule>
  </conditionalFormatting>
  <conditionalFormatting sqref="CB8">
    <cfRule type="cellIs" dxfId="6610" priority="1091" operator="notEqual">
      <formula>"x"</formula>
    </cfRule>
  </conditionalFormatting>
  <conditionalFormatting sqref="BZ16">
    <cfRule type="cellIs" dxfId="6609" priority="1090" operator="equal">
      <formula>"x"</formula>
    </cfRule>
  </conditionalFormatting>
  <conditionalFormatting sqref="BX16">
    <cfRule type="cellIs" dxfId="6608" priority="1089" operator="equal">
      <formula>"x"</formula>
    </cfRule>
  </conditionalFormatting>
  <conditionalFormatting sqref="BX16">
    <cfRule type="cellIs" dxfId="6607" priority="1088" operator="notEqual">
      <formula>"x"</formula>
    </cfRule>
  </conditionalFormatting>
  <conditionalFormatting sqref="BZ16">
    <cfRule type="cellIs" dxfId="6606" priority="1087" operator="notEqual">
      <formula>"x"</formula>
    </cfRule>
  </conditionalFormatting>
  <conditionalFormatting sqref="CB16">
    <cfRule type="cellIs" dxfId="6605" priority="1086" operator="equal">
      <formula>"x"</formula>
    </cfRule>
  </conditionalFormatting>
  <conditionalFormatting sqref="CB16">
    <cfRule type="cellIs" dxfId="6604" priority="1085" operator="notEqual">
      <formula>"x"</formula>
    </cfRule>
  </conditionalFormatting>
  <conditionalFormatting sqref="BZ22">
    <cfRule type="cellIs" dxfId="6603" priority="1084" operator="equal">
      <formula>"x"</formula>
    </cfRule>
  </conditionalFormatting>
  <conditionalFormatting sqref="BX22">
    <cfRule type="cellIs" dxfId="6602" priority="1083" operator="equal">
      <formula>"x"</formula>
    </cfRule>
  </conditionalFormatting>
  <conditionalFormatting sqref="BX22">
    <cfRule type="cellIs" dxfId="6601" priority="1082" operator="notEqual">
      <formula>"x"</formula>
    </cfRule>
  </conditionalFormatting>
  <conditionalFormatting sqref="BZ22">
    <cfRule type="cellIs" dxfId="6600" priority="1081" operator="notEqual">
      <formula>"x"</formula>
    </cfRule>
  </conditionalFormatting>
  <conditionalFormatting sqref="CB22">
    <cfRule type="cellIs" dxfId="6599" priority="1080" operator="equal">
      <formula>"x"</formula>
    </cfRule>
  </conditionalFormatting>
  <conditionalFormatting sqref="BZ37">
    <cfRule type="cellIs" dxfId="6598" priority="1078" operator="equal">
      <formula>"x"</formula>
    </cfRule>
  </conditionalFormatting>
  <conditionalFormatting sqref="BX37">
    <cfRule type="cellIs" dxfId="6597" priority="1077" operator="equal">
      <formula>"x"</formula>
    </cfRule>
  </conditionalFormatting>
  <conditionalFormatting sqref="BZ37">
    <cfRule type="cellIs" dxfId="6596" priority="1075" operator="notEqual">
      <formula>"x"</formula>
    </cfRule>
  </conditionalFormatting>
  <conditionalFormatting sqref="CB37">
    <cfRule type="cellIs" dxfId="6595" priority="1074" operator="equal">
      <formula>"x"</formula>
    </cfRule>
  </conditionalFormatting>
  <conditionalFormatting sqref="BZ38">
    <cfRule type="cellIs" dxfId="6594" priority="1072" operator="equal">
      <formula>"x"</formula>
    </cfRule>
  </conditionalFormatting>
  <conditionalFormatting sqref="BX38">
    <cfRule type="cellIs" dxfId="6593" priority="1071" operator="equal">
      <formula>"x"</formula>
    </cfRule>
  </conditionalFormatting>
  <conditionalFormatting sqref="CB38">
    <cfRule type="cellIs" dxfId="6592" priority="1070" operator="equal">
      <formula>"x"</formula>
    </cfRule>
  </conditionalFormatting>
  <conditionalFormatting sqref="BZ39">
    <cfRule type="cellIs" dxfId="6591" priority="1069" operator="equal">
      <formula>"x"</formula>
    </cfRule>
  </conditionalFormatting>
  <conditionalFormatting sqref="BX39">
    <cfRule type="cellIs" dxfId="6590" priority="1068" operator="equal">
      <formula>"x"</formula>
    </cfRule>
  </conditionalFormatting>
  <conditionalFormatting sqref="CB39">
    <cfRule type="cellIs" dxfId="6589" priority="1067" operator="equal">
      <formula>"x"</formula>
    </cfRule>
  </conditionalFormatting>
  <conditionalFormatting sqref="BZ20">
    <cfRule type="cellIs" dxfId="6588" priority="1066" operator="equal">
      <formula>"x"</formula>
    </cfRule>
  </conditionalFormatting>
  <conditionalFormatting sqref="BX20">
    <cfRule type="cellIs" dxfId="6587" priority="1065" operator="equal">
      <formula>"x"</formula>
    </cfRule>
  </conditionalFormatting>
  <conditionalFormatting sqref="CB20">
    <cfRule type="cellIs" dxfId="6586" priority="1064" operator="equal">
      <formula>"x"</formula>
    </cfRule>
  </conditionalFormatting>
  <conditionalFormatting sqref="BZ21">
    <cfRule type="cellIs" dxfId="6585" priority="1063" operator="equal">
      <formula>"x"</formula>
    </cfRule>
  </conditionalFormatting>
  <conditionalFormatting sqref="BX21">
    <cfRule type="cellIs" dxfId="6584" priority="1062" operator="equal">
      <formula>"x"</formula>
    </cfRule>
  </conditionalFormatting>
  <conditionalFormatting sqref="CB21">
    <cfRule type="cellIs" dxfId="6583" priority="1061" operator="equal">
      <formula>"x"</formula>
    </cfRule>
  </conditionalFormatting>
  <conditionalFormatting sqref="BZ6:BZ7">
    <cfRule type="cellIs" dxfId="6582" priority="1060" operator="equal">
      <formula>"x"</formula>
    </cfRule>
  </conditionalFormatting>
  <conditionalFormatting sqref="BX6:BX7">
    <cfRule type="cellIs" dxfId="6581" priority="1059" operator="equal">
      <formula>"x"</formula>
    </cfRule>
  </conditionalFormatting>
  <conditionalFormatting sqref="CB6:CB7">
    <cfRule type="cellIs" dxfId="6580" priority="1058" operator="equal">
      <formula>"x"</formula>
    </cfRule>
  </conditionalFormatting>
  <conditionalFormatting sqref="BX5">
    <cfRule type="cellIs" dxfId="6579" priority="1057" operator="equal">
      <formula>"x"</formula>
    </cfRule>
  </conditionalFormatting>
  <conditionalFormatting sqref="BZ5">
    <cfRule type="cellIs" dxfId="6578" priority="1056" operator="equal">
      <formula>"x"</formula>
    </cfRule>
  </conditionalFormatting>
  <conditionalFormatting sqref="CB5">
    <cfRule type="cellIs" dxfId="6577" priority="1055" operator="equal">
      <formula>"x"</formula>
    </cfRule>
  </conditionalFormatting>
  <conditionalFormatting sqref="BX4">
    <cfRule type="cellIs" dxfId="6576" priority="1054" operator="equal">
      <formula>"x"</formula>
    </cfRule>
  </conditionalFormatting>
  <conditionalFormatting sqref="BZ4">
    <cfRule type="cellIs" dxfId="6575" priority="1053" operator="equal">
      <formula>"x"</formula>
    </cfRule>
  </conditionalFormatting>
  <conditionalFormatting sqref="CB4">
    <cfRule type="cellIs" dxfId="6574" priority="1052" operator="equal">
      <formula>"x"</formula>
    </cfRule>
  </conditionalFormatting>
  <conditionalFormatting sqref="CJ22">
    <cfRule type="cellIs" dxfId="6573" priority="1015" operator="notEqual">
      <formula>"x"</formula>
    </cfRule>
  </conditionalFormatting>
  <conditionalFormatting sqref="CF37">
    <cfRule type="cellIs" dxfId="6572" priority="1012" operator="notEqual">
      <formula>"x"</formula>
    </cfRule>
  </conditionalFormatting>
  <conditionalFormatting sqref="CH32:CH36 CH25:CH30 CH18:CH19 CH12:CH15 CH23">
    <cfRule type="cellIs" dxfId="6571" priority="1051" operator="equal">
      <formula>"x"</formula>
    </cfRule>
  </conditionalFormatting>
  <conditionalFormatting sqref="CF12:CF15 CF18:CF19 CF25:CF30 CF32:CF36 CF23">
    <cfRule type="cellIs" dxfId="6570" priority="1050" operator="equal">
      <formula>"x"</formula>
    </cfRule>
  </conditionalFormatting>
  <conditionalFormatting sqref="CF15 CF23 CF29:CF30 CF36">
    <cfRule type="cellIs" dxfId="6569" priority="1049" operator="notEqual">
      <formula>"x"</formula>
    </cfRule>
  </conditionalFormatting>
  <conditionalFormatting sqref="CH15 CH23 CH29:CH30 CH36">
    <cfRule type="cellIs" dxfId="6568" priority="1048" operator="notEqual">
      <formula>"x"</formula>
    </cfRule>
  </conditionalFormatting>
  <conditionalFormatting sqref="CJ32:CJ36 CJ25:CJ30 CJ18:CJ19 CJ12:CJ15 CJ23">
    <cfRule type="cellIs" dxfId="6567" priority="1047" operator="equal">
      <formula>"x"</formula>
    </cfRule>
  </conditionalFormatting>
  <conditionalFormatting sqref="CJ15 CJ23 CJ29:CJ30 CJ36">
    <cfRule type="cellIs" dxfId="6566" priority="1046" operator="notEqual">
      <formula>"x"</formula>
    </cfRule>
  </conditionalFormatting>
  <conditionalFormatting sqref="CH11">
    <cfRule type="cellIs" dxfId="6565" priority="1045" operator="equal">
      <formula>"x"</formula>
    </cfRule>
  </conditionalFormatting>
  <conditionalFormatting sqref="CF11">
    <cfRule type="cellIs" dxfId="6564" priority="1044" operator="equal">
      <formula>"x"</formula>
    </cfRule>
  </conditionalFormatting>
  <conditionalFormatting sqref="CJ11">
    <cfRule type="cellIs" dxfId="6563" priority="1043" operator="equal">
      <formula>"x"</formula>
    </cfRule>
  </conditionalFormatting>
  <conditionalFormatting sqref="CF10">
    <cfRule type="cellIs" dxfId="6562" priority="1042" operator="equal">
      <formula>"x"</formula>
    </cfRule>
  </conditionalFormatting>
  <conditionalFormatting sqref="CJ37">
    <cfRule type="cellIs" dxfId="6561" priority="1009" operator="notEqual">
      <formula>"x"</formula>
    </cfRule>
  </conditionalFormatting>
  <conditionalFormatting sqref="CF17">
    <cfRule type="cellIs" dxfId="6560" priority="1041" operator="equal">
      <formula>"x"</formula>
    </cfRule>
  </conditionalFormatting>
  <conditionalFormatting sqref="CF24">
    <cfRule type="cellIs" dxfId="6559" priority="1040" operator="equal">
      <formula>"x"</formula>
    </cfRule>
  </conditionalFormatting>
  <conditionalFormatting sqref="CF31">
    <cfRule type="cellIs" dxfId="6558" priority="1039" operator="equal">
      <formula>"x"</formula>
    </cfRule>
  </conditionalFormatting>
  <conditionalFormatting sqref="CH9">
    <cfRule type="cellIs" dxfId="6557" priority="1038" operator="equal">
      <formula>"x"</formula>
    </cfRule>
  </conditionalFormatting>
  <conditionalFormatting sqref="CF9">
    <cfRule type="cellIs" dxfId="6556" priority="1037" operator="equal">
      <formula>"x"</formula>
    </cfRule>
  </conditionalFormatting>
  <conditionalFormatting sqref="CF9">
    <cfRule type="cellIs" dxfId="6555" priority="1036" operator="notEqual">
      <formula>"x"</formula>
    </cfRule>
  </conditionalFormatting>
  <conditionalFormatting sqref="CH9">
    <cfRule type="cellIs" dxfId="6554" priority="1035" operator="notEqual">
      <formula>"x"</formula>
    </cfRule>
  </conditionalFormatting>
  <conditionalFormatting sqref="CJ9">
    <cfRule type="cellIs" dxfId="6553" priority="1034" operator="equal">
      <formula>"x"</formula>
    </cfRule>
  </conditionalFormatting>
  <conditionalFormatting sqref="CJ9">
    <cfRule type="cellIs" dxfId="6552" priority="1033" operator="notEqual">
      <formula>"x"</formula>
    </cfRule>
  </conditionalFormatting>
  <conditionalFormatting sqref="CH8">
    <cfRule type="cellIs" dxfId="6551" priority="1032" operator="equal">
      <formula>"x"</formula>
    </cfRule>
  </conditionalFormatting>
  <conditionalFormatting sqref="CF8">
    <cfRule type="cellIs" dxfId="6550" priority="1031" operator="equal">
      <formula>"x"</formula>
    </cfRule>
  </conditionalFormatting>
  <conditionalFormatting sqref="CF8">
    <cfRule type="cellIs" dxfId="6549" priority="1030" operator="notEqual">
      <formula>"x"</formula>
    </cfRule>
  </conditionalFormatting>
  <conditionalFormatting sqref="CH8">
    <cfRule type="cellIs" dxfId="6548" priority="1029" operator="notEqual">
      <formula>"x"</formula>
    </cfRule>
  </conditionalFormatting>
  <conditionalFormatting sqref="CJ8">
    <cfRule type="cellIs" dxfId="6547" priority="1028" operator="equal">
      <formula>"x"</formula>
    </cfRule>
  </conditionalFormatting>
  <conditionalFormatting sqref="CJ8">
    <cfRule type="cellIs" dxfId="6546" priority="1027" operator="notEqual">
      <formula>"x"</formula>
    </cfRule>
  </conditionalFormatting>
  <conditionalFormatting sqref="CH16">
    <cfRule type="cellIs" dxfId="6545" priority="1026" operator="equal">
      <formula>"x"</formula>
    </cfRule>
  </conditionalFormatting>
  <conditionalFormatting sqref="CF16">
    <cfRule type="cellIs" dxfId="6544" priority="1025" operator="equal">
      <formula>"x"</formula>
    </cfRule>
  </conditionalFormatting>
  <conditionalFormatting sqref="CF16">
    <cfRule type="cellIs" dxfId="6543" priority="1024" operator="notEqual">
      <formula>"x"</formula>
    </cfRule>
  </conditionalFormatting>
  <conditionalFormatting sqref="CH16">
    <cfRule type="cellIs" dxfId="6542" priority="1023" operator="notEqual">
      <formula>"x"</formula>
    </cfRule>
  </conditionalFormatting>
  <conditionalFormatting sqref="CJ16">
    <cfRule type="cellIs" dxfId="6541" priority="1022" operator="equal">
      <formula>"x"</formula>
    </cfRule>
  </conditionalFormatting>
  <conditionalFormatting sqref="CJ16">
    <cfRule type="cellIs" dxfId="6540" priority="1021" operator="notEqual">
      <formula>"x"</formula>
    </cfRule>
  </conditionalFormatting>
  <conditionalFormatting sqref="CH22">
    <cfRule type="cellIs" dxfId="6539" priority="1020" operator="equal">
      <formula>"x"</formula>
    </cfRule>
  </conditionalFormatting>
  <conditionalFormatting sqref="CF22">
    <cfRule type="cellIs" dxfId="6538" priority="1019" operator="equal">
      <formula>"x"</formula>
    </cfRule>
  </conditionalFormatting>
  <conditionalFormatting sqref="CF22">
    <cfRule type="cellIs" dxfId="6537" priority="1018" operator="notEqual">
      <formula>"x"</formula>
    </cfRule>
  </conditionalFormatting>
  <conditionalFormatting sqref="CH22">
    <cfRule type="cellIs" dxfId="6536" priority="1017" operator="notEqual">
      <formula>"x"</formula>
    </cfRule>
  </conditionalFormatting>
  <conditionalFormatting sqref="CJ22">
    <cfRule type="cellIs" dxfId="6535" priority="1016" operator="equal">
      <formula>"x"</formula>
    </cfRule>
  </conditionalFormatting>
  <conditionalFormatting sqref="CH37">
    <cfRule type="cellIs" dxfId="6534" priority="1014" operator="equal">
      <formula>"x"</formula>
    </cfRule>
  </conditionalFormatting>
  <conditionalFormatting sqref="CF37">
    <cfRule type="cellIs" dxfId="6533" priority="1013" operator="equal">
      <formula>"x"</formula>
    </cfRule>
  </conditionalFormatting>
  <conditionalFormatting sqref="CH37">
    <cfRule type="cellIs" dxfId="6532" priority="1011" operator="notEqual">
      <formula>"x"</formula>
    </cfRule>
  </conditionalFormatting>
  <conditionalFormatting sqref="CJ37">
    <cfRule type="cellIs" dxfId="6531" priority="1010" operator="equal">
      <formula>"x"</formula>
    </cfRule>
  </conditionalFormatting>
  <conditionalFormatting sqref="CF38">
    <cfRule type="cellIs" dxfId="6530" priority="1008" operator="equal">
      <formula>"x"</formula>
    </cfRule>
  </conditionalFormatting>
  <conditionalFormatting sqref="CH39">
    <cfRule type="cellIs" dxfId="6529" priority="1007" operator="equal">
      <formula>"x"</formula>
    </cfRule>
  </conditionalFormatting>
  <conditionalFormatting sqref="CF39">
    <cfRule type="cellIs" dxfId="6528" priority="1006" operator="equal">
      <formula>"x"</formula>
    </cfRule>
  </conditionalFormatting>
  <conditionalFormatting sqref="CJ39">
    <cfRule type="cellIs" dxfId="6527" priority="1005" operator="equal">
      <formula>"x"</formula>
    </cfRule>
  </conditionalFormatting>
  <conditionalFormatting sqref="CH20">
    <cfRule type="cellIs" dxfId="6526" priority="1004" operator="equal">
      <formula>"x"</formula>
    </cfRule>
  </conditionalFormatting>
  <conditionalFormatting sqref="CF20">
    <cfRule type="cellIs" dxfId="6525" priority="1003" operator="equal">
      <formula>"x"</formula>
    </cfRule>
  </conditionalFormatting>
  <conditionalFormatting sqref="CJ20">
    <cfRule type="cellIs" dxfId="6524" priority="1002" operator="equal">
      <formula>"x"</formula>
    </cfRule>
  </conditionalFormatting>
  <conditionalFormatting sqref="CH21">
    <cfRule type="cellIs" dxfId="6523" priority="1001" operator="equal">
      <formula>"x"</formula>
    </cfRule>
  </conditionalFormatting>
  <conditionalFormatting sqref="CF21">
    <cfRule type="cellIs" dxfId="6522" priority="1000" operator="equal">
      <formula>"x"</formula>
    </cfRule>
  </conditionalFormatting>
  <conditionalFormatting sqref="CJ21">
    <cfRule type="cellIs" dxfId="6521" priority="999" operator="equal">
      <formula>"x"</formula>
    </cfRule>
  </conditionalFormatting>
  <conditionalFormatting sqref="CH6:CH7">
    <cfRule type="cellIs" dxfId="6520" priority="998" operator="equal">
      <formula>"x"</formula>
    </cfRule>
  </conditionalFormatting>
  <conditionalFormatting sqref="CF6:CF7">
    <cfRule type="cellIs" dxfId="6519" priority="997" operator="equal">
      <formula>"x"</formula>
    </cfRule>
  </conditionalFormatting>
  <conditionalFormatting sqref="CJ6:CJ7">
    <cfRule type="cellIs" dxfId="6518" priority="996" operator="equal">
      <formula>"x"</formula>
    </cfRule>
  </conditionalFormatting>
  <conditionalFormatting sqref="CF5">
    <cfRule type="cellIs" dxfId="6517" priority="995" operator="equal">
      <formula>"x"</formula>
    </cfRule>
  </conditionalFormatting>
  <conditionalFormatting sqref="CH5">
    <cfRule type="cellIs" dxfId="6516" priority="994" operator="equal">
      <formula>"x"</formula>
    </cfRule>
  </conditionalFormatting>
  <conditionalFormatting sqref="CJ5">
    <cfRule type="cellIs" dxfId="6515" priority="993" operator="equal">
      <formula>"x"</formula>
    </cfRule>
  </conditionalFormatting>
  <conditionalFormatting sqref="CF4">
    <cfRule type="cellIs" dxfId="6514" priority="992" operator="equal">
      <formula>"x"</formula>
    </cfRule>
  </conditionalFormatting>
  <conditionalFormatting sqref="CH4">
    <cfRule type="cellIs" dxfId="6513" priority="991" operator="equal">
      <formula>"x"</formula>
    </cfRule>
  </conditionalFormatting>
  <conditionalFormatting sqref="CJ4">
    <cfRule type="cellIs" dxfId="6512" priority="990" operator="equal">
      <formula>"x"</formula>
    </cfRule>
  </conditionalFormatting>
  <conditionalFormatting sqref="CR22">
    <cfRule type="cellIs" dxfId="6511" priority="950" operator="notEqual">
      <formula>"x"</formula>
    </cfRule>
  </conditionalFormatting>
  <conditionalFormatting sqref="CN37">
    <cfRule type="cellIs" dxfId="6510" priority="947" operator="notEqual">
      <formula>"x"</formula>
    </cfRule>
  </conditionalFormatting>
  <conditionalFormatting sqref="CP32:CP36 CP25:CP30 CP18:CP19 CP12:CP15 CP23">
    <cfRule type="cellIs" dxfId="6509" priority="989" operator="equal">
      <formula>"x"</formula>
    </cfRule>
  </conditionalFormatting>
  <conditionalFormatting sqref="CN12:CN15 CN18:CN19 CN25:CN30 CN32:CN36 CN23">
    <cfRule type="cellIs" dxfId="6508" priority="988" operator="equal">
      <formula>"x"</formula>
    </cfRule>
  </conditionalFormatting>
  <conditionalFormatting sqref="CN15 CN23 CN29:CN30 CN36">
    <cfRule type="cellIs" dxfId="6507" priority="987" operator="notEqual">
      <formula>"x"</formula>
    </cfRule>
  </conditionalFormatting>
  <conditionalFormatting sqref="CP15 CP23 CP29:CP30 CP36">
    <cfRule type="cellIs" dxfId="6506" priority="986" operator="notEqual">
      <formula>"x"</formula>
    </cfRule>
  </conditionalFormatting>
  <conditionalFormatting sqref="CR32:CR36 CR25:CR30 CR18:CR19 CR12:CR15 CR23">
    <cfRule type="cellIs" dxfId="6505" priority="985" operator="equal">
      <formula>"x"</formula>
    </cfRule>
  </conditionalFormatting>
  <conditionalFormatting sqref="CR15 CR23 CR29:CR30 CR36">
    <cfRule type="cellIs" dxfId="6504" priority="984" operator="notEqual">
      <formula>"x"</formula>
    </cfRule>
  </conditionalFormatting>
  <conditionalFormatting sqref="CP11">
    <cfRule type="cellIs" dxfId="6503" priority="983" operator="equal">
      <formula>"x"</formula>
    </cfRule>
  </conditionalFormatting>
  <conditionalFormatting sqref="CN11">
    <cfRule type="cellIs" dxfId="6502" priority="982" operator="equal">
      <formula>"x"</formula>
    </cfRule>
  </conditionalFormatting>
  <conditionalFormatting sqref="CR11">
    <cfRule type="cellIs" dxfId="6501" priority="981" operator="equal">
      <formula>"x"</formula>
    </cfRule>
  </conditionalFormatting>
  <conditionalFormatting sqref="CN10">
    <cfRule type="cellIs" dxfId="6500" priority="980" operator="equal">
      <formula>"x"</formula>
    </cfRule>
  </conditionalFormatting>
  <conditionalFormatting sqref="CR37">
    <cfRule type="cellIs" dxfId="6499" priority="944" operator="notEqual">
      <formula>"x"</formula>
    </cfRule>
  </conditionalFormatting>
  <conditionalFormatting sqref="CN17">
    <cfRule type="cellIs" dxfId="6498" priority="979" operator="equal">
      <formula>"x"</formula>
    </cfRule>
  </conditionalFormatting>
  <conditionalFormatting sqref="CO24">
    <cfRule type="cellIs" dxfId="6497" priority="978" operator="equal">
      <formula>"x"</formula>
    </cfRule>
  </conditionalFormatting>
  <conditionalFormatting sqref="CN24">
    <cfRule type="cellIs" dxfId="6496" priority="977" operator="equal">
      <formula>"x"</formula>
    </cfRule>
  </conditionalFormatting>
  <conditionalFormatting sqref="CP31">
    <cfRule type="cellIs" dxfId="6495" priority="976" operator="equal">
      <formula>"x"</formula>
    </cfRule>
  </conditionalFormatting>
  <conditionalFormatting sqref="CN31">
    <cfRule type="cellIs" dxfId="6494" priority="975" operator="equal">
      <formula>"x"</formula>
    </cfRule>
  </conditionalFormatting>
  <conditionalFormatting sqref="CR31">
    <cfRule type="cellIs" dxfId="6493" priority="974" operator="equal">
      <formula>"x"</formula>
    </cfRule>
  </conditionalFormatting>
  <conditionalFormatting sqref="CP9">
    <cfRule type="cellIs" dxfId="6492" priority="973" operator="equal">
      <formula>"x"</formula>
    </cfRule>
  </conditionalFormatting>
  <conditionalFormatting sqref="CN9">
    <cfRule type="cellIs" dxfId="6491" priority="972" operator="equal">
      <formula>"x"</formula>
    </cfRule>
  </conditionalFormatting>
  <conditionalFormatting sqref="CN9">
    <cfRule type="cellIs" dxfId="6490" priority="971" operator="notEqual">
      <formula>"x"</formula>
    </cfRule>
  </conditionalFormatting>
  <conditionalFormatting sqref="CP9">
    <cfRule type="cellIs" dxfId="6489" priority="970" operator="notEqual">
      <formula>"x"</formula>
    </cfRule>
  </conditionalFormatting>
  <conditionalFormatting sqref="CR9">
    <cfRule type="cellIs" dxfId="6488" priority="969" operator="equal">
      <formula>"x"</formula>
    </cfRule>
  </conditionalFormatting>
  <conditionalFormatting sqref="CR9">
    <cfRule type="cellIs" dxfId="6487" priority="968" operator="notEqual">
      <formula>"x"</formula>
    </cfRule>
  </conditionalFormatting>
  <conditionalFormatting sqref="CP8">
    <cfRule type="cellIs" dxfId="6486" priority="967" operator="equal">
      <formula>"x"</formula>
    </cfRule>
  </conditionalFormatting>
  <conditionalFormatting sqref="CN8">
    <cfRule type="cellIs" dxfId="6485" priority="966" operator="equal">
      <formula>"x"</formula>
    </cfRule>
  </conditionalFormatting>
  <conditionalFormatting sqref="CN8">
    <cfRule type="cellIs" dxfId="6484" priority="965" operator="notEqual">
      <formula>"x"</formula>
    </cfRule>
  </conditionalFormatting>
  <conditionalFormatting sqref="CP8">
    <cfRule type="cellIs" dxfId="6483" priority="964" operator="notEqual">
      <formula>"x"</formula>
    </cfRule>
  </conditionalFormatting>
  <conditionalFormatting sqref="CR8">
    <cfRule type="cellIs" dxfId="6482" priority="963" operator="equal">
      <formula>"x"</formula>
    </cfRule>
  </conditionalFormatting>
  <conditionalFormatting sqref="CR8">
    <cfRule type="cellIs" dxfId="6481" priority="962" operator="notEqual">
      <formula>"x"</formula>
    </cfRule>
  </conditionalFormatting>
  <conditionalFormatting sqref="CP16">
    <cfRule type="cellIs" dxfId="6480" priority="961" operator="equal">
      <formula>"x"</formula>
    </cfRule>
  </conditionalFormatting>
  <conditionalFormatting sqref="CN16">
    <cfRule type="cellIs" dxfId="6479" priority="960" operator="equal">
      <formula>"x"</formula>
    </cfRule>
  </conditionalFormatting>
  <conditionalFormatting sqref="CN16">
    <cfRule type="cellIs" dxfId="6478" priority="959" operator="notEqual">
      <formula>"x"</formula>
    </cfRule>
  </conditionalFormatting>
  <conditionalFormatting sqref="CP16">
    <cfRule type="cellIs" dxfId="6477" priority="958" operator="notEqual">
      <formula>"x"</formula>
    </cfRule>
  </conditionalFormatting>
  <conditionalFormatting sqref="CR16">
    <cfRule type="cellIs" dxfId="6476" priority="957" operator="equal">
      <formula>"x"</formula>
    </cfRule>
  </conditionalFormatting>
  <conditionalFormatting sqref="CR16">
    <cfRule type="cellIs" dxfId="6475" priority="956" operator="notEqual">
      <formula>"x"</formula>
    </cfRule>
  </conditionalFormatting>
  <conditionalFormatting sqref="CP22">
    <cfRule type="cellIs" dxfId="6474" priority="955" operator="equal">
      <formula>"x"</formula>
    </cfRule>
  </conditionalFormatting>
  <conditionalFormatting sqref="CN22">
    <cfRule type="cellIs" dxfId="6473" priority="954" operator="equal">
      <formula>"x"</formula>
    </cfRule>
  </conditionalFormatting>
  <conditionalFormatting sqref="CN22">
    <cfRule type="cellIs" dxfId="6472" priority="953" operator="notEqual">
      <formula>"x"</formula>
    </cfRule>
  </conditionalFormatting>
  <conditionalFormatting sqref="CP22">
    <cfRule type="cellIs" dxfId="6471" priority="952" operator="notEqual">
      <formula>"x"</formula>
    </cfRule>
  </conditionalFormatting>
  <conditionalFormatting sqref="CR22">
    <cfRule type="cellIs" dxfId="6470" priority="951" operator="equal">
      <formula>"x"</formula>
    </cfRule>
  </conditionalFormatting>
  <conditionalFormatting sqref="CP37">
    <cfRule type="cellIs" dxfId="6469" priority="949" operator="equal">
      <formula>"x"</formula>
    </cfRule>
  </conditionalFormatting>
  <conditionalFormatting sqref="CN37">
    <cfRule type="cellIs" dxfId="6468" priority="948" operator="equal">
      <formula>"x"</formula>
    </cfRule>
  </conditionalFormatting>
  <conditionalFormatting sqref="CP37">
    <cfRule type="cellIs" dxfId="6467" priority="946" operator="notEqual">
      <formula>"x"</formula>
    </cfRule>
  </conditionalFormatting>
  <conditionalFormatting sqref="CR37">
    <cfRule type="cellIs" dxfId="6466" priority="945" operator="equal">
      <formula>"x"</formula>
    </cfRule>
  </conditionalFormatting>
  <conditionalFormatting sqref="CP38">
    <cfRule type="cellIs" dxfId="6465" priority="943" operator="equal">
      <formula>"x"</formula>
    </cfRule>
  </conditionalFormatting>
  <conditionalFormatting sqref="CN38">
    <cfRule type="cellIs" dxfId="6464" priority="942" operator="equal">
      <formula>"x"</formula>
    </cfRule>
  </conditionalFormatting>
  <conditionalFormatting sqref="CR38">
    <cfRule type="cellIs" dxfId="6463" priority="941" operator="equal">
      <formula>"x"</formula>
    </cfRule>
  </conditionalFormatting>
  <conditionalFormatting sqref="CP39">
    <cfRule type="cellIs" dxfId="6462" priority="940" operator="equal">
      <formula>"x"</formula>
    </cfRule>
  </conditionalFormatting>
  <conditionalFormatting sqref="CN39">
    <cfRule type="cellIs" dxfId="6461" priority="939" operator="equal">
      <formula>"x"</formula>
    </cfRule>
  </conditionalFormatting>
  <conditionalFormatting sqref="CR39">
    <cfRule type="cellIs" dxfId="6460" priority="938" operator="equal">
      <formula>"x"</formula>
    </cfRule>
  </conditionalFormatting>
  <conditionalFormatting sqref="CP20">
    <cfRule type="cellIs" dxfId="6459" priority="937" operator="equal">
      <formula>"x"</formula>
    </cfRule>
  </conditionalFormatting>
  <conditionalFormatting sqref="CN20">
    <cfRule type="cellIs" dxfId="6458" priority="936" operator="equal">
      <formula>"x"</formula>
    </cfRule>
  </conditionalFormatting>
  <conditionalFormatting sqref="CR20">
    <cfRule type="cellIs" dxfId="6457" priority="935" operator="equal">
      <formula>"x"</formula>
    </cfRule>
  </conditionalFormatting>
  <conditionalFormatting sqref="CP21">
    <cfRule type="cellIs" dxfId="6456" priority="934" operator="equal">
      <formula>"x"</formula>
    </cfRule>
  </conditionalFormatting>
  <conditionalFormatting sqref="CN21">
    <cfRule type="cellIs" dxfId="6455" priority="933" operator="equal">
      <formula>"x"</formula>
    </cfRule>
  </conditionalFormatting>
  <conditionalFormatting sqref="CR21">
    <cfRule type="cellIs" dxfId="6454" priority="932" operator="equal">
      <formula>"x"</formula>
    </cfRule>
  </conditionalFormatting>
  <conditionalFormatting sqref="CP6:CP7">
    <cfRule type="cellIs" dxfId="6453" priority="931" operator="equal">
      <formula>"x"</formula>
    </cfRule>
  </conditionalFormatting>
  <conditionalFormatting sqref="CN6:CN7">
    <cfRule type="cellIs" dxfId="6452" priority="930" operator="equal">
      <formula>"x"</formula>
    </cfRule>
  </conditionalFormatting>
  <conditionalFormatting sqref="CR6:CR7">
    <cfRule type="cellIs" dxfId="6451" priority="929" operator="equal">
      <formula>"x"</formula>
    </cfRule>
  </conditionalFormatting>
  <conditionalFormatting sqref="CN5">
    <cfRule type="cellIs" dxfId="6450" priority="928" operator="equal">
      <formula>"x"</formula>
    </cfRule>
  </conditionalFormatting>
  <conditionalFormatting sqref="CP5">
    <cfRule type="cellIs" dxfId="6449" priority="927" operator="equal">
      <formula>"x"</formula>
    </cfRule>
  </conditionalFormatting>
  <conditionalFormatting sqref="CR5">
    <cfRule type="cellIs" dxfId="6448" priority="926" operator="equal">
      <formula>"x"</formula>
    </cfRule>
  </conditionalFormatting>
  <conditionalFormatting sqref="CN4">
    <cfRule type="cellIs" dxfId="6447" priority="924" operator="equal">
      <formula>"x"</formula>
    </cfRule>
  </conditionalFormatting>
  <conditionalFormatting sqref="D31">
    <cfRule type="cellIs" dxfId="6446" priority="925" operator="equal">
      <formula>"x"</formula>
    </cfRule>
  </conditionalFormatting>
  <conditionalFormatting sqref="CP4">
    <cfRule type="cellIs" dxfId="6445" priority="923" operator="equal">
      <formula>"x"</formula>
    </cfRule>
  </conditionalFormatting>
  <conditionalFormatting sqref="CR4">
    <cfRule type="cellIs" dxfId="6444" priority="922" operator="equal">
      <formula>"x"</formula>
    </cfRule>
  </conditionalFormatting>
  <conditionalFormatting sqref="N14">
    <cfRule type="cellIs" dxfId="6443" priority="921" operator="notEqual">
      <formula>"x"</formula>
    </cfRule>
  </conditionalFormatting>
  <conditionalFormatting sqref="N13">
    <cfRule type="cellIs" dxfId="6442" priority="920" operator="notEqual">
      <formula>"x"</formula>
    </cfRule>
  </conditionalFormatting>
  <conditionalFormatting sqref="N12">
    <cfRule type="cellIs" dxfId="6441" priority="919" operator="notEqual">
      <formula>"x"</formula>
    </cfRule>
  </conditionalFormatting>
  <conditionalFormatting sqref="N11">
    <cfRule type="cellIs" dxfId="6440" priority="918" operator="equal">
      <formula>"x"</formula>
    </cfRule>
  </conditionalFormatting>
  <conditionalFormatting sqref="N11">
    <cfRule type="cellIs" dxfId="6439" priority="917" operator="notEqual">
      <formula>"x"</formula>
    </cfRule>
  </conditionalFormatting>
  <conditionalFormatting sqref="F32">
    <cfRule type="cellIs" dxfId="6438" priority="916" operator="equal">
      <formula>"x"</formula>
    </cfRule>
  </conditionalFormatting>
  <conditionalFormatting sqref="F33">
    <cfRule type="cellIs" dxfId="6437" priority="915" operator="equal">
      <formula>"x"</formula>
    </cfRule>
  </conditionalFormatting>
  <conditionalFormatting sqref="F34">
    <cfRule type="cellIs" dxfId="6436" priority="914" operator="equal">
      <formula>"x"</formula>
    </cfRule>
  </conditionalFormatting>
  <conditionalFormatting sqref="F35">
    <cfRule type="cellIs" dxfId="6435" priority="913" operator="equal">
      <formula>"x"</formula>
    </cfRule>
  </conditionalFormatting>
  <conditionalFormatting sqref="L10">
    <cfRule type="cellIs" dxfId="6434" priority="912" operator="equal">
      <formula>"x"</formula>
    </cfRule>
  </conditionalFormatting>
  <conditionalFormatting sqref="P10">
    <cfRule type="cellIs" dxfId="6433" priority="911" operator="equal">
      <formula>"x"</formula>
    </cfRule>
  </conditionalFormatting>
  <conditionalFormatting sqref="N10">
    <cfRule type="cellIs" dxfId="6432" priority="910" operator="equal">
      <formula>"x"</formula>
    </cfRule>
  </conditionalFormatting>
  <conditionalFormatting sqref="N10">
    <cfRule type="cellIs" dxfId="6431" priority="909" operator="notEqual">
      <formula>"x"</formula>
    </cfRule>
  </conditionalFormatting>
  <conditionalFormatting sqref="C6">
    <cfRule type="expression" dxfId="6430" priority="907">
      <formula>OR($A6="Sa",$A6="So")</formula>
    </cfRule>
    <cfRule type="expression" dxfId="6429" priority="908">
      <formula>AND(B6&gt;0,INDIRECT("Basistabelle!G" &amp; ($A$1+C$1+B6))&lt;="",INDIRECT("Basistabelle!H" &amp; ($A$1+C$1+B6))&gt;"")</formula>
    </cfRule>
  </conditionalFormatting>
  <conditionalFormatting sqref="C7">
    <cfRule type="expression" dxfId="6428" priority="905">
      <formula>OR($A7="Sa",$A7="So")</formula>
    </cfRule>
    <cfRule type="expression" dxfId="6427" priority="906">
      <formula>AND(B7&gt;0,INDIRECT("Basistabelle!G" &amp; ($A$1+C$1+B7))&lt;="",INDIRECT("Basistabelle!H" &amp; ($A$1+C$1+B7))&gt;"")</formula>
    </cfRule>
  </conditionalFormatting>
  <conditionalFormatting sqref="C8">
    <cfRule type="expression" dxfId="6426" priority="903">
      <formula>OR($A8="Sa",$A8="So")</formula>
    </cfRule>
    <cfRule type="expression" dxfId="6425" priority="904">
      <formula>AND(B8&gt;0,INDIRECT("Basistabelle!G" &amp; ($A$1+C$1+B8))&lt;="",INDIRECT("Basistabelle!H" &amp; ($A$1+C$1+B8))&gt;"")</formula>
    </cfRule>
  </conditionalFormatting>
  <conditionalFormatting sqref="C9">
    <cfRule type="expression" dxfId="6424" priority="901">
      <formula>OR($A9="Sa",$A9="So")</formula>
    </cfRule>
    <cfRule type="expression" dxfId="6423" priority="902">
      <formula>AND(B9&gt;0,INDIRECT("Basistabelle!G" &amp; ($A$1+C$1+B9))&lt;="",INDIRECT("Basistabelle!H" &amp; ($A$1+C$1+B9))&gt;"")</formula>
    </cfRule>
  </conditionalFormatting>
  <conditionalFormatting sqref="C10">
    <cfRule type="expression" dxfId="6422" priority="899">
      <formula>OR($A10="Sa",$A10="So")</formula>
    </cfRule>
    <cfRule type="expression" dxfId="6421" priority="900">
      <formula>AND(B10&gt;0,INDIRECT("Basistabelle!G" &amp; ($A$1+C$1+B10))&lt;="",INDIRECT("Basistabelle!H" &amp; ($A$1+C$1+B10))&gt;"")</formula>
    </cfRule>
  </conditionalFormatting>
  <conditionalFormatting sqref="C11">
    <cfRule type="expression" dxfId="6420" priority="897">
      <formula>OR($A11="Sa",$A11="So")</formula>
    </cfRule>
    <cfRule type="expression" dxfId="6419" priority="898">
      <formula>AND(B11&gt;0,INDIRECT("Basistabelle!G" &amp; ($A$1+C$1+B11))&lt;="",INDIRECT("Basistabelle!H" &amp; ($A$1+C$1+B11))&gt;"")</formula>
    </cfRule>
  </conditionalFormatting>
  <conditionalFormatting sqref="C12">
    <cfRule type="expression" dxfId="6418" priority="895">
      <formula>OR($A12="Sa",$A12="So")</formula>
    </cfRule>
    <cfRule type="expression" dxfId="6417" priority="896">
      <formula>AND(B12&gt;0,INDIRECT("Basistabelle!G" &amp; ($A$1+C$1+B12))&lt;="",INDIRECT("Basistabelle!H" &amp; ($A$1+C$1+B12))&gt;"")</formula>
    </cfRule>
  </conditionalFormatting>
  <conditionalFormatting sqref="C13">
    <cfRule type="expression" dxfId="6416" priority="893">
      <formula>OR($A13="Sa",$A13="So")</formula>
    </cfRule>
    <cfRule type="expression" dxfId="6415" priority="894">
      <formula>AND(B13&gt;0,INDIRECT("Basistabelle!G" &amp; ($A$1+C$1+B13))&lt;="",INDIRECT("Basistabelle!H" &amp; ($A$1+C$1+B13))&gt;"")</formula>
    </cfRule>
  </conditionalFormatting>
  <conditionalFormatting sqref="C14">
    <cfRule type="expression" dxfId="6414" priority="891">
      <formula>OR($A14="Sa",$A14="So")</formula>
    </cfRule>
    <cfRule type="expression" dxfId="6413" priority="892">
      <formula>AND(B14&gt;0,INDIRECT("Basistabelle!G" &amp; ($A$1+C$1+B14))&lt;="",INDIRECT("Basistabelle!H" &amp; ($A$1+C$1+B14))&gt;"")</formula>
    </cfRule>
  </conditionalFormatting>
  <conditionalFormatting sqref="C15">
    <cfRule type="expression" dxfId="6412" priority="889">
      <formula>OR($A15="Sa",$A15="So")</formula>
    </cfRule>
    <cfRule type="expression" dxfId="6411" priority="890">
      <formula>AND(B15&gt;0,INDIRECT("Basistabelle!G" &amp; ($A$1+C$1+B15))&lt;="",INDIRECT("Basistabelle!H" &amp; ($A$1+C$1+B15))&gt;"")</formula>
    </cfRule>
  </conditionalFormatting>
  <conditionalFormatting sqref="C16">
    <cfRule type="expression" dxfId="6410" priority="887">
      <formula>OR($A16="Sa",$A16="So")</formula>
    </cfRule>
    <cfRule type="expression" dxfId="6409" priority="888">
      <formula>AND(B16&gt;0,INDIRECT("Basistabelle!G" &amp; ($A$1+C$1+B16))&lt;="",INDIRECT("Basistabelle!H" &amp; ($A$1+C$1+B16))&gt;"")</formula>
    </cfRule>
  </conditionalFormatting>
  <conditionalFormatting sqref="C17">
    <cfRule type="expression" dxfId="6408" priority="885">
      <formula>OR($A17="Sa",$A17="So")</formula>
    </cfRule>
    <cfRule type="expression" dxfId="6407" priority="886">
      <formula>AND(B17&gt;0,INDIRECT("Basistabelle!G" &amp; ($A$1+C$1+B17))&lt;="",INDIRECT("Basistabelle!H" &amp; ($A$1+C$1+B17))&gt;"")</formula>
    </cfRule>
  </conditionalFormatting>
  <conditionalFormatting sqref="C18">
    <cfRule type="expression" dxfId="6406" priority="883">
      <formula>OR($A18="Sa",$A18="So")</formula>
    </cfRule>
    <cfRule type="expression" dxfId="6405" priority="884">
      <formula>AND(B18&gt;0,INDIRECT("Basistabelle!G" &amp; ($A$1+C$1+B18))&lt;="",INDIRECT("Basistabelle!H" &amp; ($A$1+C$1+B18))&gt;"")</formula>
    </cfRule>
  </conditionalFormatting>
  <conditionalFormatting sqref="C19">
    <cfRule type="expression" dxfId="6404" priority="881">
      <formula>OR($A19="Sa",$A19="So")</formula>
    </cfRule>
    <cfRule type="expression" dxfId="6403" priority="882">
      <formula>AND(B19&gt;0,INDIRECT("Basistabelle!G" &amp; ($A$1+C$1+B19))&lt;="",INDIRECT("Basistabelle!H" &amp; ($A$1+C$1+B19))&gt;"")</formula>
    </cfRule>
  </conditionalFormatting>
  <conditionalFormatting sqref="C20">
    <cfRule type="expression" dxfId="6402" priority="879">
      <formula>OR($A20="Sa",$A20="So")</formula>
    </cfRule>
    <cfRule type="expression" dxfId="6401" priority="880">
      <formula>AND(B20&gt;0,INDIRECT("Basistabelle!G" &amp; ($A$1+C$1+B20))&lt;="",INDIRECT("Basistabelle!H" &amp; ($A$1+C$1+B20))&gt;"")</formula>
    </cfRule>
  </conditionalFormatting>
  <conditionalFormatting sqref="C21">
    <cfRule type="expression" dxfId="6400" priority="877">
      <formula>OR($A21="Sa",$A21="So")</formula>
    </cfRule>
    <cfRule type="expression" dxfId="6399" priority="878">
      <formula>AND(B21&gt;0,INDIRECT("Basistabelle!G" &amp; ($A$1+C$1+B21))&lt;="",INDIRECT("Basistabelle!H" &amp; ($A$1+C$1+B21))&gt;"")</formula>
    </cfRule>
  </conditionalFormatting>
  <conditionalFormatting sqref="C22">
    <cfRule type="expression" dxfId="6398" priority="875">
      <formula>OR($A22="Sa",$A22="So")</formula>
    </cfRule>
    <cfRule type="expression" dxfId="6397" priority="876">
      <formula>AND(B22&gt;0,INDIRECT("Basistabelle!G" &amp; ($A$1+C$1+B22))&lt;="",INDIRECT("Basistabelle!H" &amp; ($A$1+C$1+B22))&gt;"")</formula>
    </cfRule>
  </conditionalFormatting>
  <conditionalFormatting sqref="C23">
    <cfRule type="expression" dxfId="6396" priority="873">
      <formula>OR($A23="Sa",$A23="So")</formula>
    </cfRule>
    <cfRule type="expression" dxfId="6395" priority="874">
      <formula>AND(B23&gt;0,INDIRECT("Basistabelle!G" &amp; ($A$1+C$1+B23))&lt;="",INDIRECT("Basistabelle!H" &amp; ($A$1+C$1+B23))&gt;"")</formula>
    </cfRule>
  </conditionalFormatting>
  <conditionalFormatting sqref="C24">
    <cfRule type="expression" dxfId="6394" priority="871">
      <formula>OR($A24="Sa",$A24="So")</formula>
    </cfRule>
    <cfRule type="expression" dxfId="6393" priority="872">
      <formula>AND(B24&gt;0,INDIRECT("Basistabelle!G" &amp; ($A$1+C$1+B24))&lt;="",INDIRECT("Basistabelle!H" &amp; ($A$1+C$1+B24))&gt;"")</formula>
    </cfRule>
  </conditionalFormatting>
  <conditionalFormatting sqref="C25">
    <cfRule type="expression" dxfId="6392" priority="869">
      <formula>OR($A25="Sa",$A25="So")</formula>
    </cfRule>
    <cfRule type="expression" dxfId="6391" priority="870">
      <formula>AND(B25&gt;0,INDIRECT("Basistabelle!G" &amp; ($A$1+C$1+B25))&lt;="",INDIRECT("Basistabelle!H" &amp; ($A$1+C$1+B25))&gt;"")</formula>
    </cfRule>
  </conditionalFormatting>
  <conditionalFormatting sqref="C26">
    <cfRule type="expression" dxfId="6390" priority="867">
      <formula>OR($A26="Sa",$A26="So")</formula>
    </cfRule>
    <cfRule type="expression" dxfId="6389" priority="868">
      <formula>AND(B26&gt;0,INDIRECT("Basistabelle!G" &amp; ($A$1+C$1+B26))&lt;="",INDIRECT("Basistabelle!H" &amp; ($A$1+C$1+B26))&gt;"")</formula>
    </cfRule>
  </conditionalFormatting>
  <conditionalFormatting sqref="C28">
    <cfRule type="expression" dxfId="6388" priority="865">
      <formula>OR($A28="Sa",$A28="So")</formula>
    </cfRule>
    <cfRule type="expression" dxfId="6387" priority="866">
      <formula>AND(B28&gt;0,INDIRECT("Basistabelle!G" &amp; ($A$1+C$1+B28))&lt;="",INDIRECT("Basistabelle!H" &amp; ($A$1+C$1+B28))&gt;"")</formula>
    </cfRule>
  </conditionalFormatting>
  <conditionalFormatting sqref="C29">
    <cfRule type="expression" dxfId="6386" priority="863">
      <formula>OR($A29="Sa",$A29="So")</formula>
    </cfRule>
    <cfRule type="expression" dxfId="6385" priority="864">
      <formula>AND(B29&gt;0,INDIRECT("Basistabelle!G" &amp; ($A$1+C$1+B29))&lt;="",INDIRECT("Basistabelle!H" &amp; ($A$1+C$1+B29))&gt;"")</formula>
    </cfRule>
  </conditionalFormatting>
  <conditionalFormatting sqref="C30">
    <cfRule type="expression" dxfId="6384" priority="861">
      <formula>OR($A30="Sa",$A30="So")</formula>
    </cfRule>
    <cfRule type="expression" dxfId="6383" priority="862">
      <formula>AND(B30&gt;0,INDIRECT("Basistabelle!G" &amp; ($A$1+C$1+B30))&lt;="",INDIRECT("Basistabelle!H" &amp; ($A$1+C$1+B30))&gt;"")</formula>
    </cfRule>
  </conditionalFormatting>
  <conditionalFormatting sqref="C31">
    <cfRule type="expression" dxfId="6382" priority="859">
      <formula>OR($A31="Sa",$A31="So")</formula>
    </cfRule>
    <cfRule type="expression" dxfId="6381" priority="860">
      <formula>AND(B31&gt;0,INDIRECT("Basistabelle!G" &amp; ($A$1+C$1+B31))&lt;="",INDIRECT("Basistabelle!H" &amp; ($A$1+C$1+B31))&gt;"")</formula>
    </cfRule>
  </conditionalFormatting>
  <conditionalFormatting sqref="C32">
    <cfRule type="expression" dxfId="6380" priority="857">
      <formula>OR($A32="Sa",$A32="So")</formula>
    </cfRule>
    <cfRule type="expression" dxfId="6379" priority="858">
      <formula>AND(B32&gt;0,INDIRECT("Basistabelle!G" &amp; ($A$1+C$1+B32))&lt;="",INDIRECT("Basistabelle!H" &amp; ($A$1+C$1+B32))&gt;"")</formula>
    </cfRule>
  </conditionalFormatting>
  <conditionalFormatting sqref="C33">
    <cfRule type="expression" dxfId="6378" priority="855">
      <formula>OR($A33="Sa",$A33="So")</formula>
    </cfRule>
    <cfRule type="expression" dxfId="6377" priority="856">
      <formula>AND(B33&gt;0,INDIRECT("Basistabelle!G" &amp; ($A$1+C$1+B33))&lt;="",INDIRECT("Basistabelle!H" &amp; ($A$1+C$1+B33))&gt;"")</formula>
    </cfRule>
  </conditionalFormatting>
  <conditionalFormatting sqref="C34">
    <cfRule type="expression" dxfId="6376" priority="853">
      <formula>OR($A34="Sa",$A34="So")</formula>
    </cfRule>
    <cfRule type="expression" dxfId="6375" priority="854">
      <formula>AND(B34&gt;0,INDIRECT("Basistabelle!G" &amp; ($A$1+C$1+B34))&lt;="",INDIRECT("Basistabelle!H" &amp; ($A$1+C$1+B34))&gt;"")</formula>
    </cfRule>
  </conditionalFormatting>
  <conditionalFormatting sqref="C35">
    <cfRule type="expression" dxfId="6374" priority="851">
      <formula>OR($A35="Sa",$A35="So")</formula>
    </cfRule>
    <cfRule type="expression" dxfId="6373" priority="852">
      <formula>AND(B35&gt;0,INDIRECT("Basistabelle!G" &amp; ($A$1+C$1+B35))&lt;="",INDIRECT("Basistabelle!H" &amp; ($A$1+C$1+B35))&gt;"")</formula>
    </cfRule>
  </conditionalFormatting>
  <conditionalFormatting sqref="C38">
    <cfRule type="expression" dxfId="6372" priority="847">
      <formula>OR($A38="Sa",$A38="So")</formula>
    </cfRule>
    <cfRule type="expression" dxfId="6371" priority="848">
      <formula>AND(B38&gt;0,INDIRECT("Basistabelle!G" &amp; ($A$1+C$1+B38))&lt;="",INDIRECT("Basistabelle!H" &amp; ($A$1+C$1+B38))&gt;"")</formula>
    </cfRule>
  </conditionalFormatting>
  <conditionalFormatting sqref="C37">
    <cfRule type="expression" dxfId="6370" priority="849">
      <formula>OR($A37="Sa",$A37="So")</formula>
    </cfRule>
    <cfRule type="expression" dxfId="6369" priority="850">
      <formula>AND(B37&gt;0,INDIRECT("Basistabelle!G" &amp; ($A$1+C$1+B37))&lt;="",INDIRECT("Basistabelle!H" &amp; ($A$1+C$1+B37))&gt;"")</formula>
    </cfRule>
  </conditionalFormatting>
  <conditionalFormatting sqref="C39">
    <cfRule type="expression" dxfId="6368" priority="845">
      <formula>OR($A39="Sa",$A39="So")</formula>
    </cfRule>
    <cfRule type="expression" dxfId="6367" priority="846">
      <formula>AND(B39&gt;0,INDIRECT("Basistabelle!G" &amp; ($A$1+C$1+B39))&lt;="",INDIRECT("Basistabelle!H" &amp; ($A$1+C$1+B39))&gt;"")</formula>
    </cfRule>
  </conditionalFormatting>
  <conditionalFormatting sqref="C40">
    <cfRule type="expression" dxfId="6366" priority="843">
      <formula>OR($A40="Sa",$A40="So")</formula>
    </cfRule>
    <cfRule type="expression" dxfId="6365" priority="844">
      <formula>AND(B40&gt;0,INDIRECT("Basistabelle!G" &amp; ($A$1+C$1+B40))&lt;="",INDIRECT("Basistabelle!H" &amp; ($A$1+C$1+B40))&gt;"")</formula>
    </cfRule>
  </conditionalFormatting>
  <conditionalFormatting sqref="C41">
    <cfRule type="expression" dxfId="6364" priority="841">
      <formula>OR($A41="Sa",$A41="So")</formula>
    </cfRule>
    <cfRule type="expression" dxfId="6363" priority="842">
      <formula>AND(B41&gt;0,INDIRECT("Basistabelle!G" &amp; ($A$1+C$1+B41))&lt;="",INDIRECT("Basistabelle!H" &amp; ($A$1+C$1+B41))&gt;"")</formula>
    </cfRule>
  </conditionalFormatting>
  <conditionalFormatting sqref="C5">
    <cfRule type="expression" dxfId="6362" priority="839">
      <formula>OR($A5="Sa",$A5="So")</formula>
    </cfRule>
    <cfRule type="expression" dxfId="6361" priority="840">
      <formula>AND(B5&gt;0,INDIRECT("Basistabelle!G" &amp; ($A$1+C$1+B5))&lt;="",INDIRECT("Basistabelle!H" &amp; ($A$1+C$1+B5))&gt;"")</formula>
    </cfRule>
  </conditionalFormatting>
  <conditionalFormatting sqref="C4">
    <cfRule type="expression" dxfId="6360" priority="837">
      <formula>OR($A4="Sa",$A4="So")</formula>
    </cfRule>
    <cfRule type="expression" dxfId="6359" priority="838">
      <formula>AND(B4&gt;0,INDIRECT("Basistabelle!G" &amp; ($A$1+C$1+B4))&lt;="",INDIRECT("Basistabelle!H" &amp; ($A$1+C$1+B4))&gt;"")</formula>
    </cfRule>
  </conditionalFormatting>
  <conditionalFormatting sqref="C3">
    <cfRule type="expression" dxfId="6358" priority="835">
      <formula>OR($A3="Sa",$A3="So")</formula>
    </cfRule>
    <cfRule type="expression" dxfId="6357" priority="836">
      <formula>AND(B3&gt;0,INDIRECT("Basistabelle!G" &amp; ($A$1+C$1+B3))&lt;="",INDIRECT("Basistabelle!H" &amp; ($A$1+C$1+B3))&gt;"")</formula>
    </cfRule>
  </conditionalFormatting>
  <conditionalFormatting sqref="BO3">
    <cfRule type="expression" dxfId="6356" priority="833">
      <formula>OR($A3="Sa",$A3="So")</formula>
    </cfRule>
    <cfRule type="expression" dxfId="6355" priority="834">
      <formula>AND(BN3&gt;0,INDIRECT("Basistabelle!G" &amp; ($A$1+BO$1+BN3))&lt;="",INDIRECT("Basistabelle!H" &amp; ($A$1+BO$1+BN3))&gt;"")</formula>
    </cfRule>
  </conditionalFormatting>
  <conditionalFormatting sqref="BO4">
    <cfRule type="expression" dxfId="6354" priority="831">
      <formula>OR($A4="Sa",$A4="So")</formula>
    </cfRule>
    <cfRule type="expression" dxfId="6353" priority="832">
      <formula>AND(BN4&gt;0,INDIRECT("Basistabelle!G" &amp; ($A$1+BO$1+BN4))&lt;="",INDIRECT("Basistabelle!H" &amp; ($A$1+BO$1+BN4))&gt;"")</formula>
    </cfRule>
  </conditionalFormatting>
  <conditionalFormatting sqref="BO5">
    <cfRule type="expression" dxfId="6352" priority="829">
      <formula>OR($A5="Sa",$A5="So")</formula>
    </cfRule>
    <cfRule type="expression" dxfId="6351" priority="830">
      <formula>AND(BN5&gt;0,INDIRECT("Basistabelle!G" &amp; ($A$1+BO$1+BN5))&lt;="",INDIRECT("Basistabelle!H" &amp; ($A$1+BO$1+BN5))&gt;"")</formula>
    </cfRule>
  </conditionalFormatting>
  <conditionalFormatting sqref="BO6">
    <cfRule type="expression" dxfId="6350" priority="827">
      <formula>OR($A6="Sa",$A6="So")</formula>
    </cfRule>
    <cfRule type="expression" dxfId="6349" priority="828">
      <formula>AND(BN6&gt;0,INDIRECT("Basistabelle!G" &amp; ($A$1+BO$1+BN6))&lt;="",INDIRECT("Basistabelle!H" &amp; ($A$1+BO$1+BN6))&gt;"")</formula>
    </cfRule>
  </conditionalFormatting>
  <conditionalFormatting sqref="BO7">
    <cfRule type="expression" dxfId="6348" priority="825">
      <formula>OR($A7="Sa",$A7="So")</formula>
    </cfRule>
    <cfRule type="expression" dxfId="6347" priority="826">
      <formula>AND(BN7&gt;0,INDIRECT("Basistabelle!G" &amp; ($A$1+BO$1+BN7))&lt;="",INDIRECT("Basistabelle!H" &amp; ($A$1+BO$1+BN7))&gt;"")</formula>
    </cfRule>
  </conditionalFormatting>
  <conditionalFormatting sqref="BO8">
    <cfRule type="expression" dxfId="6346" priority="823">
      <formula>OR($A8="Sa",$A8="So")</formula>
    </cfRule>
    <cfRule type="expression" dxfId="6345" priority="824">
      <formula>AND(BN8&gt;0,INDIRECT("Basistabelle!G" &amp; ($A$1+BO$1+BN8))&lt;="",INDIRECT("Basistabelle!H" &amp; ($A$1+BO$1+BN8))&gt;"")</formula>
    </cfRule>
  </conditionalFormatting>
  <conditionalFormatting sqref="BO9">
    <cfRule type="expression" dxfId="6344" priority="821">
      <formula>OR($A9="Sa",$A9="So")</formula>
    </cfRule>
    <cfRule type="expression" dxfId="6343" priority="822">
      <formula>AND(BN9&gt;0,INDIRECT("Basistabelle!G" &amp; ($A$1+BO$1+BN9))&lt;="",INDIRECT("Basistabelle!H" &amp; ($A$1+BO$1+BN9))&gt;"")</formula>
    </cfRule>
  </conditionalFormatting>
  <conditionalFormatting sqref="BO10">
    <cfRule type="expression" dxfId="6342" priority="819">
      <formula>OR($A10="Sa",$A10="So")</formula>
    </cfRule>
    <cfRule type="expression" dxfId="6341" priority="820">
      <formula>AND(BN10&gt;0,INDIRECT("Basistabelle!G" &amp; ($A$1+BO$1+BN10))&lt;="",INDIRECT("Basistabelle!H" &amp; ($A$1+BO$1+BN10))&gt;"")</formula>
    </cfRule>
  </conditionalFormatting>
  <conditionalFormatting sqref="BO11">
    <cfRule type="expression" dxfId="6340" priority="817">
      <formula>OR($A11="Sa",$A11="So")</formula>
    </cfRule>
    <cfRule type="expression" dxfId="6339" priority="818">
      <formula>AND(BN11&gt;0,INDIRECT("Basistabelle!G" &amp; ($A$1+BO$1+BN11))&lt;="",INDIRECT("Basistabelle!H" &amp; ($A$1+BO$1+BN11))&gt;"")</formula>
    </cfRule>
  </conditionalFormatting>
  <conditionalFormatting sqref="BO12">
    <cfRule type="expression" dxfId="6338" priority="815">
      <formula>OR($A12="Sa",$A12="So")</formula>
    </cfRule>
    <cfRule type="expression" dxfId="6337" priority="816">
      <formula>AND(BN12&gt;0,INDIRECT("Basistabelle!G" &amp; ($A$1+BO$1+BN12))&lt;="",INDIRECT("Basistabelle!H" &amp; ($A$1+BO$1+BN12))&gt;"")</formula>
    </cfRule>
  </conditionalFormatting>
  <conditionalFormatting sqref="BO13">
    <cfRule type="expression" dxfId="6336" priority="813">
      <formula>OR($A13="Sa",$A13="So")</formula>
    </cfRule>
    <cfRule type="expression" dxfId="6335" priority="814">
      <formula>AND(BN13&gt;0,INDIRECT("Basistabelle!G" &amp; ($A$1+BO$1+BN13))&lt;="",INDIRECT("Basistabelle!H" &amp; ($A$1+BO$1+BN13))&gt;"")</formula>
    </cfRule>
  </conditionalFormatting>
  <conditionalFormatting sqref="BO14">
    <cfRule type="expression" dxfId="6334" priority="811">
      <formula>OR($A14="Sa",$A14="So")</formula>
    </cfRule>
    <cfRule type="expression" dxfId="6333" priority="812">
      <formula>AND(BN14&gt;0,INDIRECT("Basistabelle!G" &amp; ($A$1+BO$1+BN14))&lt;="",INDIRECT("Basistabelle!H" &amp; ($A$1+BO$1+BN14))&gt;"")</formula>
    </cfRule>
  </conditionalFormatting>
  <conditionalFormatting sqref="BO15">
    <cfRule type="expression" dxfId="6332" priority="809">
      <formula>OR($A15="Sa",$A15="So")</formula>
    </cfRule>
    <cfRule type="expression" dxfId="6331" priority="810">
      <formula>AND(BN15&gt;0,INDIRECT("Basistabelle!G" &amp; ($A$1+BO$1+BN15))&lt;="",INDIRECT("Basistabelle!H" &amp; ($A$1+BO$1+BN15))&gt;"")</formula>
    </cfRule>
  </conditionalFormatting>
  <conditionalFormatting sqref="BO16">
    <cfRule type="expression" dxfId="6330" priority="807">
      <formula>OR($A16="Sa",$A16="So")</formula>
    </cfRule>
    <cfRule type="expression" dxfId="6329" priority="808">
      <formula>AND(BN16&gt;0,INDIRECT("Basistabelle!G" &amp; ($A$1+BO$1+BN16))&lt;="",INDIRECT("Basistabelle!H" &amp; ($A$1+BO$1+BN16))&gt;"")</formula>
    </cfRule>
  </conditionalFormatting>
  <conditionalFormatting sqref="BO17">
    <cfRule type="expression" dxfId="6328" priority="805">
      <formula>OR($A17="Sa",$A17="So")</formula>
    </cfRule>
    <cfRule type="expression" dxfId="6327" priority="806">
      <formula>AND(BN17&gt;0,INDIRECT("Basistabelle!G" &amp; ($A$1+BO$1+BN17))&lt;="",INDIRECT("Basistabelle!H" &amp; ($A$1+BO$1+BN17))&gt;"")</formula>
    </cfRule>
  </conditionalFormatting>
  <conditionalFormatting sqref="BO18">
    <cfRule type="expression" dxfId="6326" priority="803">
      <formula>OR($A18="Sa",$A18="So")</formula>
    </cfRule>
    <cfRule type="expression" dxfId="6325" priority="804">
      <formula>AND(BN18&gt;0,INDIRECT("Basistabelle!G" &amp; ($A$1+BO$1+BN18))&lt;="",INDIRECT("Basistabelle!H" &amp; ($A$1+BO$1+BN18))&gt;"")</formula>
    </cfRule>
  </conditionalFormatting>
  <conditionalFormatting sqref="BO19">
    <cfRule type="expression" dxfId="6324" priority="801">
      <formula>OR($A19="Sa",$A19="So")</formula>
    </cfRule>
    <cfRule type="expression" dxfId="6323" priority="802">
      <formula>AND(BN19&gt;0,INDIRECT("Basistabelle!G" &amp; ($A$1+BO$1+BN19))&lt;="",INDIRECT("Basistabelle!H" &amp; ($A$1+BO$1+BN19))&gt;"")</formula>
    </cfRule>
  </conditionalFormatting>
  <conditionalFormatting sqref="BO20">
    <cfRule type="expression" dxfId="6322" priority="799">
      <formula>OR($A20="Sa",$A20="So")</formula>
    </cfRule>
    <cfRule type="expression" dxfId="6321" priority="800">
      <formula>AND(BN20&gt;0,INDIRECT("Basistabelle!G" &amp; ($A$1+BO$1+BN20))&lt;="",INDIRECT("Basistabelle!H" &amp; ($A$1+BO$1+BN20))&gt;"")</formula>
    </cfRule>
  </conditionalFormatting>
  <conditionalFormatting sqref="BO21">
    <cfRule type="expression" dxfId="6320" priority="797">
      <formula>OR($A21="Sa",$A21="So")</formula>
    </cfRule>
    <cfRule type="expression" dxfId="6319" priority="798">
      <formula>AND(BN21&gt;0,INDIRECT("Basistabelle!G" &amp; ($A$1+BO$1+BN21))&lt;="",INDIRECT("Basistabelle!H" &amp; ($A$1+BO$1+BN21))&gt;"")</formula>
    </cfRule>
  </conditionalFormatting>
  <conditionalFormatting sqref="BO22">
    <cfRule type="expression" dxfId="6318" priority="795">
      <formula>OR($A22="Sa",$A22="So")</formula>
    </cfRule>
    <cfRule type="expression" dxfId="6317" priority="796">
      <formula>AND(BN22&gt;0,INDIRECT("Basistabelle!G" &amp; ($A$1+BO$1+BN22))&lt;="",INDIRECT("Basistabelle!H" &amp; ($A$1+BO$1+BN22))&gt;"")</formula>
    </cfRule>
  </conditionalFormatting>
  <conditionalFormatting sqref="BO23">
    <cfRule type="expression" dxfId="6316" priority="793">
      <formula>OR($A23="Sa",$A23="So")</formula>
    </cfRule>
    <cfRule type="expression" dxfId="6315" priority="794">
      <formula>AND(BN23&gt;0,INDIRECT("Basistabelle!G" &amp; ($A$1+BO$1+BN23))&lt;="",INDIRECT("Basistabelle!H" &amp; ($A$1+BO$1+BN23))&gt;"")</formula>
    </cfRule>
  </conditionalFormatting>
  <conditionalFormatting sqref="BO24">
    <cfRule type="expression" dxfId="6314" priority="791">
      <formula>OR($A24="Sa",$A24="So")</formula>
    </cfRule>
    <cfRule type="expression" dxfId="6313" priority="792">
      <formula>AND(BN24&gt;0,INDIRECT("Basistabelle!G" &amp; ($A$1+BO$1+BN24))&lt;="",INDIRECT("Basistabelle!H" &amp; ($A$1+BO$1+BN24))&gt;"")</formula>
    </cfRule>
  </conditionalFormatting>
  <conditionalFormatting sqref="BO25">
    <cfRule type="expression" dxfId="6312" priority="789">
      <formula>OR($A25="Sa",$A25="So")</formula>
    </cfRule>
    <cfRule type="expression" dxfId="6311" priority="790">
      <formula>AND(BN25&gt;0,INDIRECT("Basistabelle!G" &amp; ($A$1+BO$1+BN25))&lt;="",INDIRECT("Basistabelle!H" &amp; ($A$1+BO$1+BN25))&gt;"")</formula>
    </cfRule>
  </conditionalFormatting>
  <conditionalFormatting sqref="BO26">
    <cfRule type="expression" dxfId="6310" priority="787">
      <formula>OR($A26="Sa",$A26="So")</formula>
    </cfRule>
    <cfRule type="expression" dxfId="6309" priority="788">
      <formula>AND(BN26&gt;0,INDIRECT("Basistabelle!G" &amp; ($A$1+BO$1+BN26))&lt;="",INDIRECT("Basistabelle!H" &amp; ($A$1+BO$1+BN26))&gt;"")</formula>
    </cfRule>
  </conditionalFormatting>
  <conditionalFormatting sqref="BO27">
    <cfRule type="expression" dxfId="6308" priority="785">
      <formula>OR($A27="Sa",$A27="So")</formula>
    </cfRule>
    <cfRule type="expression" dxfId="6307" priority="786">
      <formula>AND(BN27&gt;0,INDIRECT("Basistabelle!G" &amp; ($A$1+BO$1+BN27))&lt;="",INDIRECT("Basistabelle!H" &amp; ($A$1+BO$1+BN27))&gt;"")</formula>
    </cfRule>
  </conditionalFormatting>
  <conditionalFormatting sqref="BO28">
    <cfRule type="expression" dxfId="6306" priority="783">
      <formula>OR($A28="Sa",$A28="So")</formula>
    </cfRule>
    <cfRule type="expression" dxfId="6305" priority="784">
      <formula>AND(BN28&gt;0,INDIRECT("Basistabelle!G" &amp; ($A$1+BO$1+BN28))&lt;="",INDIRECT("Basistabelle!H" &amp; ($A$1+BO$1+BN28))&gt;"")</formula>
    </cfRule>
  </conditionalFormatting>
  <conditionalFormatting sqref="BO29">
    <cfRule type="expression" dxfId="6304" priority="781">
      <formula>OR($A29="Sa",$A29="So")</formula>
    </cfRule>
    <cfRule type="expression" dxfId="6303" priority="782">
      <formula>AND(BN29&gt;0,INDIRECT("Basistabelle!G" &amp; ($A$1+BO$1+BN29))&lt;="",INDIRECT("Basistabelle!H" &amp; ($A$1+BO$1+BN29))&gt;"")</formula>
    </cfRule>
  </conditionalFormatting>
  <conditionalFormatting sqref="BO30">
    <cfRule type="expression" dxfId="6302" priority="779">
      <formula>OR($A30="Sa",$A30="So")</formula>
    </cfRule>
    <cfRule type="expression" dxfId="6301" priority="780">
      <formula>AND(BN30&gt;0,INDIRECT("Basistabelle!G" &amp; ($A$1+BO$1+BN30))&lt;="",INDIRECT("Basistabelle!H" &amp; ($A$1+BO$1+BN30))&gt;"")</formula>
    </cfRule>
  </conditionalFormatting>
  <conditionalFormatting sqref="BO31">
    <cfRule type="expression" dxfId="6300" priority="777">
      <formula>OR($A31="Sa",$A31="So")</formula>
    </cfRule>
    <cfRule type="expression" dxfId="6299" priority="778">
      <formula>AND(BN31&gt;0,INDIRECT("Basistabelle!G" &amp; ($A$1+BO$1+BN31))&lt;="",INDIRECT("Basistabelle!H" &amp; ($A$1+BO$1+BN31))&gt;"")</formula>
    </cfRule>
  </conditionalFormatting>
  <conditionalFormatting sqref="BO32">
    <cfRule type="expression" dxfId="6298" priority="775">
      <formula>OR($A32="Sa",$A32="So")</formula>
    </cfRule>
    <cfRule type="expression" dxfId="6297" priority="776">
      <formula>AND(BN32&gt;0,INDIRECT("Basistabelle!G" &amp; ($A$1+BO$1+BN32))&lt;="",INDIRECT("Basistabelle!H" &amp; ($A$1+BO$1+BN32))&gt;"")</formula>
    </cfRule>
  </conditionalFormatting>
  <conditionalFormatting sqref="BO33">
    <cfRule type="expression" dxfId="6296" priority="773">
      <formula>OR($A33="Sa",$A33="So")</formula>
    </cfRule>
    <cfRule type="expression" dxfId="6295" priority="774">
      <formula>AND(BN33&gt;0,INDIRECT("Basistabelle!G" &amp; ($A$1+BO$1+BN33))&lt;="",INDIRECT("Basistabelle!H" &amp; ($A$1+BO$1+BN33))&gt;"")</formula>
    </cfRule>
  </conditionalFormatting>
  <conditionalFormatting sqref="BO34">
    <cfRule type="expression" dxfId="6294" priority="771">
      <formula>OR($A34="Sa",$A34="So")</formula>
    </cfRule>
    <cfRule type="expression" dxfId="6293" priority="772">
      <formula>AND(BN34&gt;0,INDIRECT("Basistabelle!G" &amp; ($A$1+BO$1+BN34))&lt;="",INDIRECT("Basistabelle!H" &amp; ($A$1+BO$1+BN34))&gt;"")</formula>
    </cfRule>
  </conditionalFormatting>
  <conditionalFormatting sqref="BO35">
    <cfRule type="expression" dxfId="6292" priority="769">
      <formula>OR($A35="Sa",$A35="So")</formula>
    </cfRule>
    <cfRule type="expression" dxfId="6291" priority="770">
      <formula>AND(BN35&gt;0,INDIRECT("Basistabelle!G" &amp; ($A$1+BO$1+BN35))&lt;="",INDIRECT("Basistabelle!H" &amp; ($A$1+BO$1+BN35))&gt;"")</formula>
    </cfRule>
  </conditionalFormatting>
  <conditionalFormatting sqref="BO36">
    <cfRule type="expression" dxfId="6290" priority="767">
      <formula>OR($A36="Sa",$A36="So")</formula>
    </cfRule>
    <cfRule type="expression" dxfId="6289" priority="768">
      <formula>AND(BN36&gt;0,INDIRECT("Basistabelle!G" &amp; ($A$1+BO$1+BN36))&lt;="",INDIRECT("Basistabelle!H" &amp; ($A$1+BO$1+BN36))&gt;"")</formula>
    </cfRule>
  </conditionalFormatting>
  <conditionalFormatting sqref="BO37">
    <cfRule type="expression" dxfId="6288" priority="765">
      <formula>OR($A37="Sa",$A37="So")</formula>
    </cfRule>
    <cfRule type="expression" dxfId="6287" priority="766">
      <formula>AND(BN37&gt;0,INDIRECT("Basistabelle!G" &amp; ($A$1+BO$1+BN37))&lt;="",INDIRECT("Basistabelle!H" &amp; ($A$1+BO$1+BN37))&gt;"")</formula>
    </cfRule>
  </conditionalFormatting>
  <conditionalFormatting sqref="BO38">
    <cfRule type="expression" dxfId="6286" priority="763">
      <formula>OR($A38="Sa",$A38="So")</formula>
    </cfRule>
    <cfRule type="expression" dxfId="6285" priority="764">
      <formula>AND(BN38&gt;0,INDIRECT("Basistabelle!G" &amp; ($A$1+BO$1+BN38))&lt;="",INDIRECT("Basistabelle!H" &amp; ($A$1+BO$1+BN38))&gt;"")</formula>
    </cfRule>
  </conditionalFormatting>
  <conditionalFormatting sqref="BO39">
    <cfRule type="expression" dxfId="6284" priority="761">
      <formula>OR($A39="Sa",$A39="So")</formula>
    </cfRule>
    <cfRule type="expression" dxfId="6283" priority="762">
      <formula>AND(BN39&gt;0,INDIRECT("Basistabelle!G" &amp; ($A$1+BO$1+BN39))&lt;="",INDIRECT("Basistabelle!H" &amp; ($A$1+BO$1+BN39))&gt;"")</formula>
    </cfRule>
  </conditionalFormatting>
  <conditionalFormatting sqref="BO40">
    <cfRule type="expression" dxfId="6282" priority="759">
      <formula>OR($A40="Sa",$A40="So")</formula>
    </cfRule>
    <cfRule type="expression" dxfId="6281" priority="760">
      <formula>AND(BN40&gt;0,INDIRECT("Basistabelle!G" &amp; ($A$1+BO$1+BN40))&lt;="",INDIRECT("Basistabelle!H" &amp; ($A$1+BO$1+BN40))&gt;"")</formula>
    </cfRule>
  </conditionalFormatting>
  <conditionalFormatting sqref="BO41">
    <cfRule type="expression" dxfId="6280" priority="757">
      <formula>OR($A41="Sa",$A41="So")</formula>
    </cfRule>
    <cfRule type="expression" dxfId="6279" priority="758">
      <formula>AND(BN41&gt;0,INDIRECT("Basistabelle!G" &amp; ($A$1+BO$1+BN41))&lt;="",INDIRECT("Basistabelle!H" &amp; ($A$1+BO$1+BN41))&gt;"")</formula>
    </cfRule>
  </conditionalFormatting>
  <conditionalFormatting sqref="BW3:BW16">
    <cfRule type="expression" dxfId="6278" priority="755">
      <formula>OR($A3="Sa",$A3="So")</formula>
    </cfRule>
    <cfRule type="expression" dxfId="6277" priority="756">
      <formula>AND(BV3&gt;0,INDIRECT("Basistabelle!G" &amp; ($A$1+BW$1+BV3))&lt;="",INDIRECT("Basistabelle!H" &amp; ($A$1+BW$1+BV3))&gt;"")</formula>
    </cfRule>
  </conditionalFormatting>
  <conditionalFormatting sqref="BW17">
    <cfRule type="expression" dxfId="6276" priority="753">
      <formula>OR($A17="Sa",$A17="So")</formula>
    </cfRule>
    <cfRule type="expression" dxfId="6275" priority="754">
      <formula>AND(BV17&gt;0,INDIRECT("Basistabelle!G" &amp; ($A$1+BW$1+BV17))&lt;="",INDIRECT("Basistabelle!H" &amp; ($A$1+BW$1+BV17))&gt;"")</formula>
    </cfRule>
  </conditionalFormatting>
  <conditionalFormatting sqref="BW18">
    <cfRule type="expression" dxfId="6274" priority="751">
      <formula>OR($A18="Sa",$A18="So")</formula>
    </cfRule>
    <cfRule type="expression" dxfId="6273" priority="752">
      <formula>AND(BV18&gt;0,INDIRECT("Basistabelle!G" &amp; ($A$1+BW$1+BV18))&lt;="",INDIRECT("Basistabelle!H" &amp; ($A$1+BW$1+BV18))&gt;"")</formula>
    </cfRule>
  </conditionalFormatting>
  <conditionalFormatting sqref="BW19">
    <cfRule type="expression" dxfId="6272" priority="749">
      <formula>OR($A19="Sa",$A19="So")</formula>
    </cfRule>
    <cfRule type="expression" dxfId="6271" priority="750">
      <formula>AND(BV19&gt;0,INDIRECT("Basistabelle!G" &amp; ($A$1+BW$1+BV19))&lt;="",INDIRECT("Basistabelle!H" &amp; ($A$1+BW$1+BV19))&gt;"")</formula>
    </cfRule>
  </conditionalFormatting>
  <conditionalFormatting sqref="BW20">
    <cfRule type="expression" dxfId="6270" priority="747">
      <formula>OR($A20="Sa",$A20="So")</formula>
    </cfRule>
    <cfRule type="expression" dxfId="6269" priority="748">
      <formula>AND(BV20&gt;0,INDIRECT("Basistabelle!G" &amp; ($A$1+BW$1+BV20))&lt;="",INDIRECT("Basistabelle!H" &amp; ($A$1+BW$1+BV20))&gt;"")</formula>
    </cfRule>
  </conditionalFormatting>
  <conditionalFormatting sqref="BW21">
    <cfRule type="expression" dxfId="6268" priority="745">
      <formula>OR($A21="Sa",$A21="So")</formula>
    </cfRule>
    <cfRule type="expression" dxfId="6267" priority="746">
      <formula>AND(BV21&gt;0,INDIRECT("Basistabelle!G" &amp; ($A$1+BW$1+BV21))&lt;="",INDIRECT("Basistabelle!H" &amp; ($A$1+BW$1+BV21))&gt;"")</formula>
    </cfRule>
  </conditionalFormatting>
  <conditionalFormatting sqref="BW22">
    <cfRule type="expression" dxfId="6266" priority="743">
      <formula>OR($A22="Sa",$A22="So")</formula>
    </cfRule>
    <cfRule type="expression" dxfId="6265" priority="744">
      <formula>AND(BV22&gt;0,INDIRECT("Basistabelle!G" &amp; ($A$1+BW$1+BV22))&lt;="",INDIRECT("Basistabelle!H" &amp; ($A$1+BW$1+BV22))&gt;"")</formula>
    </cfRule>
  </conditionalFormatting>
  <conditionalFormatting sqref="BW23">
    <cfRule type="expression" dxfId="6264" priority="741">
      <formula>OR($A23="Sa",$A23="So")</formula>
    </cfRule>
    <cfRule type="expression" dxfId="6263" priority="742">
      <formula>AND(BV23&gt;0,INDIRECT("Basistabelle!G" &amp; ($A$1+BW$1+BV23))&lt;="",INDIRECT("Basistabelle!H" &amp; ($A$1+BW$1+BV23))&gt;"")</formula>
    </cfRule>
  </conditionalFormatting>
  <conditionalFormatting sqref="BW24">
    <cfRule type="expression" dxfId="6262" priority="739">
      <formula>OR($A24="Sa",$A24="So")</formula>
    </cfRule>
    <cfRule type="expression" dxfId="6261" priority="740">
      <formula>AND(BV24&gt;0,INDIRECT("Basistabelle!G" &amp; ($A$1+BW$1+BV24))&lt;="",INDIRECT("Basistabelle!H" &amp; ($A$1+BW$1+BV24))&gt;"")</formula>
    </cfRule>
  </conditionalFormatting>
  <conditionalFormatting sqref="BW25">
    <cfRule type="expression" dxfId="6260" priority="737">
      <formula>OR($A25="Sa",$A25="So")</formula>
    </cfRule>
    <cfRule type="expression" dxfId="6259" priority="738">
      <formula>AND(BV25&gt;0,INDIRECT("Basistabelle!G" &amp; ($A$1+BW$1+BV25))&lt;="",INDIRECT("Basistabelle!H" &amp; ($A$1+BW$1+BV25))&gt;"")</formula>
    </cfRule>
  </conditionalFormatting>
  <conditionalFormatting sqref="BW26">
    <cfRule type="expression" dxfId="6258" priority="735">
      <formula>OR($A26="Sa",$A26="So")</formula>
    </cfRule>
    <cfRule type="expression" dxfId="6257" priority="736">
      <formula>AND(BV26&gt;0,INDIRECT("Basistabelle!G" &amp; ($A$1+BW$1+BV26))&lt;="",INDIRECT("Basistabelle!H" &amp; ($A$1+BW$1+BV26))&gt;"")</formula>
    </cfRule>
  </conditionalFormatting>
  <conditionalFormatting sqref="BW27">
    <cfRule type="expression" dxfId="6256" priority="733">
      <formula>OR($A27="Sa",$A27="So")</formula>
    </cfRule>
    <cfRule type="expression" dxfId="6255" priority="734">
      <formula>AND(BV27&gt;0,INDIRECT("Basistabelle!G" &amp; ($A$1+BW$1+BV27))&lt;="",INDIRECT("Basistabelle!H" &amp; ($A$1+BW$1+BV27))&gt;"")</formula>
    </cfRule>
  </conditionalFormatting>
  <conditionalFormatting sqref="BW28">
    <cfRule type="expression" dxfId="6254" priority="731">
      <formula>OR($A28="Sa",$A28="So")</formula>
    </cfRule>
    <cfRule type="expression" dxfId="6253" priority="732">
      <formula>AND(BV28&gt;0,INDIRECT("Basistabelle!G" &amp; ($A$1+BW$1+BV28))&lt;="",INDIRECT("Basistabelle!H" &amp; ($A$1+BW$1+BV28))&gt;"")</formula>
    </cfRule>
  </conditionalFormatting>
  <conditionalFormatting sqref="BW29">
    <cfRule type="expression" dxfId="6252" priority="729">
      <formula>OR($A29="Sa",$A29="So")</formula>
    </cfRule>
    <cfRule type="expression" dxfId="6251" priority="730">
      <formula>AND(BV29&gt;0,INDIRECT("Basistabelle!G" &amp; ($A$1+BW$1+BV29))&lt;="",INDIRECT("Basistabelle!H" &amp; ($A$1+BW$1+BV29))&gt;"")</formula>
    </cfRule>
  </conditionalFormatting>
  <conditionalFormatting sqref="BW30">
    <cfRule type="expression" dxfId="6250" priority="727">
      <formula>OR($A30="Sa",$A30="So")</formula>
    </cfRule>
    <cfRule type="expression" dxfId="6249" priority="728">
      <formula>AND(BV30&gt;0,INDIRECT("Basistabelle!G" &amp; ($A$1+BW$1+BV30))&lt;="",INDIRECT("Basistabelle!H" &amp; ($A$1+BW$1+BV30))&gt;"")</formula>
    </cfRule>
  </conditionalFormatting>
  <conditionalFormatting sqref="BW31">
    <cfRule type="expression" dxfId="6248" priority="725">
      <formula>OR($A31="Sa",$A31="So")</formula>
    </cfRule>
    <cfRule type="expression" dxfId="6247" priority="726">
      <formula>AND(BV31&gt;0,INDIRECT("Basistabelle!G" &amp; ($A$1+BW$1+BV31))&lt;="",INDIRECT("Basistabelle!H" &amp; ($A$1+BW$1+BV31))&gt;"")</formula>
    </cfRule>
  </conditionalFormatting>
  <conditionalFormatting sqref="BW32">
    <cfRule type="expression" dxfId="6246" priority="723">
      <formula>OR($A32="Sa",$A32="So")</formula>
    </cfRule>
    <cfRule type="expression" dxfId="6245" priority="724">
      <formula>AND(BV32&gt;0,INDIRECT("Basistabelle!G" &amp; ($A$1+BW$1+BV32))&lt;="",INDIRECT("Basistabelle!H" &amp; ($A$1+BW$1+BV32))&gt;"")</formula>
    </cfRule>
  </conditionalFormatting>
  <conditionalFormatting sqref="BW33">
    <cfRule type="expression" dxfId="6244" priority="721">
      <formula>OR($A33="Sa",$A33="So")</formula>
    </cfRule>
    <cfRule type="expression" dxfId="6243" priority="722">
      <formula>AND(BV33&gt;0,INDIRECT("Basistabelle!G" &amp; ($A$1+BW$1+BV33))&lt;="",INDIRECT("Basistabelle!H" &amp; ($A$1+BW$1+BV33))&gt;"")</formula>
    </cfRule>
  </conditionalFormatting>
  <conditionalFormatting sqref="BW34">
    <cfRule type="expression" dxfId="6242" priority="719">
      <formula>OR($A34="Sa",$A34="So")</formula>
    </cfRule>
    <cfRule type="expression" dxfId="6241" priority="720">
      <formula>AND(BV34&gt;0,INDIRECT("Basistabelle!G" &amp; ($A$1+BW$1+BV34))&lt;="",INDIRECT("Basistabelle!H" &amp; ($A$1+BW$1+BV34))&gt;"")</formula>
    </cfRule>
  </conditionalFormatting>
  <conditionalFormatting sqref="BW35">
    <cfRule type="expression" dxfId="6240" priority="717">
      <formula>OR($A35="Sa",$A35="So")</formula>
    </cfRule>
    <cfRule type="expression" dxfId="6239" priority="718">
      <formula>AND(BV35&gt;0,INDIRECT("Basistabelle!G" &amp; ($A$1+BW$1+BV35))&lt;="",INDIRECT("Basistabelle!H" &amp; ($A$1+BW$1+BV35))&gt;"")</formula>
    </cfRule>
  </conditionalFormatting>
  <conditionalFormatting sqref="BW36">
    <cfRule type="expression" dxfId="6238" priority="715">
      <formula>OR($A36="Sa",$A36="So")</formula>
    </cfRule>
    <cfRule type="expression" dxfId="6237" priority="716">
      <formula>AND(BV36&gt;0,INDIRECT("Basistabelle!G" &amp; ($A$1+BW$1+BV36))&lt;="",INDIRECT("Basistabelle!H" &amp; ($A$1+BW$1+BV36))&gt;"")</formula>
    </cfRule>
  </conditionalFormatting>
  <conditionalFormatting sqref="BW37">
    <cfRule type="expression" dxfId="6236" priority="713">
      <formula>OR($A37="Sa",$A37="So")</formula>
    </cfRule>
    <cfRule type="expression" dxfId="6235" priority="714">
      <formula>AND(BV37&gt;0,INDIRECT("Basistabelle!G" &amp; ($A$1+BW$1+BV37))&lt;="",INDIRECT("Basistabelle!H" &amp; ($A$1+BW$1+BV37))&gt;"")</formula>
    </cfRule>
  </conditionalFormatting>
  <conditionalFormatting sqref="BW38">
    <cfRule type="expression" dxfId="6234" priority="711">
      <formula>OR($A38="Sa",$A38="So")</formula>
    </cfRule>
    <cfRule type="expression" dxfId="6233" priority="712">
      <formula>AND(BV38&gt;0,INDIRECT("Basistabelle!G" &amp; ($A$1+BW$1+BV38))&lt;="",INDIRECT("Basistabelle!H" &amp; ($A$1+BW$1+BV38))&gt;"")</formula>
    </cfRule>
  </conditionalFormatting>
  <conditionalFormatting sqref="BW39">
    <cfRule type="expression" dxfId="6232" priority="709">
      <formula>OR($A39="Sa",$A39="So")</formula>
    </cfRule>
    <cfRule type="expression" dxfId="6231" priority="710">
      <formula>AND(BV39&gt;0,INDIRECT("Basistabelle!G" &amp; ($A$1+BW$1+BV39))&lt;="",INDIRECT("Basistabelle!H" &amp; ($A$1+BW$1+BV39))&gt;"")</formula>
    </cfRule>
  </conditionalFormatting>
  <conditionalFormatting sqref="BW40">
    <cfRule type="expression" dxfId="6230" priority="707">
      <formula>OR($A40="Sa",$A40="So")</formula>
    </cfRule>
    <cfRule type="expression" dxfId="6229" priority="708">
      <formula>AND(BV40&gt;0,INDIRECT("Basistabelle!G" &amp; ($A$1+BW$1+BV40))&lt;="",INDIRECT("Basistabelle!H" &amp; ($A$1+BW$1+BV40))&gt;"")</formula>
    </cfRule>
  </conditionalFormatting>
  <conditionalFormatting sqref="BW41">
    <cfRule type="expression" dxfId="6228" priority="705">
      <formula>OR($A41="Sa",$A41="So")</formula>
    </cfRule>
    <cfRule type="expression" dxfId="6227" priority="706">
      <formula>AND(BV41&gt;0,INDIRECT("Basistabelle!G" &amp; ($A$1+BW$1+BV41))&lt;="",INDIRECT("Basistabelle!H" &amp; ($A$1+BW$1+BV41))&gt;"")</formula>
    </cfRule>
  </conditionalFormatting>
  <conditionalFormatting sqref="CE3">
    <cfRule type="expression" dxfId="6226" priority="703">
      <formula>OR($A3="Sa",$A3="So")</formula>
    </cfRule>
    <cfRule type="expression" dxfId="6225" priority="704">
      <formula>AND(CD3&gt;0,INDIRECT("Basistabelle!G" &amp; ($A$1+CE$1+CD3))&lt;="",INDIRECT("Basistabelle!H" &amp; ($A$1+CE$1+CD3))&gt;"")</formula>
    </cfRule>
  </conditionalFormatting>
  <conditionalFormatting sqref="CE4">
    <cfRule type="expression" dxfId="6224" priority="701">
      <formula>OR($A4="Sa",$A4="So")</formula>
    </cfRule>
    <cfRule type="expression" dxfId="6223" priority="702">
      <formula>AND(CD4&gt;0,INDIRECT("Basistabelle!G" &amp; ($A$1+CE$1+CD4))&lt;="",INDIRECT("Basistabelle!H" &amp; ($A$1+CE$1+CD4))&gt;"")</formula>
    </cfRule>
  </conditionalFormatting>
  <conditionalFormatting sqref="CE5">
    <cfRule type="expression" dxfId="6222" priority="699">
      <formula>OR($A5="Sa",$A5="So")</formula>
    </cfRule>
    <cfRule type="expression" dxfId="6221" priority="700">
      <formula>AND(CD5&gt;0,INDIRECT("Basistabelle!G" &amp; ($A$1+CE$1+CD5))&lt;="",INDIRECT("Basistabelle!H" &amp; ($A$1+CE$1+CD5))&gt;"")</formula>
    </cfRule>
  </conditionalFormatting>
  <conditionalFormatting sqref="CE6">
    <cfRule type="expression" dxfId="6220" priority="697">
      <formula>OR($A6="Sa",$A6="So")</formula>
    </cfRule>
    <cfRule type="expression" dxfId="6219" priority="698">
      <formula>AND(CD6&gt;0,INDIRECT("Basistabelle!G" &amp; ($A$1+CE$1+CD6))&lt;="",INDIRECT("Basistabelle!H" &amp; ($A$1+CE$1+CD6))&gt;"")</formula>
    </cfRule>
  </conditionalFormatting>
  <conditionalFormatting sqref="CE7">
    <cfRule type="expression" dxfId="6218" priority="695">
      <formula>OR($A7="Sa",$A7="So")</formula>
    </cfRule>
    <cfRule type="expression" dxfId="6217" priority="696">
      <formula>AND(CD7&gt;0,INDIRECT("Basistabelle!G" &amp; ($A$1+CE$1+CD7))&lt;="",INDIRECT("Basistabelle!H" &amp; ($A$1+CE$1+CD7))&gt;"")</formula>
    </cfRule>
  </conditionalFormatting>
  <conditionalFormatting sqref="CE8">
    <cfRule type="expression" dxfId="6216" priority="693">
      <formula>OR($A8="Sa",$A8="So")</formula>
    </cfRule>
    <cfRule type="expression" dxfId="6215" priority="694">
      <formula>AND(CD8&gt;0,INDIRECT("Basistabelle!G" &amp; ($A$1+CE$1+CD8))&lt;="",INDIRECT("Basistabelle!H" &amp; ($A$1+CE$1+CD8))&gt;"")</formula>
    </cfRule>
  </conditionalFormatting>
  <conditionalFormatting sqref="CE9">
    <cfRule type="expression" dxfId="6214" priority="691">
      <formula>OR($A9="Sa",$A9="So")</formula>
    </cfRule>
    <cfRule type="expression" dxfId="6213" priority="692">
      <formula>AND(CD9&gt;0,INDIRECT("Basistabelle!G" &amp; ($A$1+CE$1+CD9))&lt;="",INDIRECT("Basistabelle!H" &amp; ($A$1+CE$1+CD9))&gt;"")</formula>
    </cfRule>
  </conditionalFormatting>
  <conditionalFormatting sqref="CE10">
    <cfRule type="expression" dxfId="6212" priority="689">
      <formula>OR($A10="Sa",$A10="So")</formula>
    </cfRule>
    <cfRule type="expression" dxfId="6211" priority="690">
      <formula>AND(CD10&gt;0,INDIRECT("Basistabelle!G" &amp; ($A$1+CE$1+CD10))&lt;="",INDIRECT("Basistabelle!H" &amp; ($A$1+CE$1+CD10))&gt;"")</formula>
    </cfRule>
  </conditionalFormatting>
  <conditionalFormatting sqref="CE11">
    <cfRule type="expression" dxfId="6210" priority="687">
      <formula>OR($A11="Sa",$A11="So")</formula>
    </cfRule>
    <cfRule type="expression" dxfId="6209" priority="688">
      <formula>AND(CD11&gt;0,INDIRECT("Basistabelle!G" &amp; ($A$1+CE$1+CD11))&lt;="",INDIRECT("Basistabelle!H" &amp; ($A$1+CE$1+CD11))&gt;"")</formula>
    </cfRule>
  </conditionalFormatting>
  <conditionalFormatting sqref="CE12">
    <cfRule type="expression" dxfId="6208" priority="685">
      <formula>OR($A12="Sa",$A12="So")</formula>
    </cfRule>
    <cfRule type="expression" dxfId="6207" priority="686">
      <formula>AND(CD12&gt;0,INDIRECT("Basistabelle!G" &amp; ($A$1+CE$1+CD12))&lt;="",INDIRECT("Basistabelle!H" &amp; ($A$1+CE$1+CD12))&gt;"")</formula>
    </cfRule>
  </conditionalFormatting>
  <conditionalFormatting sqref="CE13">
    <cfRule type="expression" dxfId="6206" priority="683">
      <formula>OR($A13="Sa",$A13="So")</formula>
    </cfRule>
    <cfRule type="expression" dxfId="6205" priority="684">
      <formula>AND(CD13&gt;0,INDIRECT("Basistabelle!G" &amp; ($A$1+CE$1+CD13))&lt;="",INDIRECT("Basistabelle!H" &amp; ($A$1+CE$1+CD13))&gt;"")</formula>
    </cfRule>
  </conditionalFormatting>
  <conditionalFormatting sqref="CE14">
    <cfRule type="expression" dxfId="6204" priority="681">
      <formula>OR($A14="Sa",$A14="So")</formula>
    </cfRule>
    <cfRule type="expression" dxfId="6203" priority="682">
      <formula>AND(CD14&gt;0,INDIRECT("Basistabelle!G" &amp; ($A$1+CE$1+CD14))&lt;="",INDIRECT("Basistabelle!H" &amp; ($A$1+CE$1+CD14))&gt;"")</formula>
    </cfRule>
  </conditionalFormatting>
  <conditionalFormatting sqref="CE15">
    <cfRule type="expression" dxfId="6202" priority="679">
      <formula>OR($A15="Sa",$A15="So")</formula>
    </cfRule>
    <cfRule type="expression" dxfId="6201" priority="680">
      <formula>AND(CD15&gt;0,INDIRECT("Basistabelle!G" &amp; ($A$1+CE$1+CD15))&lt;="",INDIRECT("Basistabelle!H" &amp; ($A$1+CE$1+CD15))&gt;"")</formula>
    </cfRule>
  </conditionalFormatting>
  <conditionalFormatting sqref="CE16">
    <cfRule type="expression" dxfId="6200" priority="677">
      <formula>OR($A16="Sa",$A16="So")</formula>
    </cfRule>
    <cfRule type="expression" dxfId="6199" priority="678">
      <formula>AND(CD16&gt;0,INDIRECT("Basistabelle!G" &amp; ($A$1+CE$1+CD16))&lt;="",INDIRECT("Basistabelle!H" &amp; ($A$1+CE$1+CD16))&gt;"")</formula>
    </cfRule>
  </conditionalFormatting>
  <conditionalFormatting sqref="CE17">
    <cfRule type="expression" dxfId="6198" priority="675">
      <formula>OR($A17="Sa",$A17="So")</formula>
    </cfRule>
    <cfRule type="expression" dxfId="6197" priority="676">
      <formula>AND(CD17&gt;0,INDIRECT("Basistabelle!G" &amp; ($A$1+CE$1+CD17))&lt;="",INDIRECT("Basistabelle!H" &amp; ($A$1+CE$1+CD17))&gt;"")</formula>
    </cfRule>
  </conditionalFormatting>
  <conditionalFormatting sqref="CE18">
    <cfRule type="expression" dxfId="6196" priority="673">
      <formula>OR($A18="Sa",$A18="So")</formula>
    </cfRule>
    <cfRule type="expression" dxfId="6195" priority="674">
      <formula>AND(CD18&gt;0,INDIRECT("Basistabelle!G" &amp; ($A$1+CE$1+CD18))&lt;="",INDIRECT("Basistabelle!H" &amp; ($A$1+CE$1+CD18))&gt;"")</formula>
    </cfRule>
  </conditionalFormatting>
  <conditionalFormatting sqref="CE19">
    <cfRule type="expression" dxfId="6194" priority="671">
      <formula>OR($A19="Sa",$A19="So")</formula>
    </cfRule>
    <cfRule type="expression" dxfId="6193" priority="672">
      <formula>AND(CD19&gt;0,INDIRECT("Basistabelle!G" &amp; ($A$1+CE$1+CD19))&lt;="",INDIRECT("Basistabelle!H" &amp; ($A$1+CE$1+CD19))&gt;"")</formula>
    </cfRule>
  </conditionalFormatting>
  <conditionalFormatting sqref="CE20">
    <cfRule type="expression" dxfId="6192" priority="669">
      <formula>OR($A20="Sa",$A20="So")</formula>
    </cfRule>
    <cfRule type="expression" dxfId="6191" priority="670">
      <formula>AND(CD20&gt;0,INDIRECT("Basistabelle!G" &amp; ($A$1+CE$1+CD20))&lt;="",INDIRECT("Basistabelle!H" &amp; ($A$1+CE$1+CD20))&gt;"")</formula>
    </cfRule>
  </conditionalFormatting>
  <conditionalFormatting sqref="CE21">
    <cfRule type="expression" dxfId="6190" priority="667">
      <formula>OR($A21="Sa",$A21="So")</formula>
    </cfRule>
    <cfRule type="expression" dxfId="6189" priority="668">
      <formula>AND(CD21&gt;0,INDIRECT("Basistabelle!G" &amp; ($A$1+CE$1+CD21))&lt;="",INDIRECT("Basistabelle!H" &amp; ($A$1+CE$1+CD21))&gt;"")</formula>
    </cfRule>
  </conditionalFormatting>
  <conditionalFormatting sqref="CE22">
    <cfRule type="expression" dxfId="6188" priority="665">
      <formula>OR($A22="Sa",$A22="So")</formula>
    </cfRule>
    <cfRule type="expression" dxfId="6187" priority="666">
      <formula>AND(CD22&gt;0,INDIRECT("Basistabelle!G" &amp; ($A$1+CE$1+CD22))&lt;="",INDIRECT("Basistabelle!H" &amp; ($A$1+CE$1+CD22))&gt;"")</formula>
    </cfRule>
  </conditionalFormatting>
  <conditionalFormatting sqref="CE23">
    <cfRule type="expression" dxfId="6186" priority="663">
      <formula>OR($A23="Sa",$A23="So")</formula>
    </cfRule>
    <cfRule type="expression" dxfId="6185" priority="664">
      <formula>AND(CD23&gt;0,INDIRECT("Basistabelle!G" &amp; ($A$1+CE$1+CD23))&lt;="",INDIRECT("Basistabelle!H" &amp; ($A$1+CE$1+CD23))&gt;"")</formula>
    </cfRule>
  </conditionalFormatting>
  <conditionalFormatting sqref="CE24">
    <cfRule type="expression" dxfId="6184" priority="661">
      <formula>OR($A24="Sa",$A24="So")</formula>
    </cfRule>
    <cfRule type="expression" dxfId="6183" priority="662">
      <formula>AND(CD24&gt;0,INDIRECT("Basistabelle!G" &amp; ($A$1+CE$1+CD24))&lt;="",INDIRECT("Basistabelle!H" &amp; ($A$1+CE$1+CD24))&gt;"")</formula>
    </cfRule>
  </conditionalFormatting>
  <conditionalFormatting sqref="CE25">
    <cfRule type="expression" dxfId="6182" priority="659">
      <formula>OR($A25="Sa",$A25="So")</formula>
    </cfRule>
    <cfRule type="expression" dxfId="6181" priority="660">
      <formula>AND(CD25&gt;0,INDIRECT("Basistabelle!G" &amp; ($A$1+CE$1+CD25))&lt;="",INDIRECT("Basistabelle!H" &amp; ($A$1+CE$1+CD25))&gt;"")</formula>
    </cfRule>
  </conditionalFormatting>
  <conditionalFormatting sqref="CE26">
    <cfRule type="expression" dxfId="6180" priority="657">
      <formula>OR($A26="Sa",$A26="So")</formula>
    </cfRule>
    <cfRule type="expression" dxfId="6179" priority="658">
      <formula>AND(CD26&gt;0,INDIRECT("Basistabelle!G" &amp; ($A$1+CE$1+CD26))&lt;="",INDIRECT("Basistabelle!H" &amp; ($A$1+CE$1+CD26))&gt;"")</formula>
    </cfRule>
  </conditionalFormatting>
  <conditionalFormatting sqref="CE27">
    <cfRule type="expression" dxfId="6178" priority="655">
      <formula>OR($A27="Sa",$A27="So")</formula>
    </cfRule>
    <cfRule type="expression" dxfId="6177" priority="656">
      <formula>AND(CD27&gt;0,INDIRECT("Basistabelle!G" &amp; ($A$1+CE$1+CD27))&lt;="",INDIRECT("Basistabelle!H" &amp; ($A$1+CE$1+CD27))&gt;"")</formula>
    </cfRule>
  </conditionalFormatting>
  <conditionalFormatting sqref="CE28">
    <cfRule type="expression" dxfId="6176" priority="653">
      <formula>OR($A28="Sa",$A28="So")</formula>
    </cfRule>
    <cfRule type="expression" dxfId="6175" priority="654">
      <formula>AND(CD28&gt;0,INDIRECT("Basistabelle!G" &amp; ($A$1+CE$1+CD28))&lt;="",INDIRECT("Basistabelle!H" &amp; ($A$1+CE$1+CD28))&gt;"")</formula>
    </cfRule>
  </conditionalFormatting>
  <conditionalFormatting sqref="CE29">
    <cfRule type="expression" dxfId="6174" priority="651">
      <formula>OR($A29="Sa",$A29="So")</formula>
    </cfRule>
    <cfRule type="expression" dxfId="6173" priority="652">
      <formula>AND(CD29&gt;0,INDIRECT("Basistabelle!G" &amp; ($A$1+CE$1+CD29))&lt;="",INDIRECT("Basistabelle!H" &amp; ($A$1+CE$1+CD29))&gt;"")</formula>
    </cfRule>
  </conditionalFormatting>
  <conditionalFormatting sqref="CE30">
    <cfRule type="expression" dxfId="6172" priority="649">
      <formula>OR($A30="Sa",$A30="So")</formula>
    </cfRule>
    <cfRule type="expression" dxfId="6171" priority="650">
      <formula>AND(CD30&gt;0,INDIRECT("Basistabelle!G" &amp; ($A$1+CE$1+CD30))&lt;="",INDIRECT("Basistabelle!H" &amp; ($A$1+CE$1+CD30))&gt;"")</formula>
    </cfRule>
  </conditionalFormatting>
  <conditionalFormatting sqref="CE31">
    <cfRule type="expression" dxfId="6170" priority="647">
      <formula>OR($A31="Sa",$A31="So")</formula>
    </cfRule>
    <cfRule type="expression" dxfId="6169" priority="648">
      <formula>AND(CD31&gt;0,INDIRECT("Basistabelle!G" &amp; ($A$1+CE$1+CD31))&lt;="",INDIRECT("Basistabelle!H" &amp; ($A$1+CE$1+CD31))&gt;"")</formula>
    </cfRule>
  </conditionalFormatting>
  <conditionalFormatting sqref="CE32">
    <cfRule type="expression" dxfId="6168" priority="645">
      <formula>OR($A32="Sa",$A32="So")</formula>
    </cfRule>
    <cfRule type="expression" dxfId="6167" priority="646">
      <formula>AND(CD32&gt;0,INDIRECT("Basistabelle!G" &amp; ($A$1+CE$1+CD32))&lt;="",INDIRECT("Basistabelle!H" &amp; ($A$1+CE$1+CD32))&gt;"")</formula>
    </cfRule>
  </conditionalFormatting>
  <conditionalFormatting sqref="CE33">
    <cfRule type="expression" dxfId="6166" priority="643">
      <formula>OR($A33="Sa",$A33="So")</formula>
    </cfRule>
    <cfRule type="expression" dxfId="6165" priority="644">
      <formula>AND(CD33&gt;0,INDIRECT("Basistabelle!G" &amp; ($A$1+CE$1+CD33))&lt;="",INDIRECT("Basistabelle!H" &amp; ($A$1+CE$1+CD33))&gt;"")</formula>
    </cfRule>
  </conditionalFormatting>
  <conditionalFormatting sqref="CE34">
    <cfRule type="expression" dxfId="6164" priority="641">
      <formula>OR($A34="Sa",$A34="So")</formula>
    </cfRule>
    <cfRule type="expression" dxfId="6163" priority="642">
      <formula>AND(CD34&gt;0,INDIRECT("Basistabelle!G" &amp; ($A$1+CE$1+CD34))&lt;="",INDIRECT("Basistabelle!H" &amp; ($A$1+CE$1+CD34))&gt;"")</formula>
    </cfRule>
  </conditionalFormatting>
  <conditionalFormatting sqref="CE35">
    <cfRule type="expression" dxfId="6162" priority="639">
      <formula>OR($A35="Sa",$A35="So")</formula>
    </cfRule>
    <cfRule type="expression" dxfId="6161" priority="640">
      <formula>AND(CD35&gt;0,INDIRECT("Basistabelle!G" &amp; ($A$1+CE$1+CD35))&lt;="",INDIRECT("Basistabelle!H" &amp; ($A$1+CE$1+CD35))&gt;"")</formula>
    </cfRule>
  </conditionalFormatting>
  <conditionalFormatting sqref="CE36">
    <cfRule type="expression" dxfId="6160" priority="637">
      <formula>OR($A36="Sa",$A36="So")</formula>
    </cfRule>
    <cfRule type="expression" dxfId="6159" priority="638">
      <formula>AND(CD36&gt;0,INDIRECT("Basistabelle!G" &amp; ($A$1+CE$1+CD36))&lt;="",INDIRECT("Basistabelle!H" &amp; ($A$1+CE$1+CD36))&gt;"")</formula>
    </cfRule>
  </conditionalFormatting>
  <conditionalFormatting sqref="CE37">
    <cfRule type="expression" dxfId="6158" priority="635">
      <formula>OR($A37="Sa",$A37="So")</formula>
    </cfRule>
    <cfRule type="expression" dxfId="6157" priority="636">
      <formula>AND(CD37&gt;0,INDIRECT("Basistabelle!G" &amp; ($A$1+CE$1+CD37))&lt;="",INDIRECT("Basistabelle!H" &amp; ($A$1+CE$1+CD37))&gt;"")</formula>
    </cfRule>
  </conditionalFormatting>
  <conditionalFormatting sqref="CE38">
    <cfRule type="expression" dxfId="6156" priority="633">
      <formula>OR($A38="Sa",$A38="So")</formula>
    </cfRule>
    <cfRule type="expression" dxfId="6155" priority="634">
      <formula>AND(CD38&gt;0,INDIRECT("Basistabelle!G" &amp; ($A$1+CE$1+CD38))&lt;="",INDIRECT("Basistabelle!H" &amp; ($A$1+CE$1+CD38))&gt;"")</formula>
    </cfRule>
  </conditionalFormatting>
  <conditionalFormatting sqref="CE39">
    <cfRule type="expression" dxfId="6154" priority="631">
      <formula>OR($A39="Sa",$A39="So")</formula>
    </cfRule>
    <cfRule type="expression" dxfId="6153" priority="632">
      <formula>AND(CD39&gt;0,INDIRECT("Basistabelle!G" &amp; ($A$1+CE$1+CD39))&lt;="",INDIRECT("Basistabelle!H" &amp; ($A$1+CE$1+CD39))&gt;"")</formula>
    </cfRule>
  </conditionalFormatting>
  <conditionalFormatting sqref="CE40">
    <cfRule type="expression" dxfId="6152" priority="629">
      <formula>OR($A40="Sa",$A40="So")</formula>
    </cfRule>
    <cfRule type="expression" dxfId="6151" priority="630">
      <formula>AND(CD40&gt;0,INDIRECT("Basistabelle!G" &amp; ($A$1+CE$1+CD40))&lt;="",INDIRECT("Basistabelle!H" &amp; ($A$1+CE$1+CD40))&gt;"")</formula>
    </cfRule>
  </conditionalFormatting>
  <conditionalFormatting sqref="CE41">
    <cfRule type="expression" dxfId="6150" priority="627">
      <formula>OR($A41="Sa",$A41="So")</formula>
    </cfRule>
    <cfRule type="expression" dxfId="6149" priority="628">
      <formula>AND(CD41&gt;0,INDIRECT("Basistabelle!G" &amp; ($A$1+CE$1+CD41))&lt;="",INDIRECT("Basistabelle!H" &amp; ($A$1+CE$1+CD41))&gt;"")</formula>
    </cfRule>
  </conditionalFormatting>
  <conditionalFormatting sqref="CM3">
    <cfRule type="expression" dxfId="6148" priority="625">
      <formula>OR($A3="Sa",$A3="So")</formula>
    </cfRule>
    <cfRule type="expression" dxfId="6147" priority="626">
      <formula>AND(CL3&gt;0,INDIRECT("Basistabelle!G" &amp; ($A$1+CM$1+CL3))&lt;="",INDIRECT("Basistabelle!H" &amp; ($A$1+CM$1+CL3))&gt;"")</formula>
    </cfRule>
  </conditionalFormatting>
  <conditionalFormatting sqref="CM4">
    <cfRule type="expression" dxfId="6146" priority="623">
      <formula>OR($A4="Sa",$A4="So")</formula>
    </cfRule>
    <cfRule type="expression" dxfId="6145" priority="624">
      <formula>AND(CL4&gt;0,INDIRECT("Basistabelle!G" &amp; ($A$1+CM$1+CL4))&lt;="",INDIRECT("Basistabelle!H" &amp; ($A$1+CM$1+CL4))&gt;"")</formula>
    </cfRule>
  </conditionalFormatting>
  <conditionalFormatting sqref="CM5">
    <cfRule type="expression" dxfId="6144" priority="621">
      <formula>OR($A5="Sa",$A5="So")</formula>
    </cfRule>
    <cfRule type="expression" dxfId="6143" priority="622">
      <formula>AND(CL5&gt;0,INDIRECT("Basistabelle!G" &amp; ($A$1+CM$1+CL5))&lt;="",INDIRECT("Basistabelle!H" &amp; ($A$1+CM$1+CL5))&gt;"")</formula>
    </cfRule>
  </conditionalFormatting>
  <conditionalFormatting sqref="CM6">
    <cfRule type="expression" dxfId="6142" priority="619">
      <formula>OR($A6="Sa",$A6="So")</formula>
    </cfRule>
    <cfRule type="expression" dxfId="6141" priority="620">
      <formula>AND(CL6&gt;0,INDIRECT("Basistabelle!G" &amp; ($A$1+CM$1+CL6))&lt;="",INDIRECT("Basistabelle!H" &amp; ($A$1+CM$1+CL6))&gt;"")</formula>
    </cfRule>
  </conditionalFormatting>
  <conditionalFormatting sqref="CM7">
    <cfRule type="expression" dxfId="6140" priority="617">
      <formula>OR($A7="Sa",$A7="So")</formula>
    </cfRule>
    <cfRule type="expression" dxfId="6139" priority="618">
      <formula>AND(CL7&gt;0,INDIRECT("Basistabelle!G" &amp; ($A$1+CM$1+CL7))&lt;="",INDIRECT("Basistabelle!H" &amp; ($A$1+CM$1+CL7))&gt;"")</formula>
    </cfRule>
  </conditionalFormatting>
  <conditionalFormatting sqref="CM8">
    <cfRule type="expression" dxfId="6138" priority="615">
      <formula>OR($A8="Sa",$A8="So")</formula>
    </cfRule>
    <cfRule type="expression" dxfId="6137" priority="616">
      <formula>AND(CL8&gt;0,INDIRECT("Basistabelle!G" &amp; ($A$1+CM$1+CL8))&lt;="",INDIRECT("Basistabelle!H" &amp; ($A$1+CM$1+CL8))&gt;"")</formula>
    </cfRule>
  </conditionalFormatting>
  <conditionalFormatting sqref="CM9">
    <cfRule type="expression" dxfId="6136" priority="613">
      <formula>OR($A9="Sa",$A9="So")</formula>
    </cfRule>
    <cfRule type="expression" dxfId="6135" priority="614">
      <formula>AND(CL9&gt;0,INDIRECT("Basistabelle!G" &amp; ($A$1+CM$1+CL9))&lt;="",INDIRECT("Basistabelle!H" &amp; ($A$1+CM$1+CL9))&gt;"")</formula>
    </cfRule>
  </conditionalFormatting>
  <conditionalFormatting sqref="CM10">
    <cfRule type="expression" dxfId="6134" priority="611">
      <formula>OR($A10="Sa",$A10="So")</formula>
    </cfRule>
    <cfRule type="expression" dxfId="6133" priority="612">
      <formula>AND(CL10&gt;0,INDIRECT("Basistabelle!G" &amp; ($A$1+CM$1+CL10))&lt;="",INDIRECT("Basistabelle!H" &amp; ($A$1+CM$1+CL10))&gt;"")</formula>
    </cfRule>
  </conditionalFormatting>
  <conditionalFormatting sqref="CM11">
    <cfRule type="expression" dxfId="6132" priority="609">
      <formula>OR($A11="Sa",$A11="So")</formula>
    </cfRule>
    <cfRule type="expression" dxfId="6131" priority="610">
      <formula>AND(CL11&gt;0,INDIRECT("Basistabelle!G" &amp; ($A$1+CM$1+CL11))&lt;="",INDIRECT("Basistabelle!H" &amp; ($A$1+CM$1+CL11))&gt;"")</formula>
    </cfRule>
  </conditionalFormatting>
  <conditionalFormatting sqref="CM12">
    <cfRule type="expression" dxfId="6130" priority="607">
      <formula>OR($A12="Sa",$A12="So")</formula>
    </cfRule>
    <cfRule type="expression" dxfId="6129" priority="608">
      <formula>AND(CL12&gt;0,INDIRECT("Basistabelle!G" &amp; ($A$1+CM$1+CL12))&lt;="",INDIRECT("Basistabelle!H" &amp; ($A$1+CM$1+CL12))&gt;"")</formula>
    </cfRule>
  </conditionalFormatting>
  <conditionalFormatting sqref="CM13">
    <cfRule type="expression" dxfId="6128" priority="605">
      <formula>OR($A13="Sa",$A13="So")</formula>
    </cfRule>
    <cfRule type="expression" dxfId="6127" priority="606">
      <formula>AND(CL13&gt;0,INDIRECT("Basistabelle!G" &amp; ($A$1+CM$1+CL13))&lt;="",INDIRECT("Basistabelle!H" &amp; ($A$1+CM$1+CL13))&gt;"")</formula>
    </cfRule>
  </conditionalFormatting>
  <conditionalFormatting sqref="CM14">
    <cfRule type="expression" dxfId="6126" priority="603">
      <formula>OR($A14="Sa",$A14="So")</formula>
    </cfRule>
    <cfRule type="expression" dxfId="6125" priority="604">
      <formula>AND(CL14&gt;0,INDIRECT("Basistabelle!G" &amp; ($A$1+CM$1+CL14))&lt;="",INDIRECT("Basistabelle!H" &amp; ($A$1+CM$1+CL14))&gt;"")</formula>
    </cfRule>
  </conditionalFormatting>
  <conditionalFormatting sqref="CM15">
    <cfRule type="expression" dxfId="6124" priority="601">
      <formula>OR($A15="Sa",$A15="So")</formula>
    </cfRule>
    <cfRule type="expression" dxfId="6123" priority="602">
      <formula>AND(CL15&gt;0,INDIRECT("Basistabelle!G" &amp; ($A$1+CM$1+CL15))&lt;="",INDIRECT("Basistabelle!H" &amp; ($A$1+CM$1+CL15))&gt;"")</formula>
    </cfRule>
  </conditionalFormatting>
  <conditionalFormatting sqref="CM16">
    <cfRule type="expression" dxfId="6122" priority="599">
      <formula>OR($A16="Sa",$A16="So")</formula>
    </cfRule>
    <cfRule type="expression" dxfId="6121" priority="600">
      <formula>AND(CL16&gt;0,INDIRECT("Basistabelle!G" &amp; ($A$1+CM$1+CL16))&lt;="",INDIRECT("Basistabelle!H" &amp; ($A$1+CM$1+CL16))&gt;"")</formula>
    </cfRule>
  </conditionalFormatting>
  <conditionalFormatting sqref="CM17">
    <cfRule type="expression" dxfId="6120" priority="597">
      <formula>OR($A17="Sa",$A17="So")</formula>
    </cfRule>
    <cfRule type="expression" dxfId="6119" priority="598">
      <formula>AND(CL17&gt;0,INDIRECT("Basistabelle!G" &amp; ($A$1+CM$1+CL17))&lt;="",INDIRECT("Basistabelle!H" &amp; ($A$1+CM$1+CL17))&gt;"")</formula>
    </cfRule>
  </conditionalFormatting>
  <conditionalFormatting sqref="CM18">
    <cfRule type="expression" dxfId="6118" priority="595">
      <formula>OR($A18="Sa",$A18="So")</formula>
    </cfRule>
    <cfRule type="expression" dxfId="6117" priority="596">
      <formula>AND(CL18&gt;0,INDIRECT("Basistabelle!G" &amp; ($A$1+CM$1+CL18))&lt;="",INDIRECT("Basistabelle!H" &amp; ($A$1+CM$1+CL18))&gt;"")</formula>
    </cfRule>
  </conditionalFormatting>
  <conditionalFormatting sqref="CM19">
    <cfRule type="expression" dxfId="6116" priority="593">
      <formula>OR($A19="Sa",$A19="So")</formula>
    </cfRule>
    <cfRule type="expression" dxfId="6115" priority="594">
      <formula>AND(CL19&gt;0,INDIRECT("Basistabelle!G" &amp; ($A$1+CM$1+CL19))&lt;="",INDIRECT("Basistabelle!H" &amp; ($A$1+CM$1+CL19))&gt;"")</formula>
    </cfRule>
  </conditionalFormatting>
  <conditionalFormatting sqref="CM20">
    <cfRule type="expression" dxfId="6114" priority="591">
      <formula>OR($A20="Sa",$A20="So")</formula>
    </cfRule>
    <cfRule type="expression" dxfId="6113" priority="592">
      <formula>AND(CL20&gt;0,INDIRECT("Basistabelle!G" &amp; ($A$1+CM$1+CL20))&lt;="",INDIRECT("Basistabelle!H" &amp; ($A$1+CM$1+CL20))&gt;"")</formula>
    </cfRule>
  </conditionalFormatting>
  <conditionalFormatting sqref="CM21">
    <cfRule type="expression" dxfId="6112" priority="589">
      <formula>OR($A21="Sa",$A21="So")</formula>
    </cfRule>
    <cfRule type="expression" dxfId="6111" priority="590">
      <formula>AND(CL21&gt;0,INDIRECT("Basistabelle!G" &amp; ($A$1+CM$1+CL21))&lt;="",INDIRECT("Basistabelle!H" &amp; ($A$1+CM$1+CL21))&gt;"")</formula>
    </cfRule>
  </conditionalFormatting>
  <conditionalFormatting sqref="CM22">
    <cfRule type="expression" dxfId="6110" priority="587">
      <formula>OR($A22="Sa",$A22="So")</formula>
    </cfRule>
    <cfRule type="expression" dxfId="6109" priority="588">
      <formula>AND(CL22&gt;0,INDIRECT("Basistabelle!G" &amp; ($A$1+CM$1+CL22))&lt;="",INDIRECT("Basistabelle!H" &amp; ($A$1+CM$1+CL22))&gt;"")</formula>
    </cfRule>
  </conditionalFormatting>
  <conditionalFormatting sqref="CM23">
    <cfRule type="expression" dxfId="6108" priority="585">
      <formula>OR($A23="Sa",$A23="So")</formula>
    </cfRule>
    <cfRule type="expression" dxfId="6107" priority="586">
      <formula>AND(CL23&gt;0,INDIRECT("Basistabelle!G" &amp; ($A$1+CM$1+CL23))&lt;="",INDIRECT("Basistabelle!H" &amp; ($A$1+CM$1+CL23))&gt;"")</formula>
    </cfRule>
  </conditionalFormatting>
  <conditionalFormatting sqref="CM24">
    <cfRule type="expression" dxfId="6106" priority="583">
      <formula>OR($A24="Sa",$A24="So")</formula>
    </cfRule>
    <cfRule type="expression" dxfId="6105" priority="584">
      <formula>AND(CL24&gt;0,INDIRECT("Basistabelle!G" &amp; ($A$1+CM$1+CL24))&lt;="",INDIRECT("Basistabelle!H" &amp; ($A$1+CM$1+CL24))&gt;"")</formula>
    </cfRule>
  </conditionalFormatting>
  <conditionalFormatting sqref="CM25">
    <cfRule type="expression" dxfId="6104" priority="581">
      <formula>OR($A25="Sa",$A25="So")</formula>
    </cfRule>
    <cfRule type="expression" dxfId="6103" priority="582">
      <formula>AND(CL25&gt;0,INDIRECT("Basistabelle!G" &amp; ($A$1+CM$1+CL25))&lt;="",INDIRECT("Basistabelle!H" &amp; ($A$1+CM$1+CL25))&gt;"")</formula>
    </cfRule>
  </conditionalFormatting>
  <conditionalFormatting sqref="CM26">
    <cfRule type="expression" dxfId="6102" priority="579">
      <formula>OR($A26="Sa",$A26="So")</formula>
    </cfRule>
    <cfRule type="expression" dxfId="6101" priority="580">
      <formula>AND(CL26&gt;0,INDIRECT("Basistabelle!G" &amp; ($A$1+CM$1+CL26))&lt;="",INDIRECT("Basistabelle!H" &amp; ($A$1+CM$1+CL26))&gt;"")</formula>
    </cfRule>
  </conditionalFormatting>
  <conditionalFormatting sqref="CM27">
    <cfRule type="expression" dxfId="6100" priority="577">
      <formula>OR($A27="Sa",$A27="So")</formula>
    </cfRule>
    <cfRule type="expression" dxfId="6099" priority="578">
      <formula>AND(CL27&gt;0,INDIRECT("Basistabelle!G" &amp; ($A$1+CM$1+CL27))&lt;="",INDIRECT("Basistabelle!H" &amp; ($A$1+CM$1+CL27))&gt;"")</formula>
    </cfRule>
  </conditionalFormatting>
  <conditionalFormatting sqref="CM28">
    <cfRule type="expression" dxfId="6098" priority="575">
      <formula>OR($A28="Sa",$A28="So")</formula>
    </cfRule>
    <cfRule type="expression" dxfId="6097" priority="576">
      <formula>AND(CL28&gt;0,INDIRECT("Basistabelle!G" &amp; ($A$1+CM$1+CL28))&lt;="",INDIRECT("Basistabelle!H" &amp; ($A$1+CM$1+CL28))&gt;"")</formula>
    </cfRule>
  </conditionalFormatting>
  <conditionalFormatting sqref="CM29">
    <cfRule type="expression" dxfId="6096" priority="573">
      <formula>OR($A29="Sa",$A29="So")</formula>
    </cfRule>
    <cfRule type="expression" dxfId="6095" priority="574">
      <formula>AND(CL29&gt;0,INDIRECT("Basistabelle!G" &amp; ($A$1+CM$1+CL29))&lt;="",INDIRECT("Basistabelle!H" &amp; ($A$1+CM$1+CL29))&gt;"")</formula>
    </cfRule>
  </conditionalFormatting>
  <conditionalFormatting sqref="CM30">
    <cfRule type="expression" dxfId="6094" priority="571">
      <formula>OR($A30="Sa",$A30="So")</formula>
    </cfRule>
    <cfRule type="expression" dxfId="6093" priority="572">
      <formula>AND(CL30&gt;0,INDIRECT("Basistabelle!G" &amp; ($A$1+CM$1+CL30))&lt;="",INDIRECT("Basistabelle!H" &amp; ($A$1+CM$1+CL30))&gt;"")</formula>
    </cfRule>
  </conditionalFormatting>
  <conditionalFormatting sqref="CM31">
    <cfRule type="expression" dxfId="6092" priority="569">
      <formula>OR($A31="Sa",$A31="So")</formula>
    </cfRule>
    <cfRule type="expression" dxfId="6091" priority="570">
      <formula>AND(CL31&gt;0,INDIRECT("Basistabelle!G" &amp; ($A$1+CM$1+CL31))&lt;="",INDIRECT("Basistabelle!H" &amp; ($A$1+CM$1+CL31))&gt;"")</formula>
    </cfRule>
  </conditionalFormatting>
  <conditionalFormatting sqref="CM32">
    <cfRule type="expression" dxfId="6090" priority="567">
      <formula>OR($A32="Sa",$A32="So")</formula>
    </cfRule>
    <cfRule type="expression" dxfId="6089" priority="568">
      <formula>AND(CL32&gt;0,INDIRECT("Basistabelle!G" &amp; ($A$1+CM$1+CL32))&lt;="",INDIRECT("Basistabelle!H" &amp; ($A$1+CM$1+CL32))&gt;"")</formula>
    </cfRule>
  </conditionalFormatting>
  <conditionalFormatting sqref="CM33">
    <cfRule type="expression" dxfId="6088" priority="565">
      <formula>OR($A33="Sa",$A33="So")</formula>
    </cfRule>
    <cfRule type="expression" dxfId="6087" priority="566">
      <formula>AND(CL33&gt;0,INDIRECT("Basistabelle!G" &amp; ($A$1+CM$1+CL33))&lt;="",INDIRECT("Basistabelle!H" &amp; ($A$1+CM$1+CL33))&gt;"")</formula>
    </cfRule>
  </conditionalFormatting>
  <conditionalFormatting sqref="CM34">
    <cfRule type="expression" dxfId="6086" priority="563">
      <formula>OR($A34="Sa",$A34="So")</formula>
    </cfRule>
    <cfRule type="expression" dxfId="6085" priority="564">
      <formula>AND(CL34&gt;0,INDIRECT("Basistabelle!G" &amp; ($A$1+CM$1+CL34))&lt;="",INDIRECT("Basistabelle!H" &amp; ($A$1+CM$1+CL34))&gt;"")</formula>
    </cfRule>
  </conditionalFormatting>
  <conditionalFormatting sqref="CM35">
    <cfRule type="expression" dxfId="6084" priority="561">
      <formula>OR($A35="Sa",$A35="So")</formula>
    </cfRule>
    <cfRule type="expression" dxfId="6083" priority="562">
      <formula>AND(CL35&gt;0,INDIRECT("Basistabelle!G" &amp; ($A$1+CM$1+CL35))&lt;="",INDIRECT("Basistabelle!H" &amp; ($A$1+CM$1+CL35))&gt;"")</formula>
    </cfRule>
  </conditionalFormatting>
  <conditionalFormatting sqref="CM36">
    <cfRule type="expression" dxfId="6082" priority="559">
      <formula>OR($A36="Sa",$A36="So")</formula>
    </cfRule>
    <cfRule type="expression" dxfId="6081" priority="560">
      <formula>AND(CL36&gt;0,INDIRECT("Basistabelle!G" &amp; ($A$1+CM$1+CL36))&lt;="",INDIRECT("Basistabelle!H" &amp; ($A$1+CM$1+CL36))&gt;"")</formula>
    </cfRule>
  </conditionalFormatting>
  <conditionalFormatting sqref="CM37">
    <cfRule type="expression" dxfId="6080" priority="557">
      <formula>OR($A37="Sa",$A37="So")</formula>
    </cfRule>
    <cfRule type="expression" dxfId="6079" priority="558">
      <formula>AND(CL37&gt;0,INDIRECT("Basistabelle!G" &amp; ($A$1+CM$1+CL37))&lt;="",INDIRECT("Basistabelle!H" &amp; ($A$1+CM$1+CL37))&gt;"")</formula>
    </cfRule>
  </conditionalFormatting>
  <conditionalFormatting sqref="CM38">
    <cfRule type="expression" dxfId="6078" priority="555">
      <formula>OR($A38="Sa",$A38="So")</formula>
    </cfRule>
    <cfRule type="expression" dxfId="6077" priority="556">
      <formula>AND(CL38&gt;0,INDIRECT("Basistabelle!G" &amp; ($A$1+CM$1+CL38))&lt;="",INDIRECT("Basistabelle!H" &amp; ($A$1+CM$1+CL38))&gt;"")</formula>
    </cfRule>
  </conditionalFormatting>
  <conditionalFormatting sqref="CM39">
    <cfRule type="expression" dxfId="6076" priority="553">
      <formula>OR($A39="Sa",$A39="So")</formula>
    </cfRule>
    <cfRule type="expression" dxfId="6075" priority="554">
      <formula>AND(CL39&gt;0,INDIRECT("Basistabelle!G" &amp; ($A$1+CM$1+CL39))&lt;="",INDIRECT("Basistabelle!H" &amp; ($A$1+CM$1+CL39))&gt;"")</formula>
    </cfRule>
  </conditionalFormatting>
  <conditionalFormatting sqref="CM40">
    <cfRule type="expression" dxfId="6074" priority="551">
      <formula>OR($A40="Sa",$A40="So")</formula>
    </cfRule>
    <cfRule type="expression" dxfId="6073" priority="552">
      <formula>AND(CL40&gt;0,INDIRECT("Basistabelle!G" &amp; ($A$1+CM$1+CL40))&lt;="",INDIRECT("Basistabelle!H" &amp; ($A$1+CM$1+CL40))&gt;"")</formula>
    </cfRule>
  </conditionalFormatting>
  <conditionalFormatting sqref="CM41">
    <cfRule type="expression" dxfId="6072" priority="549">
      <formula>OR($A41="Sa",$A41="So")</formula>
    </cfRule>
    <cfRule type="expression" dxfId="6071" priority="550">
      <formula>AND(CL41&gt;0,INDIRECT("Basistabelle!G" &amp; ($A$1+CM$1+CL41))&lt;="",INDIRECT("Basistabelle!H" &amp; ($A$1+CM$1+CL41))&gt;"")</formula>
    </cfRule>
  </conditionalFormatting>
  <conditionalFormatting sqref="BG3">
    <cfRule type="expression" dxfId="6070" priority="547">
      <formula>OR($A3="Sa",$A3="So")</formula>
    </cfRule>
    <cfRule type="expression" dxfId="6069" priority="548">
      <formula>AND(BF3&gt;0,INDIRECT("Basistabelle!G" &amp; ($A$1+BG$1+BF3))&lt;="",INDIRECT("Basistabelle!H" &amp; ($A$1+BG$1+BF3))&gt;"")</formula>
    </cfRule>
  </conditionalFormatting>
  <conditionalFormatting sqref="BG4">
    <cfRule type="expression" dxfId="6068" priority="545">
      <formula>OR($A4="Sa",$A4="So")</formula>
    </cfRule>
    <cfRule type="expression" dxfId="6067" priority="546">
      <formula>AND(BF4&gt;0,INDIRECT("Basistabelle!G" &amp; ($A$1+BG$1+BF4))&lt;="",INDIRECT("Basistabelle!H" &amp; ($A$1+BG$1+BF4))&gt;"")</formula>
    </cfRule>
  </conditionalFormatting>
  <conditionalFormatting sqref="BG5">
    <cfRule type="expression" dxfId="6066" priority="543">
      <formula>OR($A5="Sa",$A5="So")</formula>
    </cfRule>
    <cfRule type="expression" dxfId="6065" priority="544">
      <formula>AND(BF5&gt;0,INDIRECT("Basistabelle!G" &amp; ($A$1+BG$1+BF5))&lt;="",INDIRECT("Basistabelle!H" &amp; ($A$1+BG$1+BF5))&gt;"")</formula>
    </cfRule>
  </conditionalFormatting>
  <conditionalFormatting sqref="BG6">
    <cfRule type="expression" dxfId="6064" priority="541">
      <formula>OR($A6="Sa",$A6="So")</formula>
    </cfRule>
    <cfRule type="expression" dxfId="6063" priority="542">
      <formula>AND(BF6&gt;0,INDIRECT("Basistabelle!G" &amp; ($A$1+BG$1+BF6))&lt;="",INDIRECT("Basistabelle!H" &amp; ($A$1+BG$1+BF6))&gt;"")</formula>
    </cfRule>
  </conditionalFormatting>
  <conditionalFormatting sqref="BG7">
    <cfRule type="expression" dxfId="6062" priority="539">
      <formula>OR($A7="Sa",$A7="So")</formula>
    </cfRule>
    <cfRule type="expression" dxfId="6061" priority="540">
      <formula>AND(BF7&gt;0,INDIRECT("Basistabelle!G" &amp; ($A$1+BG$1+BF7))&lt;="",INDIRECT("Basistabelle!H" &amp; ($A$1+BG$1+BF7))&gt;"")</formula>
    </cfRule>
  </conditionalFormatting>
  <conditionalFormatting sqref="BG8">
    <cfRule type="expression" dxfId="6060" priority="537">
      <formula>OR($A8="Sa",$A8="So")</formula>
    </cfRule>
    <cfRule type="expression" dxfId="6059" priority="538">
      <formula>AND(BF8&gt;0,INDIRECT("Basistabelle!G" &amp; ($A$1+BG$1+BF8))&lt;="",INDIRECT("Basistabelle!H" &amp; ($A$1+BG$1+BF8))&gt;"")</formula>
    </cfRule>
  </conditionalFormatting>
  <conditionalFormatting sqref="BG9">
    <cfRule type="expression" dxfId="6058" priority="535">
      <formula>OR($A9="Sa",$A9="So")</formula>
    </cfRule>
    <cfRule type="expression" dxfId="6057" priority="536">
      <formula>AND(BF9&gt;0,INDIRECT("Basistabelle!G" &amp; ($A$1+BG$1+BF9))&lt;="",INDIRECT("Basistabelle!H" &amp; ($A$1+BG$1+BF9))&gt;"")</formula>
    </cfRule>
  </conditionalFormatting>
  <conditionalFormatting sqref="BG10">
    <cfRule type="expression" dxfId="6056" priority="533">
      <formula>OR($A10="Sa",$A10="So")</formula>
    </cfRule>
    <cfRule type="expression" dxfId="6055" priority="534">
      <formula>AND(BF10&gt;0,INDIRECT("Basistabelle!G" &amp; ($A$1+BG$1+BF10))&lt;="",INDIRECT("Basistabelle!H" &amp; ($A$1+BG$1+BF10))&gt;"")</formula>
    </cfRule>
  </conditionalFormatting>
  <conditionalFormatting sqref="BG11">
    <cfRule type="expression" dxfId="6054" priority="531">
      <formula>OR($A11="Sa",$A11="So")</formula>
    </cfRule>
    <cfRule type="expression" dxfId="6053" priority="532">
      <formula>AND(BF11&gt;0,INDIRECT("Basistabelle!G" &amp; ($A$1+BG$1+BF11))&lt;="",INDIRECT("Basistabelle!H" &amp; ($A$1+BG$1+BF11))&gt;"")</formula>
    </cfRule>
  </conditionalFormatting>
  <conditionalFormatting sqref="BG12">
    <cfRule type="expression" dxfId="6052" priority="529">
      <formula>OR($A12="Sa",$A12="So")</formula>
    </cfRule>
    <cfRule type="expression" dxfId="6051" priority="530">
      <formula>AND(BF12&gt;0,INDIRECT("Basistabelle!G" &amp; ($A$1+BG$1+BF12))&lt;="",INDIRECT("Basistabelle!H" &amp; ($A$1+BG$1+BF12))&gt;"")</formula>
    </cfRule>
  </conditionalFormatting>
  <conditionalFormatting sqref="BG13">
    <cfRule type="expression" dxfId="6050" priority="527">
      <formula>OR($A13="Sa",$A13="So")</formula>
    </cfRule>
    <cfRule type="expression" dxfId="6049" priority="528">
      <formula>AND(BF13&gt;0,INDIRECT("Basistabelle!G" &amp; ($A$1+BG$1+BF13))&lt;="",INDIRECT("Basistabelle!H" &amp; ($A$1+BG$1+BF13))&gt;"")</formula>
    </cfRule>
  </conditionalFormatting>
  <conditionalFormatting sqref="BG14">
    <cfRule type="expression" dxfId="6048" priority="525">
      <formula>OR($A14="Sa",$A14="So")</formula>
    </cfRule>
    <cfRule type="expression" dxfId="6047" priority="526">
      <formula>AND(BF14&gt;0,INDIRECT("Basistabelle!G" &amp; ($A$1+BG$1+BF14))&lt;="",INDIRECT("Basistabelle!H" &amp; ($A$1+BG$1+BF14))&gt;"")</formula>
    </cfRule>
  </conditionalFormatting>
  <conditionalFormatting sqref="BG15">
    <cfRule type="expression" dxfId="6046" priority="523">
      <formula>OR($A15="Sa",$A15="So")</formula>
    </cfRule>
    <cfRule type="expression" dxfId="6045" priority="524">
      <formula>AND(BF15&gt;0,INDIRECT("Basistabelle!G" &amp; ($A$1+BG$1+BF15))&lt;="",INDIRECT("Basistabelle!H" &amp; ($A$1+BG$1+BF15))&gt;"")</formula>
    </cfRule>
  </conditionalFormatting>
  <conditionalFormatting sqref="BG16">
    <cfRule type="expression" dxfId="6044" priority="521">
      <formula>OR($A16="Sa",$A16="So")</formula>
    </cfRule>
    <cfRule type="expression" dxfId="6043" priority="522">
      <formula>AND(BF16&gt;0,INDIRECT("Basistabelle!G" &amp; ($A$1+BG$1+BF16))&lt;="",INDIRECT("Basistabelle!H" &amp; ($A$1+BG$1+BF16))&gt;"")</formula>
    </cfRule>
  </conditionalFormatting>
  <conditionalFormatting sqref="BG17">
    <cfRule type="expression" dxfId="6042" priority="519">
      <formula>OR($A17="Sa",$A17="So")</formula>
    </cfRule>
    <cfRule type="expression" dxfId="6041" priority="520">
      <formula>AND(BF17&gt;0,INDIRECT("Basistabelle!G" &amp; ($A$1+BG$1+BF17))&lt;="",INDIRECT("Basistabelle!H" &amp; ($A$1+BG$1+BF17))&gt;"")</formula>
    </cfRule>
  </conditionalFormatting>
  <conditionalFormatting sqref="BG18">
    <cfRule type="expression" dxfId="6040" priority="517">
      <formula>OR($A18="Sa",$A18="So")</formula>
    </cfRule>
    <cfRule type="expression" dxfId="6039" priority="518">
      <formula>AND(BF18&gt;0,INDIRECT("Basistabelle!G" &amp; ($A$1+BG$1+BF18))&lt;="",INDIRECT("Basistabelle!H" &amp; ($A$1+BG$1+BF18))&gt;"")</formula>
    </cfRule>
  </conditionalFormatting>
  <conditionalFormatting sqref="BG19">
    <cfRule type="expression" dxfId="6038" priority="515">
      <formula>OR($A19="Sa",$A19="So")</formula>
    </cfRule>
    <cfRule type="expression" dxfId="6037" priority="516">
      <formula>AND(BF19&gt;0,INDIRECT("Basistabelle!G" &amp; ($A$1+BG$1+BF19))&lt;="",INDIRECT("Basistabelle!H" &amp; ($A$1+BG$1+BF19))&gt;"")</formula>
    </cfRule>
  </conditionalFormatting>
  <conditionalFormatting sqref="BG20">
    <cfRule type="expression" dxfId="6036" priority="513">
      <formula>OR($A20="Sa",$A20="So")</formula>
    </cfRule>
    <cfRule type="expression" dxfId="6035" priority="514">
      <formula>AND(BF20&gt;0,INDIRECT("Basistabelle!G" &amp; ($A$1+BG$1+BF20))&lt;="",INDIRECT("Basistabelle!H" &amp; ($A$1+BG$1+BF20))&gt;"")</formula>
    </cfRule>
  </conditionalFormatting>
  <conditionalFormatting sqref="BG21">
    <cfRule type="expression" dxfId="6034" priority="511">
      <formula>OR($A21="Sa",$A21="So")</formula>
    </cfRule>
    <cfRule type="expression" dxfId="6033" priority="512">
      <formula>AND(BF21&gt;0,INDIRECT("Basistabelle!G" &amp; ($A$1+BG$1+BF21))&lt;="",INDIRECT("Basistabelle!H" &amp; ($A$1+BG$1+BF21))&gt;"")</formula>
    </cfRule>
  </conditionalFormatting>
  <conditionalFormatting sqref="BG22">
    <cfRule type="expression" dxfId="6032" priority="509">
      <formula>OR($A22="Sa",$A22="So")</formula>
    </cfRule>
    <cfRule type="expression" dxfId="6031" priority="510">
      <formula>AND(BF22&gt;0,INDIRECT("Basistabelle!G" &amp; ($A$1+BG$1+BF22))&lt;="",INDIRECT("Basistabelle!H" &amp; ($A$1+BG$1+BF22))&gt;"")</formula>
    </cfRule>
  </conditionalFormatting>
  <conditionalFormatting sqref="BG23">
    <cfRule type="expression" dxfId="6030" priority="507">
      <formula>OR($A23="Sa",$A23="So")</formula>
    </cfRule>
    <cfRule type="expression" dxfId="6029" priority="508">
      <formula>AND(BF23&gt;0,INDIRECT("Basistabelle!G" &amp; ($A$1+BG$1+BF23))&lt;="",INDIRECT("Basistabelle!H" &amp; ($A$1+BG$1+BF23))&gt;"")</formula>
    </cfRule>
  </conditionalFormatting>
  <conditionalFormatting sqref="BG24">
    <cfRule type="expression" dxfId="6028" priority="505">
      <formula>OR($A24="Sa",$A24="So")</formula>
    </cfRule>
    <cfRule type="expression" dxfId="6027" priority="506">
      <formula>AND(BF24&gt;0,INDIRECT("Basistabelle!G" &amp; ($A$1+BG$1+BF24))&lt;="",INDIRECT("Basistabelle!H" &amp; ($A$1+BG$1+BF24))&gt;"")</formula>
    </cfRule>
  </conditionalFormatting>
  <conditionalFormatting sqref="BG25">
    <cfRule type="expression" dxfId="6026" priority="503">
      <formula>OR($A25="Sa",$A25="So")</formula>
    </cfRule>
    <cfRule type="expression" dxfId="6025" priority="504">
      <formula>AND(BF25&gt;0,INDIRECT("Basistabelle!G" &amp; ($A$1+BG$1+BF25))&lt;="",INDIRECT("Basistabelle!H" &amp; ($A$1+BG$1+BF25))&gt;"")</formula>
    </cfRule>
  </conditionalFormatting>
  <conditionalFormatting sqref="BG26">
    <cfRule type="expression" dxfId="6024" priority="501">
      <formula>OR($A26="Sa",$A26="So")</formula>
    </cfRule>
    <cfRule type="expression" dxfId="6023" priority="502">
      <formula>AND(BF26&gt;0,INDIRECT("Basistabelle!G" &amp; ($A$1+BG$1+BF26))&lt;="",INDIRECT("Basistabelle!H" &amp; ($A$1+BG$1+BF26))&gt;"")</formula>
    </cfRule>
  </conditionalFormatting>
  <conditionalFormatting sqref="BG27">
    <cfRule type="expression" dxfId="6022" priority="499">
      <formula>OR($A27="Sa",$A27="So")</formula>
    </cfRule>
    <cfRule type="expression" dxfId="6021" priority="500">
      <formula>AND(BF27&gt;0,INDIRECT("Basistabelle!G" &amp; ($A$1+BG$1+BF27))&lt;="",INDIRECT("Basistabelle!H" &amp; ($A$1+BG$1+BF27))&gt;"")</formula>
    </cfRule>
  </conditionalFormatting>
  <conditionalFormatting sqref="BG28">
    <cfRule type="expression" dxfId="6020" priority="497">
      <formula>OR($A28="Sa",$A28="So")</formula>
    </cfRule>
    <cfRule type="expression" dxfId="6019" priority="498">
      <formula>AND(BF28&gt;0,INDIRECT("Basistabelle!G" &amp; ($A$1+BG$1+BF28))&lt;="",INDIRECT("Basistabelle!H" &amp; ($A$1+BG$1+BF28))&gt;"")</formula>
    </cfRule>
  </conditionalFormatting>
  <conditionalFormatting sqref="BG29">
    <cfRule type="expression" dxfId="6018" priority="495">
      <formula>OR($A29="Sa",$A29="So")</formula>
    </cfRule>
    <cfRule type="expression" dxfId="6017" priority="496">
      <formula>AND(BF29&gt;0,INDIRECT("Basistabelle!G" &amp; ($A$1+BG$1+BF29))&lt;="",INDIRECT("Basistabelle!H" &amp; ($A$1+BG$1+BF29))&gt;"")</formula>
    </cfRule>
  </conditionalFormatting>
  <conditionalFormatting sqref="BG30">
    <cfRule type="expression" dxfId="6016" priority="493">
      <formula>OR($A30="Sa",$A30="So")</formula>
    </cfRule>
    <cfRule type="expression" dxfId="6015" priority="494">
      <formula>AND(BF30&gt;0,INDIRECT("Basistabelle!G" &amp; ($A$1+BG$1+BF30))&lt;="",INDIRECT("Basistabelle!H" &amp; ($A$1+BG$1+BF30))&gt;"")</formula>
    </cfRule>
  </conditionalFormatting>
  <conditionalFormatting sqref="BG31">
    <cfRule type="expression" dxfId="6014" priority="491">
      <formula>OR($A31="Sa",$A31="So")</formula>
    </cfRule>
    <cfRule type="expression" dxfId="6013" priority="492">
      <formula>AND(BF31&gt;0,INDIRECT("Basistabelle!G" &amp; ($A$1+BG$1+BF31))&lt;="",INDIRECT("Basistabelle!H" &amp; ($A$1+BG$1+BF31))&gt;"")</formula>
    </cfRule>
  </conditionalFormatting>
  <conditionalFormatting sqref="BG32">
    <cfRule type="expression" dxfId="6012" priority="489">
      <formula>OR($A32="Sa",$A32="So")</formula>
    </cfRule>
    <cfRule type="expression" dxfId="6011" priority="490">
      <formula>AND(BF32&gt;0,INDIRECT("Basistabelle!G" &amp; ($A$1+BG$1+BF32))&lt;="",INDIRECT("Basistabelle!H" &amp; ($A$1+BG$1+BF32))&gt;"")</formula>
    </cfRule>
  </conditionalFormatting>
  <conditionalFormatting sqref="BG33">
    <cfRule type="expression" dxfId="6010" priority="487">
      <formula>OR($A33="Sa",$A33="So")</formula>
    </cfRule>
    <cfRule type="expression" dxfId="6009" priority="488">
      <formula>AND(BF33&gt;0,INDIRECT("Basistabelle!G" &amp; ($A$1+BG$1+BF33))&lt;="",INDIRECT("Basistabelle!H" &amp; ($A$1+BG$1+BF33))&gt;"")</formula>
    </cfRule>
  </conditionalFormatting>
  <conditionalFormatting sqref="BG34">
    <cfRule type="expression" dxfId="6008" priority="485">
      <formula>OR($A34="Sa",$A34="So")</formula>
    </cfRule>
    <cfRule type="expression" dxfId="6007" priority="486">
      <formula>AND(BF34&gt;0,INDIRECT("Basistabelle!G" &amp; ($A$1+BG$1+BF34))&lt;="",INDIRECT("Basistabelle!H" &amp; ($A$1+BG$1+BF34))&gt;"")</formula>
    </cfRule>
  </conditionalFormatting>
  <conditionalFormatting sqref="BG35">
    <cfRule type="expression" dxfId="6006" priority="483">
      <formula>OR($A35="Sa",$A35="So")</formula>
    </cfRule>
    <cfRule type="expression" dxfId="6005" priority="484">
      <formula>AND(BF35&gt;0,INDIRECT("Basistabelle!G" &amp; ($A$1+BG$1+BF35))&lt;="",INDIRECT("Basistabelle!H" &amp; ($A$1+BG$1+BF35))&gt;"")</formula>
    </cfRule>
  </conditionalFormatting>
  <conditionalFormatting sqref="BG36">
    <cfRule type="expression" dxfId="6004" priority="481">
      <formula>OR($A36="Sa",$A36="So")</formula>
    </cfRule>
    <cfRule type="expression" dxfId="6003" priority="482">
      <formula>AND(BF36&gt;0,INDIRECT("Basistabelle!G" &amp; ($A$1+BG$1+BF36))&lt;="",INDIRECT("Basistabelle!H" &amp; ($A$1+BG$1+BF36))&gt;"")</formula>
    </cfRule>
  </conditionalFormatting>
  <conditionalFormatting sqref="BG37">
    <cfRule type="expression" dxfId="6002" priority="479">
      <formula>OR($A37="Sa",$A37="So")</formula>
    </cfRule>
    <cfRule type="expression" dxfId="6001" priority="480">
      <formula>AND(BF37&gt;0,INDIRECT("Basistabelle!G" &amp; ($A$1+BG$1+BF37))&lt;="",INDIRECT("Basistabelle!H" &amp; ($A$1+BG$1+BF37))&gt;"")</formula>
    </cfRule>
  </conditionalFormatting>
  <conditionalFormatting sqref="BG38">
    <cfRule type="expression" dxfId="6000" priority="477">
      <formula>OR($A38="Sa",$A38="So")</formula>
    </cfRule>
    <cfRule type="expression" dxfId="5999" priority="478">
      <formula>AND(BF38&gt;0,INDIRECT("Basistabelle!G" &amp; ($A$1+BG$1+BF38))&lt;="",INDIRECT("Basistabelle!H" &amp; ($A$1+BG$1+BF38))&gt;"")</formula>
    </cfRule>
  </conditionalFormatting>
  <conditionalFormatting sqref="BG39">
    <cfRule type="expression" dxfId="5998" priority="475">
      <formula>OR($A39="Sa",$A39="So")</formula>
    </cfRule>
    <cfRule type="expression" dxfId="5997" priority="476">
      <formula>AND(BF39&gt;0,INDIRECT("Basistabelle!G" &amp; ($A$1+BG$1+BF39))&lt;="",INDIRECT("Basistabelle!H" &amp; ($A$1+BG$1+BF39))&gt;"")</formula>
    </cfRule>
  </conditionalFormatting>
  <conditionalFormatting sqref="BG40">
    <cfRule type="expression" dxfId="5996" priority="473">
      <formula>OR($A40="Sa",$A40="So")</formula>
    </cfRule>
    <cfRule type="expression" dxfId="5995" priority="474">
      <formula>AND(BF40&gt;0,INDIRECT("Basistabelle!G" &amp; ($A$1+BG$1+BF40))&lt;="",INDIRECT("Basistabelle!H" &amp; ($A$1+BG$1+BF40))&gt;"")</formula>
    </cfRule>
  </conditionalFormatting>
  <conditionalFormatting sqref="BG41">
    <cfRule type="expression" dxfId="5994" priority="471">
      <formula>OR($A41="Sa",$A41="So")</formula>
    </cfRule>
    <cfRule type="expression" dxfId="5993" priority="472">
      <formula>AND(BF41&gt;0,INDIRECT("Basistabelle!G" &amp; ($A$1+BG$1+BF41))&lt;="",INDIRECT("Basistabelle!H" &amp; ($A$1+BG$1+BF41))&gt;"")</formula>
    </cfRule>
  </conditionalFormatting>
  <conditionalFormatting sqref="AY3">
    <cfRule type="expression" dxfId="5992" priority="469">
      <formula>OR($A3="Sa",$A3="So")</formula>
    </cfRule>
    <cfRule type="expression" dxfId="5991" priority="470">
      <formula>AND(AX3&gt;0,INDIRECT("Basistabelle!G" &amp; ($A$1+AY$1+AX3))&lt;="",INDIRECT("Basistabelle!H" &amp; ($A$1+AY$1+AX3))&gt;"")</formula>
    </cfRule>
  </conditionalFormatting>
  <conditionalFormatting sqref="AY4">
    <cfRule type="expression" dxfId="5990" priority="467">
      <formula>OR($A4="Sa",$A4="So")</formula>
    </cfRule>
    <cfRule type="expression" dxfId="5989" priority="468">
      <formula>AND(AX4&gt;0,INDIRECT("Basistabelle!G" &amp; ($A$1+AY$1+AX4))&lt;="",INDIRECT("Basistabelle!H" &amp; ($A$1+AY$1+AX4))&gt;"")</formula>
    </cfRule>
  </conditionalFormatting>
  <conditionalFormatting sqref="AY5">
    <cfRule type="expression" dxfId="5988" priority="465">
      <formula>OR($A5="Sa",$A5="So")</formula>
    </cfRule>
    <cfRule type="expression" dxfId="5987" priority="466">
      <formula>AND(AX5&gt;0,INDIRECT("Basistabelle!G" &amp; ($A$1+AY$1+AX5))&lt;="",INDIRECT("Basistabelle!H" &amp; ($A$1+AY$1+AX5))&gt;"")</formula>
    </cfRule>
  </conditionalFormatting>
  <conditionalFormatting sqref="AY6">
    <cfRule type="expression" dxfId="5986" priority="463">
      <formula>OR($A6="Sa",$A6="So")</formula>
    </cfRule>
    <cfRule type="expression" dxfId="5985" priority="464">
      <formula>AND(AX6&gt;0,INDIRECT("Basistabelle!G" &amp; ($A$1+AY$1+AX6))&lt;="",INDIRECT("Basistabelle!H" &amp; ($A$1+AY$1+AX6))&gt;"")</formula>
    </cfRule>
  </conditionalFormatting>
  <conditionalFormatting sqref="AY7">
    <cfRule type="expression" dxfId="5984" priority="461">
      <formula>OR($A7="Sa",$A7="So")</formula>
    </cfRule>
    <cfRule type="expression" dxfId="5983" priority="462">
      <formula>AND(AX7&gt;0,INDIRECT("Basistabelle!G" &amp; ($A$1+AY$1+AX7))&lt;="",INDIRECT("Basistabelle!H" &amp; ($A$1+AY$1+AX7))&gt;"")</formula>
    </cfRule>
  </conditionalFormatting>
  <conditionalFormatting sqref="AY8">
    <cfRule type="expression" dxfId="5982" priority="459">
      <formula>OR($A8="Sa",$A8="So")</formula>
    </cfRule>
    <cfRule type="expression" dxfId="5981" priority="460">
      <formula>AND(AX8&gt;0,INDIRECT("Basistabelle!G" &amp; ($A$1+AY$1+AX8))&lt;="",INDIRECT("Basistabelle!H" &amp; ($A$1+AY$1+AX8))&gt;"")</formula>
    </cfRule>
  </conditionalFormatting>
  <conditionalFormatting sqref="AY9">
    <cfRule type="expression" dxfId="5980" priority="457">
      <formula>OR($A9="Sa",$A9="So")</formula>
    </cfRule>
    <cfRule type="expression" dxfId="5979" priority="458">
      <formula>AND(AX9&gt;0,INDIRECT("Basistabelle!G" &amp; ($A$1+AY$1+AX9))&lt;="",INDIRECT("Basistabelle!H" &amp; ($A$1+AY$1+AX9))&gt;"")</formula>
    </cfRule>
  </conditionalFormatting>
  <conditionalFormatting sqref="AY10">
    <cfRule type="expression" dxfId="5978" priority="455">
      <formula>OR($A10="Sa",$A10="So")</formula>
    </cfRule>
    <cfRule type="expression" dxfId="5977" priority="456">
      <formula>AND(AX10&gt;0,INDIRECT("Basistabelle!G" &amp; ($A$1+AY$1+AX10))&lt;="",INDIRECT("Basistabelle!H" &amp; ($A$1+AY$1+AX10))&gt;"")</formula>
    </cfRule>
  </conditionalFormatting>
  <conditionalFormatting sqref="AY11">
    <cfRule type="expression" dxfId="5976" priority="453">
      <formula>OR($A11="Sa",$A11="So")</formula>
    </cfRule>
    <cfRule type="expression" dxfId="5975" priority="454">
      <formula>AND(AX11&gt;0,INDIRECT("Basistabelle!G" &amp; ($A$1+AY$1+AX11))&lt;="",INDIRECT("Basistabelle!H" &amp; ($A$1+AY$1+AX11))&gt;"")</formula>
    </cfRule>
  </conditionalFormatting>
  <conditionalFormatting sqref="AY12">
    <cfRule type="expression" dxfId="5974" priority="451">
      <formula>OR($A12="Sa",$A12="So")</formula>
    </cfRule>
    <cfRule type="expression" dxfId="5973" priority="452">
      <formula>AND(AX12&gt;0,INDIRECT("Basistabelle!G" &amp; ($A$1+AY$1+AX12))&lt;="",INDIRECT("Basistabelle!H" &amp; ($A$1+AY$1+AX12))&gt;"")</formula>
    </cfRule>
  </conditionalFormatting>
  <conditionalFormatting sqref="AY13">
    <cfRule type="expression" dxfId="5972" priority="449">
      <formula>OR($A13="Sa",$A13="So")</formula>
    </cfRule>
    <cfRule type="expression" dxfId="5971" priority="450">
      <formula>AND(AX13&gt;0,INDIRECT("Basistabelle!G" &amp; ($A$1+AY$1+AX13))&lt;="",INDIRECT("Basistabelle!H" &amp; ($A$1+AY$1+AX13))&gt;"")</formula>
    </cfRule>
  </conditionalFormatting>
  <conditionalFormatting sqref="AY14">
    <cfRule type="expression" dxfId="5970" priority="447">
      <formula>OR($A14="Sa",$A14="So")</formula>
    </cfRule>
    <cfRule type="expression" dxfId="5969" priority="448">
      <formula>AND(AX14&gt;0,INDIRECT("Basistabelle!G" &amp; ($A$1+AY$1+AX14))&lt;="",INDIRECT("Basistabelle!H" &amp; ($A$1+AY$1+AX14))&gt;"")</formula>
    </cfRule>
  </conditionalFormatting>
  <conditionalFormatting sqref="AY15">
    <cfRule type="expression" dxfId="5968" priority="445">
      <formula>OR($A15="Sa",$A15="So")</formula>
    </cfRule>
    <cfRule type="expression" dxfId="5967" priority="446">
      <formula>AND(AX15&gt;0,INDIRECT("Basistabelle!G" &amp; ($A$1+AY$1+AX15))&lt;="",INDIRECT("Basistabelle!H" &amp; ($A$1+AY$1+AX15))&gt;"")</formula>
    </cfRule>
  </conditionalFormatting>
  <conditionalFormatting sqref="AY16">
    <cfRule type="expression" dxfId="5966" priority="443">
      <formula>OR($A16="Sa",$A16="So")</formula>
    </cfRule>
    <cfRule type="expression" dxfId="5965" priority="444">
      <formula>AND(AX16&gt;0,INDIRECT("Basistabelle!G" &amp; ($A$1+AY$1+AX16))&lt;="",INDIRECT("Basistabelle!H" &amp; ($A$1+AY$1+AX16))&gt;"")</formula>
    </cfRule>
  </conditionalFormatting>
  <conditionalFormatting sqref="AY17">
    <cfRule type="expression" dxfId="5964" priority="441">
      <formula>OR($A17="Sa",$A17="So")</formula>
    </cfRule>
    <cfRule type="expression" dxfId="5963" priority="442">
      <formula>AND(AX17&gt;0,INDIRECT("Basistabelle!G" &amp; ($A$1+AY$1+AX17))&lt;="",INDIRECT("Basistabelle!H" &amp; ($A$1+AY$1+AX17))&gt;"")</formula>
    </cfRule>
  </conditionalFormatting>
  <conditionalFormatting sqref="AY18">
    <cfRule type="expression" dxfId="5962" priority="439">
      <formula>OR($A18="Sa",$A18="So")</formula>
    </cfRule>
    <cfRule type="expression" dxfId="5961" priority="440">
      <formula>AND(AX18&gt;0,INDIRECT("Basistabelle!G" &amp; ($A$1+AY$1+AX18))&lt;="",INDIRECT("Basistabelle!H" &amp; ($A$1+AY$1+AX18))&gt;"")</formula>
    </cfRule>
  </conditionalFormatting>
  <conditionalFormatting sqref="AY19">
    <cfRule type="expression" dxfId="5960" priority="437">
      <formula>OR($A19="Sa",$A19="So")</formula>
    </cfRule>
    <cfRule type="expression" dxfId="5959" priority="438">
      <formula>AND(AX19&gt;0,INDIRECT("Basistabelle!G" &amp; ($A$1+AY$1+AX19))&lt;="",INDIRECT("Basistabelle!H" &amp; ($A$1+AY$1+AX19))&gt;"")</formula>
    </cfRule>
  </conditionalFormatting>
  <conditionalFormatting sqref="AY20">
    <cfRule type="expression" dxfId="5958" priority="435">
      <formula>OR($A20="Sa",$A20="So")</formula>
    </cfRule>
    <cfRule type="expression" dxfId="5957" priority="436">
      <formula>AND(AX20&gt;0,INDIRECT("Basistabelle!G" &amp; ($A$1+AY$1+AX20))&lt;="",INDIRECT("Basistabelle!H" &amp; ($A$1+AY$1+AX20))&gt;"")</formula>
    </cfRule>
  </conditionalFormatting>
  <conditionalFormatting sqref="AY21">
    <cfRule type="expression" dxfId="5956" priority="433">
      <formula>OR($A21="Sa",$A21="So")</formula>
    </cfRule>
    <cfRule type="expression" dxfId="5955" priority="434">
      <formula>AND(AX21&gt;0,INDIRECT("Basistabelle!G" &amp; ($A$1+AY$1+AX21))&lt;="",INDIRECT("Basistabelle!H" &amp; ($A$1+AY$1+AX21))&gt;"")</formula>
    </cfRule>
  </conditionalFormatting>
  <conditionalFormatting sqref="AY22">
    <cfRule type="expression" dxfId="5954" priority="431">
      <formula>OR($A22="Sa",$A22="So")</formula>
    </cfRule>
    <cfRule type="expression" dxfId="5953" priority="432">
      <formula>AND(AX22&gt;0,INDIRECT("Basistabelle!G" &amp; ($A$1+AY$1+AX22))&lt;="",INDIRECT("Basistabelle!H" &amp; ($A$1+AY$1+AX22))&gt;"")</formula>
    </cfRule>
  </conditionalFormatting>
  <conditionalFormatting sqref="AY23">
    <cfRule type="expression" dxfId="5952" priority="429">
      <formula>OR($A23="Sa",$A23="So")</formula>
    </cfRule>
    <cfRule type="expression" dxfId="5951" priority="430">
      <formula>AND(AX23&gt;0,INDIRECT("Basistabelle!G" &amp; ($A$1+AY$1+AX23))&lt;="",INDIRECT("Basistabelle!H" &amp; ($A$1+AY$1+AX23))&gt;"")</formula>
    </cfRule>
  </conditionalFormatting>
  <conditionalFormatting sqref="AY24">
    <cfRule type="expression" dxfId="5950" priority="427">
      <formula>OR($A24="Sa",$A24="So")</formula>
    </cfRule>
    <cfRule type="expression" dxfId="5949" priority="428">
      <formula>AND(AX24&gt;0,INDIRECT("Basistabelle!G" &amp; ($A$1+AY$1+AX24))&lt;="",INDIRECT("Basistabelle!H" &amp; ($A$1+AY$1+AX24))&gt;"")</formula>
    </cfRule>
  </conditionalFormatting>
  <conditionalFormatting sqref="AY25">
    <cfRule type="expression" dxfId="5948" priority="425">
      <formula>OR($A25="Sa",$A25="So")</formula>
    </cfRule>
    <cfRule type="expression" dxfId="5947" priority="426">
      <formula>AND(AX25&gt;0,INDIRECT("Basistabelle!G" &amp; ($A$1+AY$1+AX25))&lt;="",INDIRECT("Basistabelle!H" &amp; ($A$1+AY$1+AX25))&gt;"")</formula>
    </cfRule>
  </conditionalFormatting>
  <conditionalFormatting sqref="AY26">
    <cfRule type="expression" dxfId="5946" priority="423">
      <formula>OR($A26="Sa",$A26="So")</formula>
    </cfRule>
    <cfRule type="expression" dxfId="5945" priority="424">
      <formula>AND(AX26&gt;0,INDIRECT("Basistabelle!G" &amp; ($A$1+AY$1+AX26))&lt;="",INDIRECT("Basistabelle!H" &amp; ($A$1+AY$1+AX26))&gt;"")</formula>
    </cfRule>
  </conditionalFormatting>
  <conditionalFormatting sqref="AY27">
    <cfRule type="expression" dxfId="5944" priority="421">
      <formula>OR($A27="Sa",$A27="So")</formula>
    </cfRule>
    <cfRule type="expression" dxfId="5943" priority="422">
      <formula>AND(AX27&gt;0,INDIRECT("Basistabelle!G" &amp; ($A$1+AY$1+AX27))&lt;="",INDIRECT("Basistabelle!H" &amp; ($A$1+AY$1+AX27))&gt;"")</formula>
    </cfRule>
  </conditionalFormatting>
  <conditionalFormatting sqref="AY28">
    <cfRule type="expression" dxfId="5942" priority="419">
      <formula>OR($A28="Sa",$A28="So")</formula>
    </cfRule>
    <cfRule type="expression" dxfId="5941" priority="420">
      <formula>AND(AX28&gt;0,INDIRECT("Basistabelle!G" &amp; ($A$1+AY$1+AX28))&lt;="",INDIRECT("Basistabelle!H" &amp; ($A$1+AY$1+AX28))&gt;"")</formula>
    </cfRule>
  </conditionalFormatting>
  <conditionalFormatting sqref="AY29">
    <cfRule type="expression" dxfId="5940" priority="417">
      <formula>OR($A29="Sa",$A29="So")</formula>
    </cfRule>
    <cfRule type="expression" dxfId="5939" priority="418">
      <formula>AND(AX29&gt;0,INDIRECT("Basistabelle!G" &amp; ($A$1+AY$1+AX29))&lt;="",INDIRECT("Basistabelle!H" &amp; ($A$1+AY$1+AX29))&gt;"")</formula>
    </cfRule>
  </conditionalFormatting>
  <conditionalFormatting sqref="AY30">
    <cfRule type="expression" dxfId="5938" priority="415">
      <formula>OR($A30="Sa",$A30="So")</formula>
    </cfRule>
    <cfRule type="expression" dxfId="5937" priority="416">
      <formula>AND(AX30&gt;0,INDIRECT("Basistabelle!G" &amp; ($A$1+AY$1+AX30))&lt;="",INDIRECT("Basistabelle!H" &amp; ($A$1+AY$1+AX30))&gt;"")</formula>
    </cfRule>
  </conditionalFormatting>
  <conditionalFormatting sqref="AY31">
    <cfRule type="expression" dxfId="5936" priority="413">
      <formula>OR($A31="Sa",$A31="So")</formula>
    </cfRule>
    <cfRule type="expression" dxfId="5935" priority="414">
      <formula>AND(AX31&gt;0,INDIRECT("Basistabelle!G" &amp; ($A$1+AY$1+AX31))&lt;="",INDIRECT("Basistabelle!H" &amp; ($A$1+AY$1+AX31))&gt;"")</formula>
    </cfRule>
  </conditionalFormatting>
  <conditionalFormatting sqref="AY32">
    <cfRule type="expression" dxfId="5934" priority="411">
      <formula>OR($A32="Sa",$A32="So")</formula>
    </cfRule>
    <cfRule type="expression" dxfId="5933" priority="412">
      <formula>AND(AX32&gt;0,INDIRECT("Basistabelle!G" &amp; ($A$1+AY$1+AX32))&lt;="",INDIRECT("Basistabelle!H" &amp; ($A$1+AY$1+AX32))&gt;"")</formula>
    </cfRule>
  </conditionalFormatting>
  <conditionalFormatting sqref="AY33">
    <cfRule type="expression" dxfId="5932" priority="409">
      <formula>OR($A33="Sa",$A33="So")</formula>
    </cfRule>
    <cfRule type="expression" dxfId="5931" priority="410">
      <formula>AND(AX33&gt;0,INDIRECT("Basistabelle!G" &amp; ($A$1+AY$1+AX33))&lt;="",INDIRECT("Basistabelle!H" &amp; ($A$1+AY$1+AX33))&gt;"")</formula>
    </cfRule>
  </conditionalFormatting>
  <conditionalFormatting sqref="AY34">
    <cfRule type="expression" dxfId="5930" priority="407">
      <formula>OR($A34="Sa",$A34="So")</formula>
    </cfRule>
    <cfRule type="expression" dxfId="5929" priority="408">
      <formula>AND(AX34&gt;0,INDIRECT("Basistabelle!G" &amp; ($A$1+AY$1+AX34))&lt;="",INDIRECT("Basistabelle!H" &amp; ($A$1+AY$1+AX34))&gt;"")</formula>
    </cfRule>
  </conditionalFormatting>
  <conditionalFormatting sqref="AY35">
    <cfRule type="expression" dxfId="5928" priority="405">
      <formula>OR($A35="Sa",$A35="So")</formula>
    </cfRule>
    <cfRule type="expression" dxfId="5927" priority="406">
      <formula>AND(AX35&gt;0,INDIRECT("Basistabelle!G" &amp; ($A$1+AY$1+AX35))&lt;="",INDIRECT("Basistabelle!H" &amp; ($A$1+AY$1+AX35))&gt;"")</formula>
    </cfRule>
  </conditionalFormatting>
  <conditionalFormatting sqref="AY36">
    <cfRule type="expression" dxfId="5926" priority="403">
      <formula>OR($A36="Sa",$A36="So")</formula>
    </cfRule>
    <cfRule type="expression" dxfId="5925" priority="404">
      <formula>AND(AX36&gt;0,INDIRECT("Basistabelle!G" &amp; ($A$1+AY$1+AX36))&lt;="",INDIRECT("Basistabelle!H" &amp; ($A$1+AY$1+AX36))&gt;"")</formula>
    </cfRule>
  </conditionalFormatting>
  <conditionalFormatting sqref="AY37">
    <cfRule type="expression" dxfId="5924" priority="401">
      <formula>OR($A37="Sa",$A37="So")</formula>
    </cfRule>
    <cfRule type="expression" dxfId="5923" priority="402">
      <formula>AND(AX37&gt;0,INDIRECT("Basistabelle!G" &amp; ($A$1+AY$1+AX37))&lt;="",INDIRECT("Basistabelle!H" &amp; ($A$1+AY$1+AX37))&gt;"")</formula>
    </cfRule>
  </conditionalFormatting>
  <conditionalFormatting sqref="AY38">
    <cfRule type="expression" dxfId="5922" priority="399">
      <formula>OR($A38="Sa",$A38="So")</formula>
    </cfRule>
    <cfRule type="expression" dxfId="5921" priority="400">
      <formula>AND(AX38&gt;0,INDIRECT("Basistabelle!G" &amp; ($A$1+AY$1+AX38))&lt;="",INDIRECT("Basistabelle!H" &amp; ($A$1+AY$1+AX38))&gt;"")</formula>
    </cfRule>
  </conditionalFormatting>
  <conditionalFormatting sqref="AY39">
    <cfRule type="expression" dxfId="5920" priority="397">
      <formula>OR($A39="Sa",$A39="So")</formula>
    </cfRule>
    <cfRule type="expression" dxfId="5919" priority="398">
      <formula>AND(AX39&gt;0,INDIRECT("Basistabelle!G" &amp; ($A$1+AY$1+AX39))&lt;="",INDIRECT("Basistabelle!H" &amp; ($A$1+AY$1+AX39))&gt;"")</formula>
    </cfRule>
  </conditionalFormatting>
  <conditionalFormatting sqref="AY40">
    <cfRule type="expression" dxfId="5918" priority="395">
      <formula>OR($A40="Sa",$A40="So")</formula>
    </cfRule>
    <cfRule type="expression" dxfId="5917" priority="396">
      <formula>AND(AX40&gt;0,INDIRECT("Basistabelle!G" &amp; ($A$1+AY$1+AX40))&lt;="",INDIRECT("Basistabelle!H" &amp; ($A$1+AY$1+AX40))&gt;"")</formula>
    </cfRule>
  </conditionalFormatting>
  <conditionalFormatting sqref="AY41">
    <cfRule type="expression" dxfId="5916" priority="393">
      <formula>OR($A41="Sa",$A41="So")</formula>
    </cfRule>
    <cfRule type="expression" dxfId="5915" priority="394">
      <formula>AND(AX41&gt;0,INDIRECT("Basistabelle!G" &amp; ($A$1+AY$1+AX41))&lt;="",INDIRECT("Basistabelle!H" &amp; ($A$1+AY$1+AX41))&gt;"")</formula>
    </cfRule>
  </conditionalFormatting>
  <conditionalFormatting sqref="AQ3">
    <cfRule type="expression" dxfId="5914" priority="391">
      <formula>OR($A3="Sa",$A3="So")</formula>
    </cfRule>
    <cfRule type="expression" dxfId="5913" priority="392">
      <formula>AND(AP3&gt;0,INDIRECT("Basistabelle!G" &amp; ($A$1+AQ$1+AP3))&lt;="",INDIRECT("Basistabelle!H" &amp; ($A$1+AQ$1+AP3))&gt;"")</formula>
    </cfRule>
  </conditionalFormatting>
  <conditionalFormatting sqref="AQ4">
    <cfRule type="expression" dxfId="5912" priority="389">
      <formula>OR($A4="Sa",$A4="So")</formula>
    </cfRule>
    <cfRule type="expression" dxfId="5911" priority="390">
      <formula>AND(AP4&gt;0,INDIRECT("Basistabelle!G" &amp; ($A$1+AQ$1+AP4))&lt;="",INDIRECT("Basistabelle!H" &amp; ($A$1+AQ$1+AP4))&gt;"")</formula>
    </cfRule>
  </conditionalFormatting>
  <conditionalFormatting sqref="AQ5">
    <cfRule type="expression" dxfId="5910" priority="387">
      <formula>OR($A5="Sa",$A5="So")</formula>
    </cfRule>
    <cfRule type="expression" dxfId="5909" priority="388">
      <formula>AND(AP5&gt;0,INDIRECT("Basistabelle!G" &amp; ($A$1+AQ$1+AP5))&lt;="",INDIRECT("Basistabelle!H" &amp; ($A$1+AQ$1+AP5))&gt;"")</formula>
    </cfRule>
  </conditionalFormatting>
  <conditionalFormatting sqref="AQ6">
    <cfRule type="expression" dxfId="5908" priority="385">
      <formula>OR($A6="Sa",$A6="So")</formula>
    </cfRule>
    <cfRule type="expression" dxfId="5907" priority="386">
      <formula>AND(AP6&gt;0,INDIRECT("Basistabelle!G" &amp; ($A$1+AQ$1+AP6))&lt;="",INDIRECT("Basistabelle!H" &amp; ($A$1+AQ$1+AP6))&gt;"")</formula>
    </cfRule>
  </conditionalFormatting>
  <conditionalFormatting sqref="AQ7">
    <cfRule type="expression" dxfId="5906" priority="383">
      <formula>OR($A7="Sa",$A7="So")</formula>
    </cfRule>
    <cfRule type="expression" dxfId="5905" priority="384">
      <formula>AND(AP7&gt;0,INDIRECT("Basistabelle!G" &amp; ($A$1+AQ$1+AP7))&lt;="",INDIRECT("Basistabelle!H" &amp; ($A$1+AQ$1+AP7))&gt;"")</formula>
    </cfRule>
  </conditionalFormatting>
  <conditionalFormatting sqref="AQ8">
    <cfRule type="expression" dxfId="5904" priority="381">
      <formula>OR($A8="Sa",$A8="So")</formula>
    </cfRule>
    <cfRule type="expression" dxfId="5903" priority="382">
      <formula>AND(AP8&gt;0,INDIRECT("Basistabelle!G" &amp; ($A$1+AQ$1+AP8))&lt;="",INDIRECT("Basistabelle!H" &amp; ($A$1+AQ$1+AP8))&gt;"")</formula>
    </cfRule>
  </conditionalFormatting>
  <conditionalFormatting sqref="AQ9">
    <cfRule type="expression" dxfId="5902" priority="379">
      <formula>OR($A9="Sa",$A9="So")</formula>
    </cfRule>
    <cfRule type="expression" dxfId="5901" priority="380">
      <formula>AND(AP9&gt;0,INDIRECT("Basistabelle!G" &amp; ($A$1+AQ$1+AP9))&lt;="",INDIRECT("Basistabelle!H" &amp; ($A$1+AQ$1+AP9))&gt;"")</formula>
    </cfRule>
  </conditionalFormatting>
  <conditionalFormatting sqref="AQ10">
    <cfRule type="expression" dxfId="5900" priority="377">
      <formula>OR($A10="Sa",$A10="So")</formula>
    </cfRule>
    <cfRule type="expression" dxfId="5899" priority="378">
      <formula>AND(AP10&gt;0,INDIRECT("Basistabelle!G" &amp; ($A$1+AQ$1+AP10))&lt;="",INDIRECT("Basistabelle!H" &amp; ($A$1+AQ$1+AP10))&gt;"")</formula>
    </cfRule>
  </conditionalFormatting>
  <conditionalFormatting sqref="AQ11">
    <cfRule type="expression" dxfId="5898" priority="375">
      <formula>OR($A11="Sa",$A11="So")</formula>
    </cfRule>
    <cfRule type="expression" dxfId="5897" priority="376">
      <formula>AND(AP11&gt;0,INDIRECT("Basistabelle!G" &amp; ($A$1+AQ$1+AP11))&lt;="",INDIRECT("Basistabelle!H" &amp; ($A$1+AQ$1+AP11))&gt;"")</formula>
    </cfRule>
  </conditionalFormatting>
  <conditionalFormatting sqref="AQ12">
    <cfRule type="expression" dxfId="5896" priority="373">
      <formula>OR($A12="Sa",$A12="So")</formula>
    </cfRule>
    <cfRule type="expression" dxfId="5895" priority="374">
      <formula>AND(AP12&gt;0,INDIRECT("Basistabelle!G" &amp; ($A$1+AQ$1+AP12))&lt;="",INDIRECT("Basistabelle!H" &amp; ($A$1+AQ$1+AP12))&gt;"")</formula>
    </cfRule>
  </conditionalFormatting>
  <conditionalFormatting sqref="AQ13">
    <cfRule type="expression" dxfId="5894" priority="371">
      <formula>OR($A13="Sa",$A13="So")</formula>
    </cfRule>
    <cfRule type="expression" dxfId="5893" priority="372">
      <formula>AND(AP13&gt;0,INDIRECT("Basistabelle!G" &amp; ($A$1+AQ$1+AP13))&lt;="",INDIRECT("Basistabelle!H" &amp; ($A$1+AQ$1+AP13))&gt;"")</formula>
    </cfRule>
  </conditionalFormatting>
  <conditionalFormatting sqref="AQ14">
    <cfRule type="expression" dxfId="5892" priority="369">
      <formula>OR($A14="Sa",$A14="So")</formula>
    </cfRule>
    <cfRule type="expression" dxfId="5891" priority="370">
      <formula>AND(AP14&gt;0,INDIRECT("Basistabelle!G" &amp; ($A$1+AQ$1+AP14))&lt;="",INDIRECT("Basistabelle!H" &amp; ($A$1+AQ$1+AP14))&gt;"")</formula>
    </cfRule>
  </conditionalFormatting>
  <conditionalFormatting sqref="AQ15">
    <cfRule type="expression" dxfId="5890" priority="367">
      <formula>OR($A15="Sa",$A15="So")</formula>
    </cfRule>
    <cfRule type="expression" dxfId="5889" priority="368">
      <formula>AND(AP15&gt;0,INDIRECT("Basistabelle!G" &amp; ($A$1+AQ$1+AP15))&lt;="",INDIRECT("Basistabelle!H" &amp; ($A$1+AQ$1+AP15))&gt;"")</formula>
    </cfRule>
  </conditionalFormatting>
  <conditionalFormatting sqref="AQ16">
    <cfRule type="expression" dxfId="5888" priority="365">
      <formula>OR($A16="Sa",$A16="So")</formula>
    </cfRule>
    <cfRule type="expression" dxfId="5887" priority="366">
      <formula>AND(AP16&gt;0,INDIRECT("Basistabelle!G" &amp; ($A$1+AQ$1+AP16))&lt;="",INDIRECT("Basistabelle!H" &amp; ($A$1+AQ$1+AP16))&gt;"")</formula>
    </cfRule>
  </conditionalFormatting>
  <conditionalFormatting sqref="AQ17">
    <cfRule type="expression" dxfId="5886" priority="363">
      <formula>OR($A17="Sa",$A17="So")</formula>
    </cfRule>
    <cfRule type="expression" dxfId="5885" priority="364">
      <formula>AND(AP17&gt;0,INDIRECT("Basistabelle!G" &amp; ($A$1+AQ$1+AP17))&lt;="",INDIRECT("Basistabelle!H" &amp; ($A$1+AQ$1+AP17))&gt;"")</formula>
    </cfRule>
  </conditionalFormatting>
  <conditionalFormatting sqref="AQ18">
    <cfRule type="expression" dxfId="5884" priority="361">
      <formula>OR($A18="Sa",$A18="So")</formula>
    </cfRule>
    <cfRule type="expression" dxfId="5883" priority="362">
      <formula>AND(AP18&gt;0,INDIRECT("Basistabelle!G" &amp; ($A$1+AQ$1+AP18))&lt;="",INDIRECT("Basistabelle!H" &amp; ($A$1+AQ$1+AP18))&gt;"")</formula>
    </cfRule>
  </conditionalFormatting>
  <conditionalFormatting sqref="AQ19">
    <cfRule type="expression" dxfId="5882" priority="359">
      <formula>OR($A19="Sa",$A19="So")</formula>
    </cfRule>
    <cfRule type="expression" dxfId="5881" priority="360">
      <formula>AND(AP19&gt;0,INDIRECT("Basistabelle!G" &amp; ($A$1+AQ$1+AP19))&lt;="",INDIRECT("Basistabelle!H" &amp; ($A$1+AQ$1+AP19))&gt;"")</formula>
    </cfRule>
  </conditionalFormatting>
  <conditionalFormatting sqref="AQ20">
    <cfRule type="expression" dxfId="5880" priority="357">
      <formula>OR($A20="Sa",$A20="So")</formula>
    </cfRule>
    <cfRule type="expression" dxfId="5879" priority="358">
      <formula>AND(AP20&gt;0,INDIRECT("Basistabelle!G" &amp; ($A$1+AQ$1+AP20))&lt;="",INDIRECT("Basistabelle!H" &amp; ($A$1+AQ$1+AP20))&gt;"")</formula>
    </cfRule>
  </conditionalFormatting>
  <conditionalFormatting sqref="AQ21">
    <cfRule type="expression" dxfId="5878" priority="355">
      <formula>OR($A21="Sa",$A21="So")</formula>
    </cfRule>
    <cfRule type="expression" dxfId="5877" priority="356">
      <formula>AND(AP21&gt;0,INDIRECT("Basistabelle!G" &amp; ($A$1+AQ$1+AP21))&lt;="",INDIRECT("Basistabelle!H" &amp; ($A$1+AQ$1+AP21))&gt;"")</formula>
    </cfRule>
  </conditionalFormatting>
  <conditionalFormatting sqref="AQ22">
    <cfRule type="expression" dxfId="5876" priority="353">
      <formula>OR($A22="Sa",$A22="So")</formula>
    </cfRule>
    <cfRule type="expression" dxfId="5875" priority="354">
      <formula>AND(AP22&gt;0,INDIRECT("Basistabelle!G" &amp; ($A$1+AQ$1+AP22))&lt;="",INDIRECT("Basistabelle!H" &amp; ($A$1+AQ$1+AP22))&gt;"")</formula>
    </cfRule>
  </conditionalFormatting>
  <conditionalFormatting sqref="AQ23">
    <cfRule type="expression" dxfId="5874" priority="351">
      <formula>OR($A23="Sa",$A23="So")</formula>
    </cfRule>
    <cfRule type="expression" dxfId="5873" priority="352">
      <formula>AND(AP23&gt;0,INDIRECT("Basistabelle!G" &amp; ($A$1+AQ$1+AP23))&lt;="",INDIRECT("Basistabelle!H" &amp; ($A$1+AQ$1+AP23))&gt;"")</formula>
    </cfRule>
  </conditionalFormatting>
  <conditionalFormatting sqref="AQ24">
    <cfRule type="expression" dxfId="5872" priority="349">
      <formula>OR($A24="Sa",$A24="So")</formula>
    </cfRule>
    <cfRule type="expression" dxfId="5871" priority="350">
      <formula>AND(AP24&gt;0,INDIRECT("Basistabelle!G" &amp; ($A$1+AQ$1+AP24))&lt;="",INDIRECT("Basistabelle!H" &amp; ($A$1+AQ$1+AP24))&gt;"")</formula>
    </cfRule>
  </conditionalFormatting>
  <conditionalFormatting sqref="AQ25">
    <cfRule type="expression" dxfId="5870" priority="347">
      <formula>OR($A25="Sa",$A25="So")</formula>
    </cfRule>
    <cfRule type="expression" dxfId="5869" priority="348">
      <formula>AND(AP25&gt;0,INDIRECT("Basistabelle!G" &amp; ($A$1+AQ$1+AP25))&lt;="",INDIRECT("Basistabelle!H" &amp; ($A$1+AQ$1+AP25))&gt;"")</formula>
    </cfRule>
  </conditionalFormatting>
  <conditionalFormatting sqref="AQ26">
    <cfRule type="expression" dxfId="5868" priority="345">
      <formula>OR($A26="Sa",$A26="So")</formula>
    </cfRule>
    <cfRule type="expression" dxfId="5867" priority="346">
      <formula>AND(AP26&gt;0,INDIRECT("Basistabelle!G" &amp; ($A$1+AQ$1+AP26))&lt;="",INDIRECT("Basistabelle!H" &amp; ($A$1+AQ$1+AP26))&gt;"")</formula>
    </cfRule>
  </conditionalFormatting>
  <conditionalFormatting sqref="AQ27">
    <cfRule type="expression" dxfId="5866" priority="343">
      <formula>OR($A27="Sa",$A27="So")</formula>
    </cfRule>
    <cfRule type="expression" dxfId="5865" priority="344">
      <formula>AND(AP27&gt;0,INDIRECT("Basistabelle!G" &amp; ($A$1+AQ$1+AP27))&lt;="",INDIRECT("Basistabelle!H" &amp; ($A$1+AQ$1+AP27))&gt;"")</formula>
    </cfRule>
  </conditionalFormatting>
  <conditionalFormatting sqref="AQ28">
    <cfRule type="expression" dxfId="5864" priority="341">
      <formula>OR($A28="Sa",$A28="So")</formula>
    </cfRule>
    <cfRule type="expression" dxfId="5863" priority="342">
      <formula>AND(AP28&gt;0,INDIRECT("Basistabelle!G" &amp; ($A$1+AQ$1+AP28))&lt;="",INDIRECT("Basistabelle!H" &amp; ($A$1+AQ$1+AP28))&gt;"")</formula>
    </cfRule>
  </conditionalFormatting>
  <conditionalFormatting sqref="AQ29">
    <cfRule type="expression" dxfId="5862" priority="339">
      <formula>OR($A29="Sa",$A29="So")</formula>
    </cfRule>
    <cfRule type="expression" dxfId="5861" priority="340">
      <formula>AND(AP29&gt;0,INDIRECT("Basistabelle!G" &amp; ($A$1+AQ$1+AP29))&lt;="",INDIRECT("Basistabelle!H" &amp; ($A$1+AQ$1+AP29))&gt;"")</formula>
    </cfRule>
  </conditionalFormatting>
  <conditionalFormatting sqref="AQ30">
    <cfRule type="expression" dxfId="5860" priority="337">
      <formula>OR($A30="Sa",$A30="So")</formula>
    </cfRule>
    <cfRule type="expression" dxfId="5859" priority="338">
      <formula>AND(AP30&gt;0,INDIRECT("Basistabelle!G" &amp; ($A$1+AQ$1+AP30))&lt;="",INDIRECT("Basistabelle!H" &amp; ($A$1+AQ$1+AP30))&gt;"")</formula>
    </cfRule>
  </conditionalFormatting>
  <conditionalFormatting sqref="AQ31">
    <cfRule type="expression" dxfId="5858" priority="335">
      <formula>OR($A31="Sa",$A31="So")</formula>
    </cfRule>
    <cfRule type="expression" dxfId="5857" priority="336">
      <formula>AND(AP31&gt;0,INDIRECT("Basistabelle!G" &amp; ($A$1+AQ$1+AP31))&lt;="",INDIRECT("Basistabelle!H" &amp; ($A$1+AQ$1+AP31))&gt;"")</formula>
    </cfRule>
  </conditionalFormatting>
  <conditionalFormatting sqref="AQ32">
    <cfRule type="expression" dxfId="5856" priority="333">
      <formula>OR($A32="Sa",$A32="So")</formula>
    </cfRule>
    <cfRule type="expression" dxfId="5855" priority="334">
      <formula>AND(AP32&gt;0,INDIRECT("Basistabelle!G" &amp; ($A$1+AQ$1+AP32))&lt;="",INDIRECT("Basistabelle!H" &amp; ($A$1+AQ$1+AP32))&gt;"")</formula>
    </cfRule>
  </conditionalFormatting>
  <conditionalFormatting sqref="AQ33">
    <cfRule type="expression" dxfId="5854" priority="331">
      <formula>OR($A33="Sa",$A33="So")</formula>
    </cfRule>
    <cfRule type="expression" dxfId="5853" priority="332">
      <formula>AND(AP33&gt;0,INDIRECT("Basistabelle!G" &amp; ($A$1+AQ$1+AP33))&lt;="",INDIRECT("Basistabelle!H" &amp; ($A$1+AQ$1+AP33))&gt;"")</formula>
    </cfRule>
  </conditionalFormatting>
  <conditionalFormatting sqref="AQ34">
    <cfRule type="expression" dxfId="5852" priority="329">
      <formula>OR($A34="Sa",$A34="So")</formula>
    </cfRule>
    <cfRule type="expression" dxfId="5851" priority="330">
      <formula>AND(AP34&gt;0,INDIRECT("Basistabelle!G" &amp; ($A$1+AQ$1+AP34))&lt;="",INDIRECT("Basistabelle!H" &amp; ($A$1+AQ$1+AP34))&gt;"")</formula>
    </cfRule>
  </conditionalFormatting>
  <conditionalFormatting sqref="AQ35">
    <cfRule type="expression" dxfId="5850" priority="327">
      <formula>OR($A35="Sa",$A35="So")</formula>
    </cfRule>
    <cfRule type="expression" dxfId="5849" priority="328">
      <formula>AND(AP35&gt;0,INDIRECT("Basistabelle!G" &amp; ($A$1+AQ$1+AP35))&lt;="",INDIRECT("Basistabelle!H" &amp; ($A$1+AQ$1+AP35))&gt;"")</formula>
    </cfRule>
  </conditionalFormatting>
  <conditionalFormatting sqref="AQ36">
    <cfRule type="expression" dxfId="5848" priority="325">
      <formula>OR($A36="Sa",$A36="So")</formula>
    </cfRule>
    <cfRule type="expression" dxfId="5847" priority="326">
      <formula>AND(AP36&gt;0,INDIRECT("Basistabelle!G" &amp; ($A$1+AQ$1+AP36))&lt;="",INDIRECT("Basistabelle!H" &amp; ($A$1+AQ$1+AP36))&gt;"")</formula>
    </cfRule>
  </conditionalFormatting>
  <conditionalFormatting sqref="AQ37">
    <cfRule type="expression" dxfId="5846" priority="323">
      <formula>OR($A37="Sa",$A37="So")</formula>
    </cfRule>
    <cfRule type="expression" dxfId="5845" priority="324">
      <formula>AND(AP37&gt;0,INDIRECT("Basistabelle!G" &amp; ($A$1+AQ$1+AP37))&lt;="",INDIRECT("Basistabelle!H" &amp; ($A$1+AQ$1+AP37))&gt;"")</formula>
    </cfRule>
  </conditionalFormatting>
  <conditionalFormatting sqref="AQ38">
    <cfRule type="expression" dxfId="5844" priority="321">
      <formula>OR($A38="Sa",$A38="So")</formula>
    </cfRule>
    <cfRule type="expression" dxfId="5843" priority="322">
      <formula>AND(AP38&gt;0,INDIRECT("Basistabelle!G" &amp; ($A$1+AQ$1+AP38))&lt;="",INDIRECT("Basistabelle!H" &amp; ($A$1+AQ$1+AP38))&gt;"")</formula>
    </cfRule>
  </conditionalFormatting>
  <conditionalFormatting sqref="AQ39">
    <cfRule type="expression" dxfId="5842" priority="319">
      <formula>OR($A39="Sa",$A39="So")</formula>
    </cfRule>
    <cfRule type="expression" dxfId="5841" priority="320">
      <formula>AND(AP39&gt;0,INDIRECT("Basistabelle!G" &amp; ($A$1+AQ$1+AP39))&lt;="",INDIRECT("Basistabelle!H" &amp; ($A$1+AQ$1+AP39))&gt;"")</formula>
    </cfRule>
  </conditionalFormatting>
  <conditionalFormatting sqref="AI3">
    <cfRule type="expression" dxfId="5840" priority="317">
      <formula>OR($A3="Sa",$A3="So")</formula>
    </cfRule>
    <cfRule type="expression" dxfId="5839" priority="318">
      <formula>AND(AH3&gt;0,INDIRECT("Basistabelle!G" &amp; ($A$1+AI$1+AH3))&lt;="",INDIRECT("Basistabelle!H" &amp; ($A$1+AI$1+AH3))&gt;"")</formula>
    </cfRule>
  </conditionalFormatting>
  <conditionalFormatting sqref="AI6">
    <cfRule type="expression" dxfId="5838" priority="315">
      <formula>OR($A6="Sa",$A6="So")</formula>
    </cfRule>
    <cfRule type="expression" dxfId="5837" priority="316">
      <formula>AND(AH6&gt;0,INDIRECT("Basistabelle!G" &amp; ($A$1+AI$1+AH6))&lt;="",INDIRECT("Basistabelle!H" &amp; ($A$1+AI$1+AH6))&gt;"")</formula>
    </cfRule>
  </conditionalFormatting>
  <conditionalFormatting sqref="AI7">
    <cfRule type="expression" dxfId="5836" priority="313">
      <formula>OR($A7="Sa",$A7="So")</formula>
    </cfRule>
    <cfRule type="expression" dxfId="5835" priority="314">
      <formula>AND(AH7&gt;0,INDIRECT("Basistabelle!G" &amp; ($A$1+AI$1+AH7))&lt;="",INDIRECT("Basistabelle!H" &amp; ($A$1+AI$1+AH7))&gt;"")</formula>
    </cfRule>
  </conditionalFormatting>
  <conditionalFormatting sqref="AI8">
    <cfRule type="expression" dxfId="5834" priority="311">
      <formula>OR($A8="Sa",$A8="So")</formula>
    </cfRule>
    <cfRule type="expression" dxfId="5833" priority="312">
      <formula>AND(AH8&gt;0,INDIRECT("Basistabelle!G" &amp; ($A$1+AI$1+AH8))&lt;="",INDIRECT("Basistabelle!H" &amp; ($A$1+AI$1+AH8))&gt;"")</formula>
    </cfRule>
  </conditionalFormatting>
  <conditionalFormatting sqref="AI9">
    <cfRule type="expression" dxfId="5832" priority="309">
      <formula>OR($A9="Sa",$A9="So")</formula>
    </cfRule>
    <cfRule type="expression" dxfId="5831" priority="310">
      <formula>AND(AH9&gt;0,INDIRECT("Basistabelle!G" &amp; ($A$1+AI$1+AH9))&lt;="",INDIRECT("Basistabelle!H" &amp; ($A$1+AI$1+AH9))&gt;"")</formula>
    </cfRule>
  </conditionalFormatting>
  <conditionalFormatting sqref="AI10">
    <cfRule type="expression" dxfId="5830" priority="307">
      <formula>OR($A10="Sa",$A10="So")</formula>
    </cfRule>
    <cfRule type="expression" dxfId="5829" priority="308">
      <formula>AND(AH10&gt;0,INDIRECT("Basistabelle!G" &amp; ($A$1+AI$1+AH10))&lt;="",INDIRECT("Basistabelle!H" &amp; ($A$1+AI$1+AH10))&gt;"")</formula>
    </cfRule>
  </conditionalFormatting>
  <conditionalFormatting sqref="AI11">
    <cfRule type="expression" dxfId="5828" priority="305">
      <formula>OR($A11="Sa",$A11="So")</formula>
    </cfRule>
    <cfRule type="expression" dxfId="5827" priority="306">
      <formula>AND(AH11&gt;0,INDIRECT("Basistabelle!G" &amp; ($A$1+AI$1+AH11))&lt;="",INDIRECT("Basistabelle!H" &amp; ($A$1+AI$1+AH11))&gt;"")</formula>
    </cfRule>
  </conditionalFormatting>
  <conditionalFormatting sqref="AI12">
    <cfRule type="expression" dxfId="5826" priority="303">
      <formula>OR($A12="Sa",$A12="So")</formula>
    </cfRule>
    <cfRule type="expression" dxfId="5825" priority="304">
      <formula>AND(AH12&gt;0,INDIRECT("Basistabelle!G" &amp; ($A$1+AI$1+AH12))&lt;="",INDIRECT("Basistabelle!H" &amp; ($A$1+AI$1+AH12))&gt;"")</formula>
    </cfRule>
  </conditionalFormatting>
  <conditionalFormatting sqref="AI13">
    <cfRule type="expression" dxfId="5824" priority="301">
      <formula>OR($A13="Sa",$A13="So")</formula>
    </cfRule>
    <cfRule type="expression" dxfId="5823" priority="302">
      <formula>AND(AH13&gt;0,INDIRECT("Basistabelle!G" &amp; ($A$1+AI$1+AH13))&lt;="",INDIRECT("Basistabelle!H" &amp; ($A$1+AI$1+AH13))&gt;"")</formula>
    </cfRule>
  </conditionalFormatting>
  <conditionalFormatting sqref="AI14">
    <cfRule type="expression" dxfId="5822" priority="299">
      <formula>OR($A14="Sa",$A14="So")</formula>
    </cfRule>
    <cfRule type="expression" dxfId="5821" priority="300">
      <formula>AND(AH14&gt;0,INDIRECT("Basistabelle!G" &amp; ($A$1+AI$1+AH14))&lt;="",INDIRECT("Basistabelle!H" &amp; ($A$1+AI$1+AH14))&gt;"")</formula>
    </cfRule>
  </conditionalFormatting>
  <conditionalFormatting sqref="AI15">
    <cfRule type="expression" dxfId="5820" priority="297">
      <formula>OR($A15="Sa",$A15="So")</formula>
    </cfRule>
    <cfRule type="expression" dxfId="5819" priority="298">
      <formula>AND(AH15&gt;0,INDIRECT("Basistabelle!G" &amp; ($A$1+AI$1+AH15))&lt;="",INDIRECT("Basistabelle!H" &amp; ($A$1+AI$1+AH15))&gt;"")</formula>
    </cfRule>
  </conditionalFormatting>
  <conditionalFormatting sqref="AI16">
    <cfRule type="expression" dxfId="5818" priority="295">
      <formula>OR($A16="Sa",$A16="So")</formula>
    </cfRule>
    <cfRule type="expression" dxfId="5817" priority="296">
      <formula>AND(AH16&gt;0,INDIRECT("Basistabelle!G" &amp; ($A$1+AI$1+AH16))&lt;="",INDIRECT("Basistabelle!H" &amp; ($A$1+AI$1+AH16))&gt;"")</formula>
    </cfRule>
  </conditionalFormatting>
  <conditionalFormatting sqref="AI17">
    <cfRule type="expression" dxfId="5816" priority="293">
      <formula>OR($A17="Sa",$A17="So")</formula>
    </cfRule>
    <cfRule type="expression" dxfId="5815" priority="294">
      <formula>AND(AH17&gt;0,INDIRECT("Basistabelle!G" &amp; ($A$1+AI$1+AH17))&lt;="",INDIRECT("Basistabelle!H" &amp; ($A$1+AI$1+AH17))&gt;"")</formula>
    </cfRule>
  </conditionalFormatting>
  <conditionalFormatting sqref="AI18">
    <cfRule type="expression" dxfId="5814" priority="291">
      <formula>OR($A18="Sa",$A18="So")</formula>
    </cfRule>
    <cfRule type="expression" dxfId="5813" priority="292">
      <formula>AND(AH18&gt;0,INDIRECT("Basistabelle!G" &amp; ($A$1+AI$1+AH18))&lt;="",INDIRECT("Basistabelle!H" &amp; ($A$1+AI$1+AH18))&gt;"")</formula>
    </cfRule>
  </conditionalFormatting>
  <conditionalFormatting sqref="AI19">
    <cfRule type="expression" dxfId="5812" priority="289">
      <formula>OR($A19="Sa",$A19="So")</formula>
    </cfRule>
    <cfRule type="expression" dxfId="5811" priority="290">
      <formula>AND(AH19&gt;0,INDIRECT("Basistabelle!G" &amp; ($A$1+AI$1+AH19))&lt;="",INDIRECT("Basistabelle!H" &amp; ($A$1+AI$1+AH19))&gt;"")</formula>
    </cfRule>
  </conditionalFormatting>
  <conditionalFormatting sqref="AI20">
    <cfRule type="expression" dxfId="5810" priority="287">
      <formula>OR($A20="Sa",$A20="So")</formula>
    </cfRule>
    <cfRule type="expression" dxfId="5809" priority="288">
      <formula>AND(AH20&gt;0,INDIRECT("Basistabelle!G" &amp; ($A$1+AI$1+AH20))&lt;="",INDIRECT("Basistabelle!H" &amp; ($A$1+AI$1+AH20))&gt;"")</formula>
    </cfRule>
  </conditionalFormatting>
  <conditionalFormatting sqref="AI21">
    <cfRule type="expression" dxfId="5808" priority="285">
      <formula>OR($A21="Sa",$A21="So")</formula>
    </cfRule>
    <cfRule type="expression" dxfId="5807" priority="286">
      <formula>AND(AH21&gt;0,INDIRECT("Basistabelle!G" &amp; ($A$1+AI$1+AH21))&lt;="",INDIRECT("Basistabelle!H" &amp; ($A$1+AI$1+AH21))&gt;"")</formula>
    </cfRule>
  </conditionalFormatting>
  <conditionalFormatting sqref="AI22">
    <cfRule type="expression" dxfId="5806" priority="283">
      <formula>OR($A22="Sa",$A22="So")</formula>
    </cfRule>
    <cfRule type="expression" dxfId="5805" priority="284">
      <formula>AND(AH22&gt;0,INDIRECT("Basistabelle!G" &amp; ($A$1+AI$1+AH22))&lt;="",INDIRECT("Basistabelle!H" &amp; ($A$1+AI$1+AH22))&gt;"")</formula>
    </cfRule>
  </conditionalFormatting>
  <conditionalFormatting sqref="AI23">
    <cfRule type="expression" dxfId="5804" priority="281">
      <formula>OR($A23="Sa",$A23="So")</formula>
    </cfRule>
    <cfRule type="expression" dxfId="5803" priority="282">
      <formula>AND(AH23&gt;0,INDIRECT("Basistabelle!G" &amp; ($A$1+AI$1+AH23))&lt;="",INDIRECT("Basistabelle!H" &amp; ($A$1+AI$1+AH23))&gt;"")</formula>
    </cfRule>
  </conditionalFormatting>
  <conditionalFormatting sqref="AI24">
    <cfRule type="expression" dxfId="5802" priority="279">
      <formula>OR($A24="Sa",$A24="So")</formula>
    </cfRule>
    <cfRule type="expression" dxfId="5801" priority="280">
      <formula>AND(AH24&gt;0,INDIRECT("Basistabelle!G" &amp; ($A$1+AI$1+AH24))&lt;="",INDIRECT("Basistabelle!H" &amp; ($A$1+AI$1+AH24))&gt;"")</formula>
    </cfRule>
  </conditionalFormatting>
  <conditionalFormatting sqref="AI25">
    <cfRule type="expression" dxfId="5800" priority="277">
      <formula>OR($A25="Sa",$A25="So")</formula>
    </cfRule>
    <cfRule type="expression" dxfId="5799" priority="278">
      <formula>AND(AH25&gt;0,INDIRECT("Basistabelle!G" &amp; ($A$1+AI$1+AH25))&lt;="",INDIRECT("Basistabelle!H" &amp; ($A$1+AI$1+AH25))&gt;"")</formula>
    </cfRule>
  </conditionalFormatting>
  <conditionalFormatting sqref="AI26">
    <cfRule type="expression" dxfId="5798" priority="275">
      <formula>OR($A26="Sa",$A26="So")</formula>
    </cfRule>
    <cfRule type="expression" dxfId="5797" priority="276">
      <formula>AND(AH26&gt;0,INDIRECT("Basistabelle!G" &amp; ($A$1+AI$1+AH26))&lt;="",INDIRECT("Basistabelle!H" &amp; ($A$1+AI$1+AH26))&gt;"")</formula>
    </cfRule>
  </conditionalFormatting>
  <conditionalFormatting sqref="AI27">
    <cfRule type="expression" dxfId="5796" priority="273">
      <formula>OR($A27="Sa",$A27="So")</formula>
    </cfRule>
    <cfRule type="expression" dxfId="5795" priority="274">
      <formula>AND(AH27&gt;0,INDIRECT("Basistabelle!G" &amp; ($A$1+AI$1+AH27))&lt;="",INDIRECT("Basistabelle!H" &amp; ($A$1+AI$1+AH27))&gt;"")</formula>
    </cfRule>
  </conditionalFormatting>
  <conditionalFormatting sqref="AI28">
    <cfRule type="expression" dxfId="5794" priority="271">
      <formula>OR($A28="Sa",$A28="So")</formula>
    </cfRule>
    <cfRule type="expression" dxfId="5793" priority="272">
      <formula>AND(AH28&gt;0,INDIRECT("Basistabelle!G" &amp; ($A$1+AI$1+AH28))&lt;="",INDIRECT("Basistabelle!H" &amp; ($A$1+AI$1+AH28))&gt;"")</formula>
    </cfRule>
  </conditionalFormatting>
  <conditionalFormatting sqref="AI29">
    <cfRule type="expression" dxfId="5792" priority="269">
      <formula>OR($A29="Sa",$A29="So")</formula>
    </cfRule>
    <cfRule type="expression" dxfId="5791" priority="270">
      <formula>AND(AH29&gt;0,INDIRECT("Basistabelle!G" &amp; ($A$1+AI$1+AH29))&lt;="",INDIRECT("Basistabelle!H" &amp; ($A$1+AI$1+AH29))&gt;"")</formula>
    </cfRule>
  </conditionalFormatting>
  <conditionalFormatting sqref="AI30">
    <cfRule type="expression" dxfId="5790" priority="267">
      <formula>OR($A30="Sa",$A30="So")</formula>
    </cfRule>
    <cfRule type="expression" dxfId="5789" priority="268">
      <formula>AND(AH30&gt;0,INDIRECT("Basistabelle!G" &amp; ($A$1+AI$1+AH30))&lt;="",INDIRECT("Basistabelle!H" &amp; ($A$1+AI$1+AH30))&gt;"")</formula>
    </cfRule>
  </conditionalFormatting>
  <conditionalFormatting sqref="AI31">
    <cfRule type="expression" dxfId="5788" priority="265">
      <formula>OR($A31="Sa",$A31="So")</formula>
    </cfRule>
    <cfRule type="expression" dxfId="5787" priority="266">
      <formula>AND(AH31&gt;0,INDIRECT("Basistabelle!G" &amp; ($A$1+AI$1+AH31))&lt;="",INDIRECT("Basistabelle!H" &amp; ($A$1+AI$1+AH31))&gt;"")</formula>
    </cfRule>
  </conditionalFormatting>
  <conditionalFormatting sqref="AI32">
    <cfRule type="expression" dxfId="5786" priority="263">
      <formula>OR($A32="Sa",$A32="So")</formula>
    </cfRule>
    <cfRule type="expression" dxfId="5785" priority="264">
      <formula>AND(AH32&gt;0,INDIRECT("Basistabelle!G" &amp; ($A$1+AI$1+AH32))&lt;="",INDIRECT("Basistabelle!H" &amp; ($A$1+AI$1+AH32))&gt;"")</formula>
    </cfRule>
  </conditionalFormatting>
  <conditionalFormatting sqref="AI33">
    <cfRule type="expression" dxfId="5784" priority="261">
      <formula>OR($A33="Sa",$A33="So")</formula>
    </cfRule>
    <cfRule type="expression" dxfId="5783" priority="262">
      <formula>AND(AH33&gt;0,INDIRECT("Basistabelle!G" &amp; ($A$1+AI$1+AH33))&lt;="",INDIRECT("Basistabelle!H" &amp; ($A$1+AI$1+AH33))&gt;"")</formula>
    </cfRule>
  </conditionalFormatting>
  <conditionalFormatting sqref="AI34">
    <cfRule type="expression" dxfId="5782" priority="259">
      <formula>OR($A34="Sa",$A34="So")</formula>
    </cfRule>
    <cfRule type="expression" dxfId="5781" priority="260">
      <formula>AND(AH34&gt;0,INDIRECT("Basistabelle!G" &amp; ($A$1+AI$1+AH34))&lt;="",INDIRECT("Basistabelle!H" &amp; ($A$1+AI$1+AH34))&gt;"")</formula>
    </cfRule>
  </conditionalFormatting>
  <conditionalFormatting sqref="AI35">
    <cfRule type="expression" dxfId="5780" priority="257">
      <formula>OR($A35="Sa",$A35="So")</formula>
    </cfRule>
    <cfRule type="expression" dxfId="5779" priority="258">
      <formula>AND(AH35&gt;0,INDIRECT("Basistabelle!G" &amp; ($A$1+AI$1+AH35))&lt;="",INDIRECT("Basistabelle!H" &amp; ($A$1+AI$1+AH35))&gt;"")</formula>
    </cfRule>
  </conditionalFormatting>
  <conditionalFormatting sqref="AI36">
    <cfRule type="expression" dxfId="5778" priority="255">
      <formula>OR($A36="Sa",$A36="So")</formula>
    </cfRule>
    <cfRule type="expression" dxfId="5777" priority="256">
      <formula>AND(AH36&gt;0,INDIRECT("Basistabelle!G" &amp; ($A$1+AI$1+AH36))&lt;="",INDIRECT("Basistabelle!H" &amp; ($A$1+AI$1+AH36))&gt;"")</formula>
    </cfRule>
  </conditionalFormatting>
  <conditionalFormatting sqref="AI37">
    <cfRule type="expression" dxfId="5776" priority="253">
      <formula>OR($A37="Sa",$A37="So")</formula>
    </cfRule>
    <cfRule type="expression" dxfId="5775" priority="254">
      <formula>AND(AH37&gt;0,INDIRECT("Basistabelle!G" &amp; ($A$1+AI$1+AH37))&lt;="",INDIRECT("Basistabelle!H" &amp; ($A$1+AI$1+AH37))&gt;"")</formula>
    </cfRule>
  </conditionalFormatting>
  <conditionalFormatting sqref="AI38">
    <cfRule type="expression" dxfId="5774" priority="251">
      <formula>OR($A38="Sa",$A38="So")</formula>
    </cfRule>
    <cfRule type="expression" dxfId="5773" priority="252">
      <formula>AND(AH38&gt;0,INDIRECT("Basistabelle!G" &amp; ($A$1+AI$1+AH38))&lt;="",INDIRECT("Basistabelle!H" &amp; ($A$1+AI$1+AH38))&gt;"")</formula>
    </cfRule>
  </conditionalFormatting>
  <conditionalFormatting sqref="AI39">
    <cfRule type="expression" dxfId="5772" priority="249">
      <formula>OR($A39="Sa",$A39="So")</formula>
    </cfRule>
    <cfRule type="expression" dxfId="5771" priority="250">
      <formula>AND(AH39&gt;0,INDIRECT("Basistabelle!G" &amp; ($A$1+AI$1+AH39))&lt;="",INDIRECT("Basistabelle!H" &amp; ($A$1+AI$1+AH39))&gt;"")</formula>
    </cfRule>
  </conditionalFormatting>
  <conditionalFormatting sqref="AI40">
    <cfRule type="expression" dxfId="5770" priority="247">
      <formula>OR($A40="Sa",$A40="So")</formula>
    </cfRule>
    <cfRule type="expression" dxfId="5769" priority="248">
      <formula>AND(AH40&gt;0,INDIRECT("Basistabelle!G" &amp; ($A$1+AI$1+AH40))&lt;="",INDIRECT("Basistabelle!H" &amp; ($A$1+AI$1+AH40))&gt;"")</formula>
    </cfRule>
  </conditionalFormatting>
  <conditionalFormatting sqref="AI41">
    <cfRule type="expression" dxfId="5768" priority="245">
      <formula>OR($A41="Sa",$A41="So")</formula>
    </cfRule>
    <cfRule type="expression" dxfId="5767" priority="246">
      <formula>AND(AH41&gt;0,INDIRECT("Basistabelle!G" &amp; ($A$1+AI$1+AH41))&lt;="",INDIRECT("Basistabelle!H" &amp; ($A$1+AI$1+AH41))&gt;"")</formula>
    </cfRule>
  </conditionalFormatting>
  <conditionalFormatting sqref="AA3">
    <cfRule type="expression" dxfId="5766" priority="243">
      <formula>OR($A3="Sa",$A3="So")</formula>
    </cfRule>
    <cfRule type="expression" dxfId="5765" priority="244">
      <formula>AND(Z3&gt;0,INDIRECT("Basistabelle!G" &amp; ($A$1+AA$1+Z3))&lt;="",INDIRECT("Basistabelle!H" &amp; ($A$1+AA$1+Z3))&gt;"")</formula>
    </cfRule>
  </conditionalFormatting>
  <conditionalFormatting sqref="AA4">
    <cfRule type="expression" dxfId="5764" priority="241">
      <formula>OR($A4="Sa",$A4="So")</formula>
    </cfRule>
    <cfRule type="expression" dxfId="5763" priority="242">
      <formula>AND(Z4&gt;0,INDIRECT("Basistabelle!G" &amp; ($A$1+AA$1+Z4))&lt;="",INDIRECT("Basistabelle!H" &amp; ($A$1+AA$1+Z4))&gt;"")</formula>
    </cfRule>
  </conditionalFormatting>
  <conditionalFormatting sqref="AA5">
    <cfRule type="expression" dxfId="5762" priority="239">
      <formula>OR($A5="Sa",$A5="So")</formula>
    </cfRule>
    <cfRule type="expression" dxfId="5761" priority="240">
      <formula>AND(Z5&gt;0,INDIRECT("Basistabelle!G" &amp; ($A$1+AA$1+Z5))&lt;="",INDIRECT("Basistabelle!H" &amp; ($A$1+AA$1+Z5))&gt;"")</formula>
    </cfRule>
  </conditionalFormatting>
  <conditionalFormatting sqref="AA6">
    <cfRule type="expression" dxfId="5760" priority="237">
      <formula>OR($A6="Sa",$A6="So")</formula>
    </cfRule>
    <cfRule type="expression" dxfId="5759" priority="238">
      <formula>AND(Z6&gt;0,INDIRECT("Basistabelle!G" &amp; ($A$1+AA$1+Z6))&lt;="",INDIRECT("Basistabelle!H" &amp; ($A$1+AA$1+Z6))&gt;"")</formula>
    </cfRule>
  </conditionalFormatting>
  <conditionalFormatting sqref="AA7">
    <cfRule type="expression" dxfId="5758" priority="235">
      <formula>OR($A7="Sa",$A7="So")</formula>
    </cfRule>
    <cfRule type="expression" dxfId="5757" priority="236">
      <formula>AND(Z7&gt;0,INDIRECT("Basistabelle!G" &amp; ($A$1+AA$1+Z7))&lt;="",INDIRECT("Basistabelle!H" &amp; ($A$1+AA$1+Z7))&gt;"")</formula>
    </cfRule>
  </conditionalFormatting>
  <conditionalFormatting sqref="AA8">
    <cfRule type="expression" dxfId="5756" priority="233">
      <formula>OR($A8="Sa",$A8="So")</formula>
    </cfRule>
    <cfRule type="expression" dxfId="5755" priority="234">
      <formula>AND(Z8&gt;0,INDIRECT("Basistabelle!G" &amp; ($A$1+AA$1+Z8))&lt;="",INDIRECT("Basistabelle!H" &amp; ($A$1+AA$1+Z8))&gt;"")</formula>
    </cfRule>
  </conditionalFormatting>
  <conditionalFormatting sqref="AA9">
    <cfRule type="expression" dxfId="5754" priority="231">
      <formula>OR($A9="Sa",$A9="So")</formula>
    </cfRule>
    <cfRule type="expression" dxfId="5753" priority="232">
      <formula>AND(Z9&gt;0,INDIRECT("Basistabelle!G" &amp; ($A$1+AA$1+Z9))&lt;="",INDIRECT("Basistabelle!H" &amp; ($A$1+AA$1+Z9))&gt;"")</formula>
    </cfRule>
  </conditionalFormatting>
  <conditionalFormatting sqref="AA10">
    <cfRule type="expression" dxfId="5752" priority="229">
      <formula>OR($A10="Sa",$A10="So")</formula>
    </cfRule>
    <cfRule type="expression" dxfId="5751" priority="230">
      <formula>AND(Z10&gt;0,INDIRECT("Basistabelle!G" &amp; ($A$1+AA$1+Z10))&lt;="",INDIRECT("Basistabelle!H" &amp; ($A$1+AA$1+Z10))&gt;"")</formula>
    </cfRule>
  </conditionalFormatting>
  <conditionalFormatting sqref="AA11">
    <cfRule type="expression" dxfId="5750" priority="227">
      <formula>OR($A11="Sa",$A11="So")</formula>
    </cfRule>
    <cfRule type="expression" dxfId="5749" priority="228">
      <formula>AND(Z11&gt;0,INDIRECT("Basistabelle!G" &amp; ($A$1+AA$1+Z11))&lt;="",INDIRECT("Basistabelle!H" &amp; ($A$1+AA$1+Z11))&gt;"")</formula>
    </cfRule>
  </conditionalFormatting>
  <conditionalFormatting sqref="AA12">
    <cfRule type="expression" dxfId="5748" priority="225">
      <formula>OR($A12="Sa",$A12="So")</formula>
    </cfRule>
    <cfRule type="expression" dxfId="5747" priority="226">
      <formula>AND(Z12&gt;0,INDIRECT("Basistabelle!G" &amp; ($A$1+AA$1+Z12))&lt;="",INDIRECT("Basistabelle!H" &amp; ($A$1+AA$1+Z12))&gt;"")</formula>
    </cfRule>
  </conditionalFormatting>
  <conditionalFormatting sqref="AA13">
    <cfRule type="expression" dxfId="5746" priority="223">
      <formula>OR($A13="Sa",$A13="So")</formula>
    </cfRule>
    <cfRule type="expression" dxfId="5745" priority="224">
      <formula>AND(Z13&gt;0,INDIRECT("Basistabelle!G" &amp; ($A$1+AA$1+Z13))&lt;="",INDIRECT("Basistabelle!H" &amp; ($A$1+AA$1+Z13))&gt;"")</formula>
    </cfRule>
  </conditionalFormatting>
  <conditionalFormatting sqref="AA14">
    <cfRule type="expression" dxfId="5744" priority="221">
      <formula>OR($A14="Sa",$A14="So")</formula>
    </cfRule>
    <cfRule type="expression" dxfId="5743" priority="222">
      <formula>AND(Z14&gt;0,INDIRECT("Basistabelle!G" &amp; ($A$1+AA$1+Z14))&lt;="",INDIRECT("Basistabelle!H" &amp; ($A$1+AA$1+Z14))&gt;"")</formula>
    </cfRule>
  </conditionalFormatting>
  <conditionalFormatting sqref="AA15">
    <cfRule type="expression" dxfId="5742" priority="219">
      <formula>OR($A15="Sa",$A15="So")</formula>
    </cfRule>
    <cfRule type="expression" dxfId="5741" priority="220">
      <formula>AND(Z15&gt;0,INDIRECT("Basistabelle!G" &amp; ($A$1+AA$1+Z15))&lt;="",INDIRECT("Basistabelle!H" &amp; ($A$1+AA$1+Z15))&gt;"")</formula>
    </cfRule>
  </conditionalFormatting>
  <conditionalFormatting sqref="AA16">
    <cfRule type="expression" dxfId="5740" priority="217">
      <formula>OR($A16="Sa",$A16="So")</formula>
    </cfRule>
    <cfRule type="expression" dxfId="5739" priority="218">
      <formula>AND(Z16&gt;0,INDIRECT("Basistabelle!G" &amp; ($A$1+AA$1+Z16))&lt;="",INDIRECT("Basistabelle!H" &amp; ($A$1+AA$1+Z16))&gt;"")</formula>
    </cfRule>
  </conditionalFormatting>
  <conditionalFormatting sqref="AA17">
    <cfRule type="expression" dxfId="5738" priority="215">
      <formula>OR($A17="Sa",$A17="So")</formula>
    </cfRule>
    <cfRule type="expression" dxfId="5737" priority="216">
      <formula>AND(Z17&gt;0,INDIRECT("Basistabelle!G" &amp; ($A$1+AA$1+Z17))&lt;="",INDIRECT("Basistabelle!H" &amp; ($A$1+AA$1+Z17))&gt;"")</formula>
    </cfRule>
  </conditionalFormatting>
  <conditionalFormatting sqref="AA18">
    <cfRule type="expression" dxfId="5736" priority="213">
      <formula>OR($A18="Sa",$A18="So")</formula>
    </cfRule>
    <cfRule type="expression" dxfId="5735" priority="214">
      <formula>AND(Z18&gt;0,INDIRECT("Basistabelle!G" &amp; ($A$1+AA$1+Z18))&lt;="",INDIRECT("Basistabelle!H" &amp; ($A$1+AA$1+Z18))&gt;"")</formula>
    </cfRule>
  </conditionalFormatting>
  <conditionalFormatting sqref="AA19">
    <cfRule type="expression" dxfId="5734" priority="211">
      <formula>OR($A19="Sa",$A19="So")</formula>
    </cfRule>
    <cfRule type="expression" dxfId="5733" priority="212">
      <formula>AND(Z19&gt;0,INDIRECT("Basistabelle!G" &amp; ($A$1+AA$1+Z19))&lt;="",INDIRECT("Basistabelle!H" &amp; ($A$1+AA$1+Z19))&gt;"")</formula>
    </cfRule>
  </conditionalFormatting>
  <conditionalFormatting sqref="AA20">
    <cfRule type="expression" dxfId="5732" priority="209">
      <formula>OR($A20="Sa",$A20="So")</formula>
    </cfRule>
    <cfRule type="expression" dxfId="5731" priority="210">
      <formula>AND(Z20&gt;0,INDIRECT("Basistabelle!G" &amp; ($A$1+AA$1+Z20))&lt;="",INDIRECT("Basistabelle!H" &amp; ($A$1+AA$1+Z20))&gt;"")</formula>
    </cfRule>
  </conditionalFormatting>
  <conditionalFormatting sqref="AA21">
    <cfRule type="expression" dxfId="5730" priority="207">
      <formula>OR($A21="Sa",$A21="So")</formula>
    </cfRule>
    <cfRule type="expression" dxfId="5729" priority="208">
      <formula>AND(Z21&gt;0,INDIRECT("Basistabelle!G" &amp; ($A$1+AA$1+Z21))&lt;="",INDIRECT("Basistabelle!H" &amp; ($A$1+AA$1+Z21))&gt;"")</formula>
    </cfRule>
  </conditionalFormatting>
  <conditionalFormatting sqref="AA22">
    <cfRule type="expression" dxfId="5728" priority="205">
      <formula>OR($A22="Sa",$A22="So")</formula>
    </cfRule>
    <cfRule type="expression" dxfId="5727" priority="206">
      <formula>AND(Z22&gt;0,INDIRECT("Basistabelle!G" &amp; ($A$1+AA$1+Z22))&lt;="",INDIRECT("Basistabelle!H" &amp; ($A$1+AA$1+Z22))&gt;"")</formula>
    </cfRule>
  </conditionalFormatting>
  <conditionalFormatting sqref="AA23">
    <cfRule type="expression" dxfId="5726" priority="203">
      <formula>OR($A23="Sa",$A23="So")</formula>
    </cfRule>
    <cfRule type="expression" dxfId="5725" priority="204">
      <formula>AND(Z23&gt;0,INDIRECT("Basistabelle!G" &amp; ($A$1+AA$1+Z23))&lt;="",INDIRECT("Basistabelle!H" &amp; ($A$1+AA$1+Z23))&gt;"")</formula>
    </cfRule>
  </conditionalFormatting>
  <conditionalFormatting sqref="AA24">
    <cfRule type="expression" dxfId="5724" priority="201">
      <formula>OR($A24="Sa",$A24="So")</formula>
    </cfRule>
    <cfRule type="expression" dxfId="5723" priority="202">
      <formula>AND(Z24&gt;0,INDIRECT("Basistabelle!G" &amp; ($A$1+AA$1+Z24))&lt;="",INDIRECT("Basistabelle!H" &amp; ($A$1+AA$1+Z24))&gt;"")</formula>
    </cfRule>
  </conditionalFormatting>
  <conditionalFormatting sqref="AA25">
    <cfRule type="expression" dxfId="5722" priority="199">
      <formula>OR($A25="Sa",$A25="So")</formula>
    </cfRule>
    <cfRule type="expression" dxfId="5721" priority="200">
      <formula>AND(Z25&gt;0,INDIRECT("Basistabelle!G" &amp; ($A$1+AA$1+Z25))&lt;="",INDIRECT("Basistabelle!H" &amp; ($A$1+AA$1+Z25))&gt;"")</formula>
    </cfRule>
  </conditionalFormatting>
  <conditionalFormatting sqref="AA26">
    <cfRule type="expression" dxfId="5720" priority="197">
      <formula>OR($A26="Sa",$A26="So")</formula>
    </cfRule>
    <cfRule type="expression" dxfId="5719" priority="198">
      <formula>AND(Z26&gt;0,INDIRECT("Basistabelle!G" &amp; ($A$1+AA$1+Z26))&lt;="",INDIRECT("Basistabelle!H" &amp; ($A$1+AA$1+Z26))&gt;"")</formula>
    </cfRule>
  </conditionalFormatting>
  <conditionalFormatting sqref="AA27">
    <cfRule type="expression" dxfId="5718" priority="195">
      <formula>OR($A27="Sa",$A27="So")</formula>
    </cfRule>
    <cfRule type="expression" dxfId="5717" priority="196">
      <formula>AND(Z27&gt;0,INDIRECT("Basistabelle!G" &amp; ($A$1+AA$1+Z27))&lt;="",INDIRECT("Basistabelle!H" &amp; ($A$1+AA$1+Z27))&gt;"")</formula>
    </cfRule>
  </conditionalFormatting>
  <conditionalFormatting sqref="AA28">
    <cfRule type="expression" dxfId="5716" priority="193">
      <formula>OR($A28="Sa",$A28="So")</formula>
    </cfRule>
    <cfRule type="expression" dxfId="5715" priority="194">
      <formula>AND(Z28&gt;0,INDIRECT("Basistabelle!G" &amp; ($A$1+AA$1+Z28))&lt;="",INDIRECT("Basistabelle!H" &amp; ($A$1+AA$1+Z28))&gt;"")</formula>
    </cfRule>
  </conditionalFormatting>
  <conditionalFormatting sqref="AA29">
    <cfRule type="expression" dxfId="5714" priority="191">
      <formula>OR($A29="Sa",$A29="So")</formula>
    </cfRule>
    <cfRule type="expression" dxfId="5713" priority="192">
      <formula>AND(Z29&gt;0,INDIRECT("Basistabelle!G" &amp; ($A$1+AA$1+Z29))&lt;="",INDIRECT("Basistabelle!H" &amp; ($A$1+AA$1+Z29))&gt;"")</formula>
    </cfRule>
  </conditionalFormatting>
  <conditionalFormatting sqref="AA30">
    <cfRule type="expression" dxfId="5712" priority="189">
      <formula>OR($A30="Sa",$A30="So")</formula>
    </cfRule>
    <cfRule type="expression" dxfId="5711" priority="190">
      <formula>AND(Z30&gt;0,INDIRECT("Basistabelle!G" &amp; ($A$1+AA$1+Z30))&lt;="",INDIRECT("Basistabelle!H" &amp; ($A$1+AA$1+Z30))&gt;"")</formula>
    </cfRule>
  </conditionalFormatting>
  <conditionalFormatting sqref="AA31">
    <cfRule type="expression" dxfId="5710" priority="187">
      <formula>OR($A31="Sa",$A31="So")</formula>
    </cfRule>
    <cfRule type="expression" dxfId="5709" priority="188">
      <formula>AND(Z31&gt;0,INDIRECT("Basistabelle!G" &amp; ($A$1+AA$1+Z31))&lt;="",INDIRECT("Basistabelle!H" &amp; ($A$1+AA$1+Z31))&gt;"")</formula>
    </cfRule>
  </conditionalFormatting>
  <conditionalFormatting sqref="AA32">
    <cfRule type="expression" dxfId="5708" priority="185">
      <formula>OR($A32="Sa",$A32="So")</formula>
    </cfRule>
    <cfRule type="expression" dxfId="5707" priority="186">
      <formula>AND(Z32&gt;0,INDIRECT("Basistabelle!G" &amp; ($A$1+AA$1+Z32))&lt;="",INDIRECT("Basistabelle!H" &amp; ($A$1+AA$1+Z32))&gt;"")</formula>
    </cfRule>
  </conditionalFormatting>
  <conditionalFormatting sqref="AA33">
    <cfRule type="expression" dxfId="5706" priority="183">
      <formula>OR($A33="Sa",$A33="So")</formula>
    </cfRule>
    <cfRule type="expression" dxfId="5705" priority="184">
      <formula>AND(Z33&gt;0,INDIRECT("Basistabelle!G" &amp; ($A$1+AA$1+Z33))&lt;="",INDIRECT("Basistabelle!H" &amp; ($A$1+AA$1+Z33))&gt;"")</formula>
    </cfRule>
  </conditionalFormatting>
  <conditionalFormatting sqref="AA34">
    <cfRule type="expression" dxfId="5704" priority="181">
      <formula>OR($A34="Sa",$A34="So")</formula>
    </cfRule>
    <cfRule type="expression" dxfId="5703" priority="182">
      <formula>AND(Z34&gt;0,INDIRECT("Basistabelle!G" &amp; ($A$1+AA$1+Z34))&lt;="",INDIRECT("Basistabelle!H" &amp; ($A$1+AA$1+Z34))&gt;"")</formula>
    </cfRule>
  </conditionalFormatting>
  <conditionalFormatting sqref="AA35">
    <cfRule type="expression" dxfId="5702" priority="179">
      <formula>OR($A35="Sa",$A35="So")</formula>
    </cfRule>
    <cfRule type="expression" dxfId="5701" priority="180">
      <formula>AND(Z35&gt;0,INDIRECT("Basistabelle!G" &amp; ($A$1+AA$1+Z35))&lt;="",INDIRECT("Basistabelle!H" &amp; ($A$1+AA$1+Z35))&gt;"")</formula>
    </cfRule>
  </conditionalFormatting>
  <conditionalFormatting sqref="AA36">
    <cfRule type="expression" dxfId="5700" priority="177">
      <formula>OR($A36="Sa",$A36="So")</formula>
    </cfRule>
    <cfRule type="expression" dxfId="5699" priority="178">
      <formula>AND(Z36&gt;0,INDIRECT("Basistabelle!G" &amp; ($A$1+AA$1+Z36))&lt;="",INDIRECT("Basistabelle!H" &amp; ($A$1+AA$1+Z36))&gt;"")</formula>
    </cfRule>
  </conditionalFormatting>
  <conditionalFormatting sqref="AA37">
    <cfRule type="expression" dxfId="5698" priority="175">
      <formula>OR($A37="Sa",$A37="So")</formula>
    </cfRule>
    <cfRule type="expression" dxfId="5697" priority="176">
      <formula>AND(Z37&gt;0,INDIRECT("Basistabelle!G" &amp; ($A$1+AA$1+Z37))&lt;="",INDIRECT("Basistabelle!H" &amp; ($A$1+AA$1+Z37))&gt;"")</formula>
    </cfRule>
  </conditionalFormatting>
  <conditionalFormatting sqref="AA38">
    <cfRule type="expression" dxfId="5696" priority="173">
      <formula>OR($A38="Sa",$A38="So")</formula>
    </cfRule>
    <cfRule type="expression" dxfId="5695" priority="174">
      <formula>AND(Z38&gt;0,INDIRECT("Basistabelle!G" &amp; ($A$1+AA$1+Z38))&lt;="",INDIRECT("Basistabelle!H" &amp; ($A$1+AA$1+Z38))&gt;"")</formula>
    </cfRule>
  </conditionalFormatting>
  <conditionalFormatting sqref="AA39">
    <cfRule type="expression" dxfId="5694" priority="171">
      <formula>OR($A39="Sa",$A39="So")</formula>
    </cfRule>
    <cfRule type="expression" dxfId="5693" priority="172">
      <formula>AND(Z39&gt;0,INDIRECT("Basistabelle!G" &amp; ($A$1+AA$1+Z39))&lt;="",INDIRECT("Basistabelle!H" &amp; ($A$1+AA$1+Z39))&gt;"")</formula>
    </cfRule>
  </conditionalFormatting>
  <conditionalFormatting sqref="AA40">
    <cfRule type="expression" dxfId="5692" priority="169">
      <formula>OR($A40="Sa",$A40="So")</formula>
    </cfRule>
    <cfRule type="expression" dxfId="5691" priority="170">
      <formula>AND(Z40&gt;0,INDIRECT("Basistabelle!G" &amp; ($A$1+AA$1+Z40))&lt;="",INDIRECT("Basistabelle!H" &amp; ($A$1+AA$1+Z40))&gt;"")</formula>
    </cfRule>
  </conditionalFormatting>
  <conditionalFormatting sqref="AA41">
    <cfRule type="expression" dxfId="5690" priority="167">
      <formula>OR($A41="Sa",$A41="So")</formula>
    </cfRule>
    <cfRule type="expression" dxfId="5689" priority="168">
      <formula>AND(Z41&gt;0,INDIRECT("Basistabelle!G" &amp; ($A$1+AA$1+Z41))&lt;="",INDIRECT("Basistabelle!H" &amp; ($A$1+AA$1+Z41))&gt;"")</formula>
    </cfRule>
  </conditionalFormatting>
  <conditionalFormatting sqref="AD5">
    <cfRule type="cellIs" dxfId="5688" priority="166" operator="equal">
      <formula>"x"</formula>
    </cfRule>
  </conditionalFormatting>
  <conditionalFormatting sqref="AD4">
    <cfRule type="cellIs" dxfId="5687" priority="165" operator="equal">
      <formula>"x"</formula>
    </cfRule>
  </conditionalFormatting>
  <conditionalFormatting sqref="AD3">
    <cfRule type="cellIs" dxfId="5686" priority="164" operator="equal">
      <formula>"x"</formula>
    </cfRule>
  </conditionalFormatting>
  <conditionalFormatting sqref="S3">
    <cfRule type="expression" dxfId="5685" priority="162">
      <formula>OR($A3="Sa",$A3="So")</formula>
    </cfRule>
    <cfRule type="expression" dxfId="5684" priority="163">
      <formula>AND(R3&gt;0,INDIRECT("Basistabelle!G" &amp; ($A$1+S$1+R3))&lt;="",INDIRECT("Basistabelle!H" &amp; ($A$1+S$1+R3))&gt;"")</formula>
    </cfRule>
  </conditionalFormatting>
  <conditionalFormatting sqref="S4">
    <cfRule type="expression" dxfId="5683" priority="160">
      <formula>OR($A4="Sa",$A4="So")</formula>
    </cfRule>
    <cfRule type="expression" dxfId="5682" priority="161">
      <formula>AND(R4&gt;0,INDIRECT("Basistabelle!G" &amp; ($A$1+S$1+R4))&lt;="",INDIRECT("Basistabelle!H" &amp; ($A$1+S$1+R4))&gt;"")</formula>
    </cfRule>
  </conditionalFormatting>
  <conditionalFormatting sqref="S5">
    <cfRule type="expression" dxfId="5681" priority="158">
      <formula>OR($A5="Sa",$A5="So")</formula>
    </cfRule>
    <cfRule type="expression" dxfId="5680" priority="159">
      <formula>AND(R5&gt;0,INDIRECT("Basistabelle!G" &amp; ($A$1+S$1+R5))&lt;="",INDIRECT("Basistabelle!H" &amp; ($A$1+S$1+R5))&gt;"")</formula>
    </cfRule>
  </conditionalFormatting>
  <conditionalFormatting sqref="S6">
    <cfRule type="expression" dxfId="5679" priority="156">
      <formula>OR($A6="Sa",$A6="So")</formula>
    </cfRule>
    <cfRule type="expression" dxfId="5678" priority="157">
      <formula>AND(R6&gt;0,INDIRECT("Basistabelle!G" &amp; ($A$1+S$1+R6))&lt;="",INDIRECT("Basistabelle!H" &amp; ($A$1+S$1+R6))&gt;"")</formula>
    </cfRule>
  </conditionalFormatting>
  <conditionalFormatting sqref="S7">
    <cfRule type="expression" dxfId="5677" priority="154">
      <formula>OR($A7="Sa",$A7="So")</formula>
    </cfRule>
    <cfRule type="expression" dxfId="5676" priority="155">
      <formula>AND(R7&gt;0,INDIRECT("Basistabelle!G" &amp; ($A$1+S$1+R7))&lt;="",INDIRECT("Basistabelle!H" &amp; ($A$1+S$1+R7))&gt;"")</formula>
    </cfRule>
  </conditionalFormatting>
  <conditionalFormatting sqref="S8">
    <cfRule type="expression" dxfId="5675" priority="152">
      <formula>OR($A8="Sa",$A8="So")</formula>
    </cfRule>
    <cfRule type="expression" dxfId="5674" priority="153">
      <formula>AND(R8&gt;0,INDIRECT("Basistabelle!G" &amp; ($A$1+S$1+R8))&lt;="",INDIRECT("Basistabelle!H" &amp; ($A$1+S$1+R8))&gt;"")</formula>
    </cfRule>
  </conditionalFormatting>
  <conditionalFormatting sqref="S9">
    <cfRule type="expression" dxfId="5673" priority="150">
      <formula>OR($A9="Sa",$A9="So")</formula>
    </cfRule>
    <cfRule type="expression" dxfId="5672" priority="151">
      <formula>AND(R9&gt;0,INDIRECT("Basistabelle!G" &amp; ($A$1+S$1+R9))&lt;="",INDIRECT("Basistabelle!H" &amp; ($A$1+S$1+R9))&gt;"")</formula>
    </cfRule>
  </conditionalFormatting>
  <conditionalFormatting sqref="S10">
    <cfRule type="expression" dxfId="5671" priority="148">
      <formula>OR($A10="Sa",$A10="So")</formula>
    </cfRule>
    <cfRule type="expression" dxfId="5670" priority="149">
      <formula>AND(R10&gt;0,INDIRECT("Basistabelle!G" &amp; ($A$1+S$1+R10))&lt;="",INDIRECT("Basistabelle!H" &amp; ($A$1+S$1+R10))&gt;"")</formula>
    </cfRule>
  </conditionalFormatting>
  <conditionalFormatting sqref="S11">
    <cfRule type="expression" dxfId="5669" priority="146">
      <formula>OR($A11="Sa",$A11="So")</formula>
    </cfRule>
    <cfRule type="expression" dxfId="5668" priority="147">
      <formula>AND(R11&gt;0,INDIRECT("Basistabelle!G" &amp; ($A$1+S$1+R11))&lt;="",INDIRECT("Basistabelle!H" &amp; ($A$1+S$1+R11))&gt;"")</formula>
    </cfRule>
  </conditionalFormatting>
  <conditionalFormatting sqref="S12">
    <cfRule type="expression" dxfId="5667" priority="144">
      <formula>OR($A12="Sa",$A12="So")</formula>
    </cfRule>
    <cfRule type="expression" dxfId="5666" priority="145">
      <formula>AND(R12&gt;0,INDIRECT("Basistabelle!G" &amp; ($A$1+S$1+R12))&lt;="",INDIRECT("Basistabelle!H" &amp; ($A$1+S$1+R12))&gt;"")</formula>
    </cfRule>
  </conditionalFormatting>
  <conditionalFormatting sqref="S13">
    <cfRule type="expression" dxfId="5665" priority="142">
      <formula>OR($A13="Sa",$A13="So")</formula>
    </cfRule>
    <cfRule type="expression" dxfId="5664" priority="143">
      <formula>AND(R13&gt;0,INDIRECT("Basistabelle!G" &amp; ($A$1+S$1+R13))&lt;="",INDIRECT("Basistabelle!H" &amp; ($A$1+S$1+R13))&gt;"")</formula>
    </cfRule>
  </conditionalFormatting>
  <conditionalFormatting sqref="S14">
    <cfRule type="expression" dxfId="5663" priority="140">
      <formula>OR($A14="Sa",$A14="So")</formula>
    </cfRule>
    <cfRule type="expression" dxfId="5662" priority="141">
      <formula>AND(R14&gt;0,INDIRECT("Basistabelle!G" &amp; ($A$1+S$1+R14))&lt;="",INDIRECT("Basistabelle!H" &amp; ($A$1+S$1+R14))&gt;"")</formula>
    </cfRule>
  </conditionalFormatting>
  <conditionalFormatting sqref="S15">
    <cfRule type="expression" dxfId="5661" priority="138">
      <formula>OR($A15="Sa",$A15="So")</formula>
    </cfRule>
    <cfRule type="expression" dxfId="5660" priority="139">
      <formula>AND(R15&gt;0,INDIRECT("Basistabelle!G" &amp; ($A$1+S$1+R15))&lt;="",INDIRECT("Basistabelle!H" &amp; ($A$1+S$1+R15))&gt;"")</formula>
    </cfRule>
  </conditionalFormatting>
  <conditionalFormatting sqref="S16">
    <cfRule type="expression" dxfId="5659" priority="136">
      <formula>OR($A16="Sa",$A16="So")</formula>
    </cfRule>
    <cfRule type="expression" dxfId="5658" priority="137">
      <formula>AND(R16&gt;0,INDIRECT("Basistabelle!G" &amp; ($A$1+S$1+R16))&lt;="",INDIRECT("Basistabelle!H" &amp; ($A$1+S$1+R16))&gt;"")</formula>
    </cfRule>
  </conditionalFormatting>
  <conditionalFormatting sqref="S17">
    <cfRule type="expression" dxfId="5657" priority="134">
      <formula>OR($A17="Sa",$A17="So")</formula>
    </cfRule>
    <cfRule type="expression" dxfId="5656" priority="135">
      <formula>AND(R17&gt;0,INDIRECT("Basistabelle!G" &amp; ($A$1+S$1+R17))&lt;="",INDIRECT("Basistabelle!H" &amp; ($A$1+S$1+R17))&gt;"")</formula>
    </cfRule>
  </conditionalFormatting>
  <conditionalFormatting sqref="S18">
    <cfRule type="expression" dxfId="5655" priority="132">
      <formula>OR($A18="Sa",$A18="So")</formula>
    </cfRule>
    <cfRule type="expression" dxfId="5654" priority="133">
      <formula>AND(R18&gt;0,INDIRECT("Basistabelle!G" &amp; ($A$1+S$1+R18))&lt;="",INDIRECT("Basistabelle!H" &amp; ($A$1+S$1+R18))&gt;"")</formula>
    </cfRule>
  </conditionalFormatting>
  <conditionalFormatting sqref="S19">
    <cfRule type="expression" dxfId="5653" priority="130">
      <formula>OR($A19="Sa",$A19="So")</formula>
    </cfRule>
    <cfRule type="expression" dxfId="5652" priority="131">
      <formula>AND(R19&gt;0,INDIRECT("Basistabelle!G" &amp; ($A$1+S$1+R19))&lt;="",INDIRECT("Basistabelle!H" &amp; ($A$1+S$1+R19))&gt;"")</formula>
    </cfRule>
  </conditionalFormatting>
  <conditionalFormatting sqref="S20">
    <cfRule type="expression" dxfId="5651" priority="128">
      <formula>OR($A20="Sa",$A20="So")</formula>
    </cfRule>
    <cfRule type="expression" dxfId="5650" priority="129">
      <formula>AND(R20&gt;0,INDIRECT("Basistabelle!G" &amp; ($A$1+S$1+R20))&lt;="",INDIRECT("Basistabelle!H" &amp; ($A$1+S$1+R20))&gt;"")</formula>
    </cfRule>
  </conditionalFormatting>
  <conditionalFormatting sqref="S21">
    <cfRule type="expression" dxfId="5649" priority="126">
      <formula>OR($A21="Sa",$A21="So")</formula>
    </cfRule>
    <cfRule type="expression" dxfId="5648" priority="127">
      <formula>AND(R21&gt;0,INDIRECT("Basistabelle!G" &amp; ($A$1+S$1+R21))&lt;="",INDIRECT("Basistabelle!H" &amp; ($A$1+S$1+R21))&gt;"")</formula>
    </cfRule>
  </conditionalFormatting>
  <conditionalFormatting sqref="S22">
    <cfRule type="expression" dxfId="5647" priority="124">
      <formula>OR($A22="Sa",$A22="So")</formula>
    </cfRule>
    <cfRule type="expression" dxfId="5646" priority="125">
      <formula>AND(R22&gt;0,INDIRECT("Basistabelle!G" &amp; ($A$1+S$1+R22))&lt;="",INDIRECT("Basistabelle!H" &amp; ($A$1+S$1+R22))&gt;"")</formula>
    </cfRule>
  </conditionalFormatting>
  <conditionalFormatting sqref="S23">
    <cfRule type="expression" dxfId="5645" priority="122">
      <formula>OR($A23="Sa",$A23="So")</formula>
    </cfRule>
    <cfRule type="expression" dxfId="5644" priority="123">
      <formula>AND(R23&gt;0,INDIRECT("Basistabelle!G" &amp; ($A$1+S$1+R23))&lt;="",INDIRECT("Basistabelle!H" &amp; ($A$1+S$1+R23))&gt;"")</formula>
    </cfRule>
  </conditionalFormatting>
  <conditionalFormatting sqref="S24">
    <cfRule type="expression" dxfId="5643" priority="120">
      <formula>OR($A24="Sa",$A24="So")</formula>
    </cfRule>
    <cfRule type="expression" dxfId="5642" priority="121">
      <formula>AND(R24&gt;0,INDIRECT("Basistabelle!G" &amp; ($A$1+S$1+R24))&lt;="",INDIRECT("Basistabelle!H" &amp; ($A$1+S$1+R24))&gt;"")</formula>
    </cfRule>
  </conditionalFormatting>
  <conditionalFormatting sqref="S25">
    <cfRule type="expression" dxfId="5641" priority="118">
      <formula>OR($A25="Sa",$A25="So")</formula>
    </cfRule>
    <cfRule type="expression" dxfId="5640" priority="119">
      <formula>AND(R25&gt;0,INDIRECT("Basistabelle!G" &amp; ($A$1+S$1+R25))&lt;="",INDIRECT("Basistabelle!H" &amp; ($A$1+S$1+R25))&gt;"")</formula>
    </cfRule>
  </conditionalFormatting>
  <conditionalFormatting sqref="S26">
    <cfRule type="expression" dxfId="5639" priority="116">
      <formula>OR($A26="Sa",$A26="So")</formula>
    </cfRule>
    <cfRule type="expression" dxfId="5638" priority="117">
      <formula>AND(R26&gt;0,INDIRECT("Basistabelle!G" &amp; ($A$1+S$1+R26))&lt;="",INDIRECT("Basistabelle!H" &amp; ($A$1+S$1+R26))&gt;"")</formula>
    </cfRule>
  </conditionalFormatting>
  <conditionalFormatting sqref="S27">
    <cfRule type="expression" dxfId="5637" priority="114">
      <formula>OR($A27="Sa",$A27="So")</formula>
    </cfRule>
    <cfRule type="expression" dxfId="5636" priority="115">
      <formula>AND(R27&gt;0,INDIRECT("Basistabelle!G" &amp; ($A$1+S$1+R27))&lt;="",INDIRECT("Basistabelle!H" &amp; ($A$1+S$1+R27))&gt;"")</formula>
    </cfRule>
  </conditionalFormatting>
  <conditionalFormatting sqref="S28">
    <cfRule type="expression" dxfId="5635" priority="112">
      <formula>OR($A28="Sa",$A28="So")</formula>
    </cfRule>
    <cfRule type="expression" dxfId="5634" priority="113">
      <formula>AND(R28&gt;0,INDIRECT("Basistabelle!G" &amp; ($A$1+S$1+R28))&lt;="",INDIRECT("Basistabelle!H" &amp; ($A$1+S$1+R28))&gt;"")</formula>
    </cfRule>
  </conditionalFormatting>
  <conditionalFormatting sqref="S29">
    <cfRule type="expression" dxfId="5633" priority="110">
      <formula>OR($A29="Sa",$A29="So")</formula>
    </cfRule>
    <cfRule type="expression" dxfId="5632" priority="111">
      <formula>AND(R29&gt;0,INDIRECT("Basistabelle!G" &amp; ($A$1+S$1+R29))&lt;="",INDIRECT("Basistabelle!H" &amp; ($A$1+S$1+R29))&gt;"")</formula>
    </cfRule>
  </conditionalFormatting>
  <conditionalFormatting sqref="S30">
    <cfRule type="expression" dxfId="5631" priority="108">
      <formula>OR($A30="Sa",$A30="So")</formula>
    </cfRule>
    <cfRule type="expression" dxfId="5630" priority="109">
      <formula>AND(R30&gt;0,INDIRECT("Basistabelle!G" &amp; ($A$1+S$1+R30))&lt;="",INDIRECT("Basistabelle!H" &amp; ($A$1+S$1+R30))&gt;"")</formula>
    </cfRule>
  </conditionalFormatting>
  <conditionalFormatting sqref="S31">
    <cfRule type="expression" dxfId="5629" priority="106">
      <formula>OR($A31="Sa",$A31="So")</formula>
    </cfRule>
    <cfRule type="expression" dxfId="5628" priority="107">
      <formula>AND(R31&gt;0,INDIRECT("Basistabelle!G" &amp; ($A$1+S$1+R31))&lt;="",INDIRECT("Basistabelle!H" &amp; ($A$1+S$1+R31))&gt;"")</formula>
    </cfRule>
  </conditionalFormatting>
  <conditionalFormatting sqref="S32">
    <cfRule type="expression" dxfId="5627" priority="104">
      <formula>OR($A32="Sa",$A32="So")</formula>
    </cfRule>
    <cfRule type="expression" dxfId="5626" priority="105">
      <formula>AND(R32&gt;0,INDIRECT("Basistabelle!G" &amp; ($A$1+S$1+R32))&lt;="",INDIRECT("Basistabelle!H" &amp; ($A$1+S$1+R32))&gt;"")</formula>
    </cfRule>
  </conditionalFormatting>
  <conditionalFormatting sqref="S33">
    <cfRule type="expression" dxfId="5625" priority="102">
      <formula>OR($A33="Sa",$A33="So")</formula>
    </cfRule>
    <cfRule type="expression" dxfId="5624" priority="103">
      <formula>AND(R33&gt;0,INDIRECT("Basistabelle!G" &amp; ($A$1+S$1+R33))&lt;="",INDIRECT("Basistabelle!H" &amp; ($A$1+S$1+R33))&gt;"")</formula>
    </cfRule>
  </conditionalFormatting>
  <conditionalFormatting sqref="S34">
    <cfRule type="expression" dxfId="5623" priority="100">
      <formula>OR($A34="Sa",$A34="So")</formula>
    </cfRule>
    <cfRule type="expression" dxfId="5622" priority="101">
      <formula>AND(R34&gt;0,INDIRECT("Basistabelle!G" &amp; ($A$1+S$1+R34))&lt;="",INDIRECT("Basistabelle!H" &amp; ($A$1+S$1+R34))&gt;"")</formula>
    </cfRule>
  </conditionalFormatting>
  <conditionalFormatting sqref="S35">
    <cfRule type="expression" dxfId="5621" priority="98">
      <formula>OR($A35="Sa",$A35="So")</formula>
    </cfRule>
    <cfRule type="expression" dxfId="5620" priority="99">
      <formula>AND(R35&gt;0,INDIRECT("Basistabelle!G" &amp; ($A$1+S$1+R35))&lt;="",INDIRECT("Basistabelle!H" &amp; ($A$1+S$1+R35))&gt;"")</formula>
    </cfRule>
  </conditionalFormatting>
  <conditionalFormatting sqref="S36">
    <cfRule type="expression" dxfId="5619" priority="96">
      <formula>OR($A36="Sa",$A36="So")</formula>
    </cfRule>
    <cfRule type="expression" dxfId="5618" priority="97">
      <formula>AND(R36&gt;0,INDIRECT("Basistabelle!G" &amp; ($A$1+S$1+R36))&lt;="",INDIRECT("Basistabelle!H" &amp; ($A$1+S$1+R36))&gt;"")</formula>
    </cfRule>
  </conditionalFormatting>
  <conditionalFormatting sqref="S37">
    <cfRule type="expression" dxfId="5617" priority="94">
      <formula>OR($A37="Sa",$A37="So")</formula>
    </cfRule>
    <cfRule type="expression" dxfId="5616" priority="95">
      <formula>AND(R37&gt;0,INDIRECT("Basistabelle!G" &amp; ($A$1+S$1+R37))&lt;="",INDIRECT("Basistabelle!H" &amp; ($A$1+S$1+R37))&gt;"")</formula>
    </cfRule>
  </conditionalFormatting>
  <conditionalFormatting sqref="S38">
    <cfRule type="expression" dxfId="5615" priority="92">
      <formula>OR($A38="Sa",$A38="So")</formula>
    </cfRule>
    <cfRule type="expression" dxfId="5614" priority="93">
      <formula>AND(R38&gt;0,INDIRECT("Basistabelle!G" &amp; ($A$1+S$1+R38))&lt;="",INDIRECT("Basistabelle!H" &amp; ($A$1+S$1+R38))&gt;"")</formula>
    </cfRule>
  </conditionalFormatting>
  <conditionalFormatting sqref="S39">
    <cfRule type="expression" dxfId="5613" priority="90">
      <formula>OR($A39="Sa",$A39="So")</formula>
    </cfRule>
    <cfRule type="expression" dxfId="5612" priority="91">
      <formula>AND(R39&gt;0,INDIRECT("Basistabelle!G" &amp; ($A$1+S$1+R39))&lt;="",INDIRECT("Basistabelle!H" &amp; ($A$1+S$1+R39))&gt;"")</formula>
    </cfRule>
  </conditionalFormatting>
  <conditionalFormatting sqref="S40">
    <cfRule type="expression" dxfId="5611" priority="88">
      <formula>OR($A40="Sa",$A40="So")</formula>
    </cfRule>
    <cfRule type="expression" dxfId="5610" priority="89">
      <formula>AND(R40&gt;0,INDIRECT("Basistabelle!G" &amp; ($A$1+S$1+R40))&lt;="",INDIRECT("Basistabelle!H" &amp; ($A$1+S$1+R40))&gt;"")</formula>
    </cfRule>
  </conditionalFormatting>
  <conditionalFormatting sqref="S41">
    <cfRule type="expression" dxfId="5609" priority="86">
      <formula>OR($A41="Sa",$A41="So")</formula>
    </cfRule>
    <cfRule type="expression" dxfId="5608" priority="87">
      <formula>AND(R41&gt;0,INDIRECT("Basistabelle!G" &amp; ($A$1+S$1+R41))&lt;="",INDIRECT("Basistabelle!H" &amp; ($A$1+S$1+R41))&gt;"")</formula>
    </cfRule>
  </conditionalFormatting>
  <conditionalFormatting sqref="K3">
    <cfRule type="expression" dxfId="5607" priority="84">
      <formula>OR($A3="Sa",$A3="So")</formula>
    </cfRule>
    <cfRule type="expression" dxfId="5606" priority="85">
      <formula>AND(J3&gt;0,INDIRECT("Basistabelle!G" &amp; ($A$1+K$1+J3))&lt;="",INDIRECT("Basistabelle!H" &amp; ($A$1+K$1+J3))&gt;"")</formula>
    </cfRule>
  </conditionalFormatting>
  <conditionalFormatting sqref="K4">
    <cfRule type="expression" dxfId="5605" priority="82">
      <formula>OR($A4="Sa",$A4="So")</formula>
    </cfRule>
    <cfRule type="expression" dxfId="5604" priority="83">
      <formula>AND(J4&gt;0,INDIRECT("Basistabelle!G" &amp; ($A$1+K$1+J4))&lt;="",INDIRECT("Basistabelle!H" &amp; ($A$1+K$1+J4))&gt;"")</formula>
    </cfRule>
  </conditionalFormatting>
  <conditionalFormatting sqref="K5">
    <cfRule type="expression" dxfId="5603" priority="80">
      <formula>OR($A5="Sa",$A5="So")</formula>
    </cfRule>
    <cfRule type="expression" dxfId="5602" priority="81">
      <formula>AND(J5&gt;0,INDIRECT("Basistabelle!G" &amp; ($A$1+K$1+J5))&lt;="",INDIRECT("Basistabelle!H" &amp; ($A$1+K$1+J5))&gt;"")</formula>
    </cfRule>
  </conditionalFormatting>
  <conditionalFormatting sqref="K6">
    <cfRule type="expression" dxfId="5601" priority="78">
      <formula>OR($A6="Sa",$A6="So")</formula>
    </cfRule>
    <cfRule type="expression" dxfId="5600" priority="79">
      <formula>AND(J6&gt;0,INDIRECT("Basistabelle!G" &amp; ($A$1+K$1+J6))&lt;="",INDIRECT("Basistabelle!H" &amp; ($A$1+K$1+J6))&gt;"")</formula>
    </cfRule>
  </conditionalFormatting>
  <conditionalFormatting sqref="K7">
    <cfRule type="expression" dxfId="5599" priority="76">
      <formula>OR($A7="Sa",$A7="So")</formula>
    </cfRule>
    <cfRule type="expression" dxfId="5598" priority="77">
      <formula>AND(J7&gt;0,INDIRECT("Basistabelle!G" &amp; ($A$1+K$1+J7))&lt;="",INDIRECT("Basistabelle!H" &amp; ($A$1+K$1+J7))&gt;"")</formula>
    </cfRule>
  </conditionalFormatting>
  <conditionalFormatting sqref="K8">
    <cfRule type="expression" dxfId="5597" priority="74">
      <formula>OR($A8="Sa",$A8="So")</formula>
    </cfRule>
    <cfRule type="expression" dxfId="5596" priority="75">
      <formula>AND(J8&gt;0,INDIRECT("Basistabelle!G" &amp; ($A$1+K$1+J8))&lt;="",INDIRECT("Basistabelle!H" &amp; ($A$1+K$1+J8))&gt;"")</formula>
    </cfRule>
  </conditionalFormatting>
  <conditionalFormatting sqref="K9">
    <cfRule type="expression" dxfId="5595" priority="72">
      <formula>OR($A9="Sa",$A9="So")</formula>
    </cfRule>
    <cfRule type="expression" dxfId="5594" priority="73">
      <formula>AND(J9&gt;0,INDIRECT("Basistabelle!G" &amp; ($A$1+K$1+J9))&lt;="",INDIRECT("Basistabelle!H" &amp; ($A$1+K$1+J9))&gt;"")</formula>
    </cfRule>
  </conditionalFormatting>
  <conditionalFormatting sqref="K10">
    <cfRule type="expression" dxfId="5593" priority="70">
      <formula>OR($A10="Sa",$A10="So")</formula>
    </cfRule>
    <cfRule type="expression" dxfId="5592" priority="71">
      <formula>AND(J10&gt;0,INDIRECT("Basistabelle!G" &amp; ($A$1+K$1+J10))&lt;="",INDIRECT("Basistabelle!H" &amp; ($A$1+K$1+J10))&gt;"")</formula>
    </cfRule>
  </conditionalFormatting>
  <conditionalFormatting sqref="K11">
    <cfRule type="expression" dxfId="5591" priority="68">
      <formula>OR($A11="Sa",$A11="So")</formula>
    </cfRule>
    <cfRule type="expression" dxfId="5590" priority="69">
      <formula>AND(J11&gt;0,INDIRECT("Basistabelle!G" &amp; ($A$1+K$1+J11))&lt;="",INDIRECT("Basistabelle!H" &amp; ($A$1+K$1+J11))&gt;"")</formula>
    </cfRule>
  </conditionalFormatting>
  <conditionalFormatting sqref="K12">
    <cfRule type="expression" dxfId="5589" priority="66">
      <formula>OR($A12="Sa",$A12="So")</formula>
    </cfRule>
    <cfRule type="expression" dxfId="5588" priority="67">
      <formula>AND(J12&gt;0,INDIRECT("Basistabelle!G" &amp; ($A$1+K$1+J12))&lt;="",INDIRECT("Basistabelle!H" &amp; ($A$1+K$1+J12))&gt;"")</formula>
    </cfRule>
  </conditionalFormatting>
  <conditionalFormatting sqref="K13">
    <cfRule type="expression" dxfId="5587" priority="64">
      <formula>OR($A13="Sa",$A13="So")</formula>
    </cfRule>
    <cfRule type="expression" dxfId="5586" priority="65">
      <formula>AND(J13&gt;0,INDIRECT("Basistabelle!G" &amp; ($A$1+K$1+J13))&lt;="",INDIRECT("Basistabelle!H" &amp; ($A$1+K$1+J13))&gt;"")</formula>
    </cfRule>
  </conditionalFormatting>
  <conditionalFormatting sqref="K14">
    <cfRule type="expression" dxfId="5585" priority="62">
      <formula>OR($A14="Sa",$A14="So")</formula>
    </cfRule>
    <cfRule type="expression" dxfId="5584" priority="63">
      <formula>AND(J14&gt;0,INDIRECT("Basistabelle!G" &amp; ($A$1+K$1+J14))&lt;="",INDIRECT("Basistabelle!H" &amp; ($A$1+K$1+J14))&gt;"")</formula>
    </cfRule>
  </conditionalFormatting>
  <conditionalFormatting sqref="K15">
    <cfRule type="expression" dxfId="5583" priority="60">
      <formula>OR($A15="Sa",$A15="So")</formula>
    </cfRule>
    <cfRule type="expression" dxfId="5582" priority="61">
      <formula>AND(J15&gt;0,INDIRECT("Basistabelle!G" &amp; ($A$1+K$1+J15))&lt;="",INDIRECT("Basistabelle!H" &amp; ($A$1+K$1+J15))&gt;"")</formula>
    </cfRule>
  </conditionalFormatting>
  <conditionalFormatting sqref="K16">
    <cfRule type="expression" dxfId="5581" priority="58">
      <formula>OR($A16="Sa",$A16="So")</formula>
    </cfRule>
    <cfRule type="expression" dxfId="5580" priority="59">
      <formula>AND(J16&gt;0,INDIRECT("Basistabelle!G" &amp; ($A$1+K$1+J16))&lt;="",INDIRECT("Basistabelle!H" &amp; ($A$1+K$1+J16))&gt;"")</formula>
    </cfRule>
  </conditionalFormatting>
  <conditionalFormatting sqref="K17">
    <cfRule type="expression" dxfId="5579" priority="56">
      <formula>OR($A17="Sa",$A17="So")</formula>
    </cfRule>
    <cfRule type="expression" dxfId="5578" priority="57">
      <formula>AND(J17&gt;0,INDIRECT("Basistabelle!G" &amp; ($A$1+K$1+J17))&lt;="",INDIRECT("Basistabelle!H" &amp; ($A$1+K$1+J17))&gt;"")</formula>
    </cfRule>
  </conditionalFormatting>
  <conditionalFormatting sqref="K18">
    <cfRule type="expression" dxfId="5577" priority="54">
      <formula>OR($A18="Sa",$A18="So")</formula>
    </cfRule>
    <cfRule type="expression" dxfId="5576" priority="55">
      <formula>AND(J18&gt;0,INDIRECT("Basistabelle!G" &amp; ($A$1+K$1+J18))&lt;="",INDIRECT("Basistabelle!H" &amp; ($A$1+K$1+J18))&gt;"")</formula>
    </cfRule>
  </conditionalFormatting>
  <conditionalFormatting sqref="K19">
    <cfRule type="expression" dxfId="5575" priority="52">
      <formula>OR($A19="Sa",$A19="So")</formula>
    </cfRule>
    <cfRule type="expression" dxfId="5574" priority="53">
      <formula>AND(J19&gt;0,INDIRECT("Basistabelle!G" &amp; ($A$1+K$1+J19))&lt;="",INDIRECT("Basistabelle!H" &amp; ($A$1+K$1+J19))&gt;"")</formula>
    </cfRule>
  </conditionalFormatting>
  <conditionalFormatting sqref="K20">
    <cfRule type="expression" dxfId="5573" priority="50">
      <formula>OR($A20="Sa",$A20="So")</formula>
    </cfRule>
    <cfRule type="expression" dxfId="5572" priority="51">
      <formula>AND(J20&gt;0,INDIRECT("Basistabelle!G" &amp; ($A$1+K$1+J20))&lt;="",INDIRECT("Basistabelle!H" &amp; ($A$1+K$1+J20))&gt;"")</formula>
    </cfRule>
  </conditionalFormatting>
  <conditionalFormatting sqref="K21">
    <cfRule type="expression" dxfId="5571" priority="48">
      <formula>OR($A21="Sa",$A21="So")</formula>
    </cfRule>
    <cfRule type="expression" dxfId="5570" priority="49">
      <formula>AND(J21&gt;0,INDIRECT("Basistabelle!G" &amp; ($A$1+K$1+J21))&lt;="",INDIRECT("Basistabelle!H" &amp; ($A$1+K$1+J21))&gt;"")</formula>
    </cfRule>
  </conditionalFormatting>
  <conditionalFormatting sqref="K22">
    <cfRule type="expression" dxfId="5569" priority="46">
      <formula>OR($A22="Sa",$A22="So")</formula>
    </cfRule>
    <cfRule type="expression" dxfId="5568" priority="47">
      <formula>AND(J22&gt;0,INDIRECT("Basistabelle!G" &amp; ($A$1+K$1+J22))&lt;="",INDIRECT("Basistabelle!H" &amp; ($A$1+K$1+J22))&gt;"")</formula>
    </cfRule>
  </conditionalFormatting>
  <conditionalFormatting sqref="K23">
    <cfRule type="expression" dxfId="5567" priority="44">
      <formula>OR($A23="Sa",$A23="So")</formula>
    </cfRule>
    <cfRule type="expression" dxfId="5566" priority="45">
      <formula>AND(J23&gt;0,INDIRECT("Basistabelle!G" &amp; ($A$1+K$1+J23))&lt;="",INDIRECT("Basistabelle!H" &amp; ($A$1+K$1+J23))&gt;"")</formula>
    </cfRule>
  </conditionalFormatting>
  <conditionalFormatting sqref="K24">
    <cfRule type="expression" dxfId="5565" priority="42">
      <formula>OR($A24="Sa",$A24="So")</formula>
    </cfRule>
    <cfRule type="expression" dxfId="5564" priority="43">
      <formula>AND(J24&gt;0,INDIRECT("Basistabelle!G" &amp; ($A$1+K$1+J24))&lt;="",INDIRECT("Basistabelle!H" &amp; ($A$1+K$1+J24))&gt;"")</formula>
    </cfRule>
  </conditionalFormatting>
  <conditionalFormatting sqref="K25">
    <cfRule type="expression" dxfId="5563" priority="40">
      <formula>OR($A25="Sa",$A25="So")</formula>
    </cfRule>
    <cfRule type="expression" dxfId="5562" priority="41">
      <formula>AND(J25&gt;0,INDIRECT("Basistabelle!G" &amp; ($A$1+K$1+J25))&lt;="",INDIRECT("Basistabelle!H" &amp; ($A$1+K$1+J25))&gt;"")</formula>
    </cfRule>
  </conditionalFormatting>
  <conditionalFormatting sqref="K26">
    <cfRule type="expression" dxfId="5561" priority="38">
      <formula>OR($A26="Sa",$A26="So")</formula>
    </cfRule>
    <cfRule type="expression" dxfId="5560" priority="39">
      <formula>AND(J26&gt;0,INDIRECT("Basistabelle!G" &amp; ($A$1+K$1+J26))&lt;="",INDIRECT("Basistabelle!H" &amp; ($A$1+K$1+J26))&gt;"")</formula>
    </cfRule>
  </conditionalFormatting>
  <conditionalFormatting sqref="K27">
    <cfRule type="expression" dxfId="5559" priority="36">
      <formula>OR($A27="Sa",$A27="So")</formula>
    </cfRule>
    <cfRule type="expression" dxfId="5558" priority="37">
      <formula>AND(J27&gt;0,INDIRECT("Basistabelle!G" &amp; ($A$1+K$1+J27))&lt;="",INDIRECT("Basistabelle!H" &amp; ($A$1+K$1+J27))&gt;"")</formula>
    </cfRule>
  </conditionalFormatting>
  <conditionalFormatting sqref="K28">
    <cfRule type="expression" dxfId="5557" priority="34">
      <formula>OR($A28="Sa",$A28="So")</formula>
    </cfRule>
    <cfRule type="expression" dxfId="5556" priority="35">
      <formula>AND(J28&gt;0,INDIRECT("Basistabelle!G" &amp; ($A$1+K$1+J28))&lt;="",INDIRECT("Basistabelle!H" &amp; ($A$1+K$1+J28))&gt;"")</formula>
    </cfRule>
  </conditionalFormatting>
  <conditionalFormatting sqref="K29">
    <cfRule type="expression" dxfId="5555" priority="32">
      <formula>OR($A29="Sa",$A29="So")</formula>
    </cfRule>
    <cfRule type="expression" dxfId="5554" priority="33">
      <formula>AND(J29&gt;0,INDIRECT("Basistabelle!G" &amp; ($A$1+K$1+J29))&lt;="",INDIRECT("Basistabelle!H" &amp; ($A$1+K$1+J29))&gt;"")</formula>
    </cfRule>
  </conditionalFormatting>
  <conditionalFormatting sqref="K30">
    <cfRule type="expression" dxfId="5553" priority="30">
      <formula>OR($A30="Sa",$A30="So")</formula>
    </cfRule>
    <cfRule type="expression" dxfId="5552" priority="31">
      <formula>AND(J30&gt;0,INDIRECT("Basistabelle!G" &amp; ($A$1+K$1+J30))&lt;="",INDIRECT("Basistabelle!H" &amp; ($A$1+K$1+J30))&gt;"")</formula>
    </cfRule>
  </conditionalFormatting>
  <conditionalFormatting sqref="K31">
    <cfRule type="expression" dxfId="5551" priority="28">
      <formula>OR($A31="Sa",$A31="So")</formula>
    </cfRule>
    <cfRule type="expression" dxfId="5550" priority="29">
      <formula>AND(J31&gt;0,INDIRECT("Basistabelle!G" &amp; ($A$1+K$1+J31))&lt;="",INDIRECT("Basistabelle!H" &amp; ($A$1+K$1+J31))&gt;"")</formula>
    </cfRule>
  </conditionalFormatting>
  <conditionalFormatting sqref="K32">
    <cfRule type="expression" dxfId="5549" priority="26">
      <formula>OR($A32="Sa",$A32="So")</formula>
    </cfRule>
    <cfRule type="expression" dxfId="5548" priority="27">
      <formula>AND(J32&gt;0,INDIRECT("Basistabelle!G" &amp; ($A$1+K$1+J32))&lt;="",INDIRECT("Basistabelle!H" &amp; ($A$1+K$1+J32))&gt;"")</formula>
    </cfRule>
  </conditionalFormatting>
  <conditionalFormatting sqref="K33">
    <cfRule type="expression" dxfId="5547" priority="24">
      <formula>OR($A33="Sa",$A33="So")</formula>
    </cfRule>
    <cfRule type="expression" dxfId="5546" priority="25">
      <formula>AND(J33&gt;0,INDIRECT("Basistabelle!G" &amp; ($A$1+K$1+J33))&lt;="",INDIRECT("Basistabelle!H" &amp; ($A$1+K$1+J33))&gt;"")</formula>
    </cfRule>
  </conditionalFormatting>
  <conditionalFormatting sqref="K34">
    <cfRule type="expression" dxfId="5545" priority="22">
      <formula>OR($A34="Sa",$A34="So")</formula>
    </cfRule>
    <cfRule type="expression" dxfId="5544" priority="23">
      <formula>AND(J34&gt;0,INDIRECT("Basistabelle!G" &amp; ($A$1+K$1+J34))&lt;="",INDIRECT("Basistabelle!H" &amp; ($A$1+K$1+J34))&gt;"")</formula>
    </cfRule>
  </conditionalFormatting>
  <conditionalFormatting sqref="K35">
    <cfRule type="expression" dxfId="5543" priority="20">
      <formula>OR($A35="Sa",$A35="So")</formula>
    </cfRule>
    <cfRule type="expression" dxfId="5542" priority="21">
      <formula>AND(J35&gt;0,INDIRECT("Basistabelle!G" &amp; ($A$1+K$1+J35))&lt;="",INDIRECT("Basistabelle!H" &amp; ($A$1+K$1+J35))&gt;"")</formula>
    </cfRule>
  </conditionalFormatting>
  <conditionalFormatting sqref="K36">
    <cfRule type="expression" dxfId="5541" priority="18">
      <formula>OR($A36="Sa",$A36="So")</formula>
    </cfRule>
    <cfRule type="expression" dxfId="5540" priority="19">
      <formula>AND(J36&gt;0,INDIRECT("Basistabelle!G" &amp; ($A$1+K$1+J36))&lt;="",INDIRECT("Basistabelle!H" &amp; ($A$1+K$1+J36))&gt;"")</formula>
    </cfRule>
  </conditionalFormatting>
  <conditionalFormatting sqref="K37">
    <cfRule type="expression" dxfId="5539" priority="16">
      <formula>OR($A37="Sa",$A37="So")</formula>
    </cfRule>
    <cfRule type="expression" dxfId="5538" priority="17">
      <formula>AND(J37&gt;0,INDIRECT("Basistabelle!G" &amp; ($A$1+K$1+J37))&lt;="",INDIRECT("Basistabelle!H" &amp; ($A$1+K$1+J37))&gt;"")</formula>
    </cfRule>
  </conditionalFormatting>
  <conditionalFormatting sqref="K38">
    <cfRule type="expression" dxfId="5537" priority="14">
      <formula>OR($A38="Sa",$A38="So")</formula>
    </cfRule>
    <cfRule type="expression" dxfId="5536" priority="15">
      <formula>AND(J38&gt;0,INDIRECT("Basistabelle!G" &amp; ($A$1+K$1+J38))&lt;="",INDIRECT("Basistabelle!H" &amp; ($A$1+K$1+J38))&gt;"")</formula>
    </cfRule>
  </conditionalFormatting>
  <conditionalFormatting sqref="K39">
    <cfRule type="expression" dxfId="5535" priority="12">
      <formula>OR($A39="Sa",$A39="So")</formula>
    </cfRule>
    <cfRule type="expression" dxfId="5534" priority="13">
      <formula>AND(J39&gt;0,INDIRECT("Basistabelle!G" &amp; ($A$1+K$1+J39))&lt;="",INDIRECT("Basistabelle!H" &amp; ($A$1+K$1+J39))&gt;"")</formula>
    </cfRule>
  </conditionalFormatting>
  <conditionalFormatting sqref="K40">
    <cfRule type="expression" dxfId="5533" priority="10">
      <formula>OR($A40="Sa",$A40="So")</formula>
    </cfRule>
    <cfRule type="expression" dxfId="5532" priority="11">
      <formula>AND(J40&gt;0,INDIRECT("Basistabelle!G" &amp; ($A$1+K$1+J40))&lt;="",INDIRECT("Basistabelle!H" &amp; ($A$1+K$1+J40))&gt;"")</formula>
    </cfRule>
  </conditionalFormatting>
  <conditionalFormatting sqref="K41">
    <cfRule type="expression" dxfId="5531" priority="8">
      <formula>OR($A41="Sa",$A41="So")</formula>
    </cfRule>
    <cfRule type="expression" dxfId="5530" priority="9">
      <formula>AND(J41&gt;0,INDIRECT("Basistabelle!G" &amp; ($A$1+K$1+J41))&lt;="",INDIRECT("Basistabelle!H" &amp; ($A$1+K$1+J41))&gt;"")</formula>
    </cfRule>
  </conditionalFormatting>
  <conditionalFormatting sqref="C36">
    <cfRule type="expression" dxfId="5529" priority="6">
      <formula>OR($A36="Sa",$A36="So")</formula>
    </cfRule>
    <cfRule type="expression" dxfId="5528" priority="7">
      <formula>AND(B36&gt;0,INDIRECT("Basistabelle!G" &amp; ($A$1+C$1+B36))&lt;="",INDIRECT("Basistabelle!H" &amp; ($A$1+C$1+B36))&gt;"")</formula>
    </cfRule>
  </conditionalFormatting>
  <conditionalFormatting sqref="C27">
    <cfRule type="expression" dxfId="5527" priority="4">
      <formula>OR($A27="Sa",$A27="So")</formula>
    </cfRule>
    <cfRule type="expression" dxfId="5526" priority="5">
      <formula>AND(B27&gt;0,INDIRECT("Basistabelle!G" &amp; ($A$1+C$1+B27))&lt;="",INDIRECT("Basistabelle!H" &amp; ($A$1+C$1+B27))&gt;"")</formula>
    </cfRule>
  </conditionalFormatting>
  <conditionalFormatting sqref="N24">
    <cfRule type="cellIs" dxfId="5525" priority="3" operator="equal">
      <formula>"x"</formula>
    </cfRule>
  </conditionalFormatting>
  <conditionalFormatting sqref="L24">
    <cfRule type="cellIs" dxfId="5524" priority="2" operator="equal">
      <formula>"x"</formula>
    </cfRule>
  </conditionalFormatting>
  <conditionalFormatting sqref="P24">
    <cfRule type="cellIs" dxfId="5523" priority="1" operator="equal">
      <formula>"x"</formula>
    </cfRule>
  </conditionalFormatting>
  <pageMargins left="0.23622047244094491" right="0.23622047244094491" top="0.74803149606299213" bottom="0.74803149606299213" header="0.31496062992125984" footer="0.31496062992125984"/>
  <pageSetup paperSize="9" scale="76" orientation="landscape" errors="blank" r:id="rId1"/>
  <headerFooter>
    <oddHeader>&amp;CESG Jahresübersicht 2015 (V1.1 per 14.05.2014)</oddHeader>
    <oddFooter>&amp;CPS/JG 14.05.2014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 enableFormatConditionsCalculation="0"/>
  <dimension ref="A1:DE72"/>
  <sheetViews>
    <sheetView topLeftCell="A2" zoomScale="75" zoomScaleNormal="75" zoomScalePageLayoutView="75" workbookViewId="0">
      <selection activeCell="A2" sqref="A2"/>
    </sheetView>
  </sheetViews>
  <sheetFormatPr baseColWidth="10" defaultColWidth="11.5" defaultRowHeight="14" x14ac:dyDescent="0.2"/>
  <cols>
    <col min="1" max="1" width="4.83203125" style="1" bestFit="1" customWidth="1"/>
    <col min="2" max="2" width="3" style="1" bestFit="1" customWidth="1"/>
    <col min="3" max="3" width="9.83203125" style="75" customWidth="1"/>
    <col min="4" max="4" width="0.1640625" style="4" customWidth="1"/>
    <col min="5" max="5" width="0.1640625" style="45" customWidth="1"/>
    <col min="6" max="6" width="0.1640625" style="4" customWidth="1"/>
    <col min="7" max="7" width="0.1640625" style="45" customWidth="1"/>
    <col min="8" max="8" width="0.1640625" style="4" customWidth="1"/>
    <col min="9" max="9" width="0.1640625" style="45" customWidth="1"/>
    <col min="10" max="10" width="3" style="1" bestFit="1" customWidth="1"/>
    <col min="11" max="11" width="9.83203125" style="75" customWidth="1"/>
    <col min="12" max="12" width="0.1640625" style="4" customWidth="1"/>
    <col min="13" max="13" width="0.1640625" style="45" customWidth="1"/>
    <col min="14" max="14" width="0.1640625" style="4" customWidth="1"/>
    <col min="15" max="15" width="0.1640625" style="45" customWidth="1"/>
    <col min="16" max="16" width="0.1640625" style="4" customWidth="1"/>
    <col min="17" max="17" width="0.1640625" style="45" customWidth="1"/>
    <col min="18" max="18" width="3" style="1" bestFit="1" customWidth="1"/>
    <col min="19" max="19" width="9.83203125" style="75" customWidth="1"/>
    <col min="20" max="20" width="0.1640625" style="4" customWidth="1"/>
    <col min="21" max="21" width="0.1640625" style="45" customWidth="1"/>
    <col min="22" max="22" width="0.1640625" style="4" customWidth="1"/>
    <col min="23" max="23" width="0.1640625" style="45" customWidth="1"/>
    <col min="24" max="24" width="0.1640625" style="4" customWidth="1"/>
    <col min="25" max="25" width="0.1640625" style="45" customWidth="1"/>
    <col min="26" max="26" width="3" style="1" bestFit="1" customWidth="1"/>
    <col min="27" max="27" width="9.83203125" style="75" customWidth="1"/>
    <col min="28" max="28" width="0.1640625" style="4" customWidth="1"/>
    <col min="29" max="29" width="0.1640625" style="45" customWidth="1"/>
    <col min="30" max="30" width="0.1640625" style="4" customWidth="1"/>
    <col min="31" max="31" width="0.1640625" style="45" customWidth="1"/>
    <col min="32" max="32" width="0.1640625" style="4" customWidth="1"/>
    <col min="33" max="33" width="0.1640625" style="45" customWidth="1"/>
    <col min="34" max="34" width="3" style="1" bestFit="1" customWidth="1"/>
    <col min="35" max="35" width="9.83203125" style="75" customWidth="1"/>
    <col min="36" max="36" width="0.1640625" style="4" customWidth="1"/>
    <col min="37" max="37" width="0.1640625" style="45" customWidth="1"/>
    <col min="38" max="38" width="0.1640625" style="4" customWidth="1"/>
    <col min="39" max="39" width="0.1640625" style="45" customWidth="1"/>
    <col min="40" max="40" width="0.1640625" style="4" customWidth="1"/>
    <col min="41" max="41" width="0.1640625" style="45" customWidth="1"/>
    <col min="42" max="42" width="3" style="1" bestFit="1" customWidth="1"/>
    <col min="43" max="43" width="9.83203125" style="75" customWidth="1"/>
    <col min="44" max="44" width="0.1640625" style="4" customWidth="1"/>
    <col min="45" max="45" width="0.1640625" style="45" customWidth="1"/>
    <col min="46" max="46" width="0.1640625" style="4" customWidth="1"/>
    <col min="47" max="47" width="0.1640625" style="45" customWidth="1"/>
    <col min="48" max="48" width="0.1640625" style="4" customWidth="1"/>
    <col min="49" max="49" width="0.1640625" style="45" customWidth="1"/>
    <col min="50" max="50" width="3" style="1" bestFit="1" customWidth="1"/>
    <col min="51" max="51" width="9.83203125" style="75" customWidth="1"/>
    <col min="52" max="52" width="0.1640625" style="4" customWidth="1"/>
    <col min="53" max="53" width="0.1640625" style="45" customWidth="1"/>
    <col min="54" max="54" width="0.1640625" style="4" customWidth="1"/>
    <col min="55" max="55" width="0.1640625" style="45" customWidth="1"/>
    <col min="56" max="56" width="0.1640625" style="4" customWidth="1"/>
    <col min="57" max="57" width="0.1640625" style="45" customWidth="1"/>
    <col min="58" max="58" width="3.1640625" style="3" bestFit="1" customWidth="1"/>
    <col min="59" max="59" width="9.83203125" style="80" customWidth="1"/>
    <col min="60" max="60" width="0.1640625" style="4" customWidth="1"/>
    <col min="61" max="61" width="0.1640625" style="45" customWidth="1"/>
    <col min="62" max="62" width="0.1640625" style="4" customWidth="1"/>
    <col min="63" max="63" width="0.1640625" style="45" customWidth="1"/>
    <col min="64" max="64" width="0.1640625" style="4" customWidth="1"/>
    <col min="65" max="65" width="0.1640625" style="45" customWidth="1"/>
    <col min="66" max="66" width="3" style="1" bestFit="1" customWidth="1"/>
    <col min="67" max="67" width="9.83203125" style="75" customWidth="1"/>
    <col min="68" max="68" width="0.1640625" style="4" customWidth="1"/>
    <col min="69" max="69" width="0.1640625" style="45" customWidth="1"/>
    <col min="70" max="70" width="0.1640625" style="4" customWidth="1"/>
    <col min="71" max="71" width="0.1640625" style="45" customWidth="1"/>
    <col min="72" max="72" width="0.1640625" style="4" customWidth="1"/>
    <col min="73" max="73" width="0.1640625" style="45" customWidth="1"/>
    <col min="74" max="74" width="3.1640625" style="1" bestFit="1" customWidth="1"/>
    <col min="75" max="75" width="9.83203125" style="75" customWidth="1"/>
    <col min="76" max="76" width="0.1640625" style="4" customWidth="1"/>
    <col min="77" max="77" width="0.1640625" style="45" customWidth="1"/>
    <col min="78" max="78" width="0.1640625" style="4" customWidth="1"/>
    <col min="79" max="79" width="0.1640625" style="45" customWidth="1"/>
    <col min="80" max="80" width="0.1640625" style="4" customWidth="1"/>
    <col min="81" max="81" width="0.1640625" style="45" customWidth="1"/>
    <col min="82" max="82" width="3" style="1" bestFit="1" customWidth="1"/>
    <col min="83" max="83" width="9.83203125" style="75" customWidth="1"/>
    <col min="84" max="84" width="0.1640625" style="4" customWidth="1"/>
    <col min="85" max="85" width="0.1640625" style="45" customWidth="1"/>
    <col min="86" max="86" width="0.1640625" style="4" customWidth="1"/>
    <col min="87" max="87" width="0.1640625" style="45" customWidth="1"/>
    <col min="88" max="88" width="0.1640625" style="4" customWidth="1"/>
    <col min="89" max="89" width="0.1640625" style="45" customWidth="1"/>
    <col min="90" max="90" width="3" style="1" bestFit="1" customWidth="1"/>
    <col min="91" max="91" width="9.83203125" style="75" customWidth="1"/>
    <col min="92" max="92" width="0.1640625" style="4" customWidth="1"/>
    <col min="93" max="93" width="0.1640625" style="45" customWidth="1"/>
    <col min="94" max="94" width="0.1640625" style="4" customWidth="1"/>
    <col min="95" max="95" width="0.1640625" style="45" customWidth="1"/>
    <col min="96" max="96" width="0.1640625" style="4" customWidth="1"/>
    <col min="97" max="97" width="0.1640625" style="45" customWidth="1"/>
    <col min="98" max="16384" width="11.5" style="1"/>
  </cols>
  <sheetData>
    <row r="1" spans="1:97" hidden="1" x14ac:dyDescent="0.2">
      <c r="A1" s="1">
        <v>5</v>
      </c>
      <c r="C1" s="75">
        <v>0</v>
      </c>
      <c r="K1" s="75">
        <v>31</v>
      </c>
      <c r="S1" s="75">
        <v>59</v>
      </c>
      <c r="AA1" s="75">
        <v>90</v>
      </c>
      <c r="AI1" s="75">
        <v>120</v>
      </c>
      <c r="AQ1" s="75">
        <v>151</v>
      </c>
      <c r="AY1" s="75">
        <v>181</v>
      </c>
      <c r="BG1" s="80">
        <v>212</v>
      </c>
      <c r="BO1" s="75">
        <v>243</v>
      </c>
      <c r="BW1" s="75">
        <v>273</v>
      </c>
      <c r="CE1" s="75">
        <v>304</v>
      </c>
      <c r="CM1" s="75">
        <v>334</v>
      </c>
    </row>
    <row r="2" spans="1:97" ht="15" customHeight="1" x14ac:dyDescent="0.2">
      <c r="A2" s="5"/>
      <c r="B2" s="180" t="s">
        <v>0</v>
      </c>
      <c r="C2" s="179"/>
      <c r="D2" s="13"/>
      <c r="E2" s="42"/>
      <c r="F2" s="13"/>
      <c r="G2" s="42"/>
      <c r="H2" s="13"/>
      <c r="I2" s="42"/>
      <c r="J2" s="178" t="s">
        <v>9</v>
      </c>
      <c r="K2" s="179"/>
      <c r="L2" s="55"/>
      <c r="M2" s="56"/>
      <c r="N2" s="55"/>
      <c r="O2" s="56"/>
      <c r="P2" s="55"/>
      <c r="Q2" s="56"/>
      <c r="R2" s="181" t="s">
        <v>10</v>
      </c>
      <c r="S2" s="182"/>
      <c r="T2" s="55"/>
      <c r="U2" s="56"/>
      <c r="V2" s="55"/>
      <c r="W2" s="56"/>
      <c r="X2" s="55"/>
      <c r="Y2" s="56"/>
      <c r="Z2" s="181" t="s">
        <v>11</v>
      </c>
      <c r="AA2" s="182"/>
      <c r="AB2" s="55"/>
      <c r="AC2" s="56"/>
      <c r="AD2" s="55"/>
      <c r="AE2" s="56"/>
      <c r="AF2" s="55"/>
      <c r="AG2" s="56"/>
      <c r="AH2" s="178" t="s">
        <v>13</v>
      </c>
      <c r="AI2" s="179"/>
      <c r="AJ2" s="55"/>
      <c r="AK2" s="56"/>
      <c r="AL2" s="55"/>
      <c r="AM2" s="56"/>
      <c r="AN2" s="55"/>
      <c r="AO2" s="56"/>
      <c r="AP2" s="178" t="s">
        <v>15</v>
      </c>
      <c r="AQ2" s="179"/>
      <c r="AR2" s="55"/>
      <c r="AS2" s="56"/>
      <c r="AT2" s="55"/>
      <c r="AU2" s="56"/>
      <c r="AV2" s="55"/>
      <c r="AW2" s="56"/>
      <c r="AX2" s="181" t="s">
        <v>17</v>
      </c>
      <c r="AY2" s="182"/>
      <c r="AZ2" s="55"/>
      <c r="BA2" s="56"/>
      <c r="BB2" s="55"/>
      <c r="BC2" s="56"/>
      <c r="BD2" s="55"/>
      <c r="BE2" s="56"/>
      <c r="BF2" s="181" t="s">
        <v>18</v>
      </c>
      <c r="BG2" s="182"/>
      <c r="BH2" s="55"/>
      <c r="BI2" s="56"/>
      <c r="BJ2" s="55"/>
      <c r="BK2" s="56"/>
      <c r="BL2" s="55"/>
      <c r="BM2" s="56"/>
      <c r="BN2" s="178" t="s">
        <v>19</v>
      </c>
      <c r="BO2" s="179"/>
      <c r="BP2" s="55"/>
      <c r="BQ2" s="56"/>
      <c r="BR2" s="55"/>
      <c r="BS2" s="56"/>
      <c r="BT2" s="55"/>
      <c r="BU2" s="56"/>
      <c r="BV2" s="178" t="s">
        <v>20</v>
      </c>
      <c r="BW2" s="179"/>
      <c r="BX2" s="55"/>
      <c r="BY2" s="56"/>
      <c r="BZ2" s="55"/>
      <c r="CA2" s="56"/>
      <c r="CB2" s="55"/>
      <c r="CC2" s="56"/>
      <c r="CD2" s="178" t="s">
        <v>21</v>
      </c>
      <c r="CE2" s="179"/>
      <c r="CF2" s="55"/>
      <c r="CG2" s="56"/>
      <c r="CH2" s="55"/>
      <c r="CI2" s="56"/>
      <c r="CJ2" s="55"/>
      <c r="CK2" s="56"/>
      <c r="CL2" s="178" t="s">
        <v>22</v>
      </c>
      <c r="CM2" s="179"/>
      <c r="CN2" s="55"/>
      <c r="CO2" s="56"/>
      <c r="CP2" s="55"/>
      <c r="CQ2" s="56"/>
      <c r="CR2" s="55"/>
      <c r="CS2" s="61"/>
    </row>
    <row r="3" spans="1:97" s="2" customFormat="1" ht="14.5" customHeight="1" x14ac:dyDescent="0.2">
      <c r="A3" s="6" t="s">
        <v>25</v>
      </c>
      <c r="B3" s="7"/>
      <c r="C3" s="60" t="s">
        <v>77</v>
      </c>
      <c r="D3" s="189">
        <v>1</v>
      </c>
      <c r="E3" s="189"/>
      <c r="F3" s="189"/>
      <c r="G3" s="189"/>
      <c r="H3" s="189"/>
      <c r="I3" s="190"/>
      <c r="J3" s="17"/>
      <c r="K3" s="60" t="s">
        <v>77</v>
      </c>
      <c r="L3" s="57"/>
      <c r="M3" s="58"/>
      <c r="N3" s="57"/>
      <c r="O3" s="58"/>
      <c r="P3" s="57"/>
      <c r="Q3" s="59"/>
      <c r="R3" s="17"/>
      <c r="S3" s="60" t="s">
        <v>77</v>
      </c>
      <c r="T3" s="57"/>
      <c r="U3" s="58"/>
      <c r="V3" s="57"/>
      <c r="W3" s="58"/>
      <c r="X3" s="57"/>
      <c r="Y3" s="59"/>
      <c r="Z3" s="17"/>
      <c r="AA3" s="60" t="s">
        <v>77</v>
      </c>
      <c r="AB3" s="57"/>
      <c r="AC3" s="58"/>
      <c r="AD3" s="14"/>
      <c r="AE3" s="58"/>
      <c r="AF3" s="57"/>
      <c r="AG3" s="59"/>
      <c r="AH3" s="17"/>
      <c r="AI3" s="60" t="s">
        <v>77</v>
      </c>
      <c r="AJ3" s="57"/>
      <c r="AK3" s="58"/>
      <c r="AL3" s="57"/>
      <c r="AM3" s="58"/>
      <c r="AN3" s="57"/>
      <c r="AO3" s="59"/>
      <c r="AP3" s="17"/>
      <c r="AQ3" s="60" t="s">
        <v>77</v>
      </c>
      <c r="AR3" s="57"/>
      <c r="AS3" s="58"/>
      <c r="AT3" s="57"/>
      <c r="AU3" s="58"/>
      <c r="AV3" s="57"/>
      <c r="AW3" s="59"/>
      <c r="AX3" s="17"/>
      <c r="AY3" s="60" t="s">
        <v>77</v>
      </c>
      <c r="AZ3" s="57"/>
      <c r="BA3" s="58"/>
      <c r="BB3" s="57"/>
      <c r="BC3" s="58"/>
      <c r="BD3" s="57"/>
      <c r="BE3" s="59"/>
      <c r="BF3" s="20"/>
      <c r="BG3" s="60" t="s">
        <v>77</v>
      </c>
      <c r="BH3" s="57"/>
      <c r="BI3" s="58"/>
      <c r="BJ3" s="57"/>
      <c r="BK3" s="58"/>
      <c r="BL3" s="57"/>
      <c r="BM3" s="59"/>
      <c r="BN3" s="6"/>
      <c r="BO3" s="60" t="s">
        <v>77</v>
      </c>
      <c r="BP3" s="57"/>
      <c r="BQ3" s="58"/>
      <c r="BR3" s="57"/>
      <c r="BS3" s="58"/>
      <c r="BT3" s="57"/>
      <c r="BU3" s="59"/>
      <c r="BV3" s="17"/>
      <c r="BW3" s="60" t="s">
        <v>77</v>
      </c>
      <c r="BX3" s="57"/>
      <c r="BY3" s="58"/>
      <c r="BZ3" s="57"/>
      <c r="CA3" s="58"/>
      <c r="CB3" s="57"/>
      <c r="CC3" s="59"/>
      <c r="CD3" s="17"/>
      <c r="CE3" s="60" t="s">
        <v>77</v>
      </c>
      <c r="CF3" s="57"/>
      <c r="CG3" s="58"/>
      <c r="CH3" s="57"/>
      <c r="CI3" s="58"/>
      <c r="CJ3" s="57"/>
      <c r="CK3" s="59"/>
      <c r="CL3" s="6"/>
      <c r="CM3" s="60" t="s">
        <v>77</v>
      </c>
      <c r="CN3" s="57"/>
      <c r="CO3" s="58"/>
      <c r="CP3" s="57"/>
      <c r="CQ3" s="58"/>
      <c r="CR3" s="57"/>
      <c r="CS3" s="59"/>
    </row>
    <row r="4" spans="1:97" s="2" customFormat="1" x14ac:dyDescent="0.2">
      <c r="A4" s="6" t="s">
        <v>6</v>
      </c>
      <c r="B4" s="7"/>
      <c r="C4" s="60" t="s">
        <v>77</v>
      </c>
      <c r="D4" s="14"/>
      <c r="E4" s="36"/>
      <c r="F4" s="24"/>
      <c r="G4" s="36"/>
      <c r="H4" s="24"/>
      <c r="I4" s="36"/>
      <c r="J4" s="17"/>
      <c r="K4" s="60" t="s">
        <v>77</v>
      </c>
      <c r="L4" s="14"/>
      <c r="M4" s="36"/>
      <c r="N4" s="24"/>
      <c r="O4" s="36"/>
      <c r="P4" s="24"/>
      <c r="Q4" s="36"/>
      <c r="R4" s="17"/>
      <c r="S4" s="60" t="s">
        <v>77</v>
      </c>
      <c r="T4" s="14"/>
      <c r="U4" s="36"/>
      <c r="V4" s="24"/>
      <c r="W4" s="36"/>
      <c r="X4" s="24"/>
      <c r="Y4" s="36"/>
      <c r="Z4" s="6"/>
      <c r="AA4" s="60" t="s">
        <v>77</v>
      </c>
      <c r="AB4" s="14"/>
      <c r="AC4" s="36"/>
      <c r="AD4" s="14"/>
      <c r="AE4" s="36"/>
      <c r="AF4" s="24"/>
      <c r="AG4" s="36"/>
      <c r="AH4" s="17"/>
      <c r="AI4" s="19" t="s">
        <v>31</v>
      </c>
      <c r="AJ4" s="14"/>
      <c r="AK4" s="36"/>
      <c r="AL4" s="24"/>
      <c r="AM4" s="36"/>
      <c r="AN4" s="24"/>
      <c r="AO4" s="36"/>
      <c r="AP4" s="17"/>
      <c r="AQ4" s="60" t="s">
        <v>77</v>
      </c>
      <c r="AR4" s="14"/>
      <c r="AS4" s="36"/>
      <c r="AT4" s="24"/>
      <c r="AU4" s="36"/>
      <c r="AV4" s="24"/>
      <c r="AW4" s="36"/>
      <c r="AX4" s="6"/>
      <c r="AY4" s="60" t="s">
        <v>77</v>
      </c>
      <c r="AZ4" s="14"/>
      <c r="BA4" s="36"/>
      <c r="BB4" s="24"/>
      <c r="BC4" s="36"/>
      <c r="BD4" s="24"/>
      <c r="BE4" s="36"/>
      <c r="BF4" s="20"/>
      <c r="BG4" s="60" t="s">
        <v>77</v>
      </c>
      <c r="BH4" s="14"/>
      <c r="BI4" s="36"/>
      <c r="BJ4" s="24"/>
      <c r="BK4" s="36"/>
      <c r="BL4" s="24"/>
      <c r="BM4" s="36"/>
      <c r="BN4" s="6">
        <v>1</v>
      </c>
      <c r="BO4" s="60" t="s">
        <v>46</v>
      </c>
      <c r="BP4" s="15">
        <v>0</v>
      </c>
      <c r="BQ4" s="36"/>
      <c r="BR4" s="14">
        <v>0</v>
      </c>
      <c r="BS4" s="36"/>
      <c r="BT4" s="15">
        <v>0</v>
      </c>
      <c r="BU4" s="36"/>
      <c r="BV4" s="17"/>
      <c r="BW4" s="60" t="s">
        <v>77</v>
      </c>
      <c r="BX4" s="15"/>
      <c r="BY4" s="36"/>
      <c r="BZ4" s="14"/>
      <c r="CA4" s="36"/>
      <c r="CB4" s="15"/>
      <c r="CC4" s="36"/>
      <c r="CD4" s="17"/>
      <c r="CE4" s="60" t="s">
        <v>77</v>
      </c>
      <c r="CF4" s="15"/>
      <c r="CG4" s="36"/>
      <c r="CH4" s="14"/>
      <c r="CI4" s="36"/>
      <c r="CJ4" s="15"/>
      <c r="CK4" s="36"/>
      <c r="CL4" s="6">
        <v>1</v>
      </c>
      <c r="CM4" s="60" t="s">
        <v>77</v>
      </c>
      <c r="CN4" s="15">
        <v>0</v>
      </c>
      <c r="CO4" s="37"/>
      <c r="CP4" s="14">
        <v>0</v>
      </c>
      <c r="CQ4" s="37"/>
      <c r="CR4" s="15">
        <v>0</v>
      </c>
      <c r="CS4" s="62"/>
    </row>
    <row r="5" spans="1:97" s="2" customFormat="1" x14ac:dyDescent="0.2">
      <c r="A5" s="6" t="s">
        <v>7</v>
      </c>
      <c r="B5" s="8"/>
      <c r="C5" s="60" t="s">
        <v>77</v>
      </c>
      <c r="D5" s="14"/>
      <c r="E5" s="37"/>
      <c r="F5" s="14"/>
      <c r="G5" s="37"/>
      <c r="H5" s="14"/>
      <c r="I5" s="37"/>
      <c r="J5" s="6"/>
      <c r="K5" s="60" t="s">
        <v>77</v>
      </c>
      <c r="L5" s="14"/>
      <c r="M5" s="37"/>
      <c r="N5" s="14"/>
      <c r="O5" s="37"/>
      <c r="P5" s="14"/>
      <c r="Q5" s="37"/>
      <c r="R5" s="6"/>
      <c r="S5" s="60" t="s">
        <v>77</v>
      </c>
      <c r="T5" s="14"/>
      <c r="U5" s="37"/>
      <c r="V5" s="14"/>
      <c r="W5" s="37"/>
      <c r="X5" s="14"/>
      <c r="Y5" s="37"/>
      <c r="Z5" s="6">
        <v>1</v>
      </c>
      <c r="AA5" s="60" t="s">
        <v>77</v>
      </c>
      <c r="AB5" s="14">
        <v>0</v>
      </c>
      <c r="AC5" s="37"/>
      <c r="AD5" s="14">
        <v>0</v>
      </c>
      <c r="AE5" s="37"/>
      <c r="AF5" s="14">
        <v>0</v>
      </c>
      <c r="AG5" s="37"/>
      <c r="AH5" s="6"/>
      <c r="AI5" s="19" t="s">
        <v>33</v>
      </c>
      <c r="AJ5" s="14"/>
      <c r="AK5" s="37"/>
      <c r="AL5" s="14"/>
      <c r="AM5" s="37"/>
      <c r="AN5" s="14"/>
      <c r="AO5" s="37"/>
      <c r="AP5" s="6"/>
      <c r="AQ5" s="60" t="s">
        <v>77</v>
      </c>
      <c r="AR5" s="14"/>
      <c r="AS5" s="37"/>
      <c r="AT5" s="14"/>
      <c r="AU5" s="37"/>
      <c r="AV5" s="14"/>
      <c r="AW5" s="37"/>
      <c r="AX5" s="6">
        <v>1</v>
      </c>
      <c r="AY5" s="60" t="s">
        <v>77</v>
      </c>
      <c r="AZ5" s="15">
        <v>0</v>
      </c>
      <c r="BA5" s="37"/>
      <c r="BB5" s="14">
        <v>0</v>
      </c>
      <c r="BC5" s="37"/>
      <c r="BD5" s="15">
        <v>0</v>
      </c>
      <c r="BE5" s="37"/>
      <c r="BF5" s="21"/>
      <c r="BG5" s="60" t="s">
        <v>77</v>
      </c>
      <c r="BH5" s="15"/>
      <c r="BI5" s="37"/>
      <c r="BJ5" s="14"/>
      <c r="BK5" s="37"/>
      <c r="BL5" s="15"/>
      <c r="BM5" s="37"/>
      <c r="BN5" s="6">
        <v>2</v>
      </c>
      <c r="BO5" s="60" t="s">
        <v>77</v>
      </c>
      <c r="BP5" s="15">
        <v>0</v>
      </c>
      <c r="BQ5" s="37"/>
      <c r="BR5" s="14">
        <v>0</v>
      </c>
      <c r="BS5" s="37"/>
      <c r="BT5" s="15">
        <v>0</v>
      </c>
      <c r="BU5" s="37"/>
      <c r="BV5" s="6"/>
      <c r="BW5" s="60" t="s">
        <v>77</v>
      </c>
      <c r="BX5" s="15"/>
      <c r="BY5" s="37"/>
      <c r="BZ5" s="14"/>
      <c r="CA5" s="37"/>
      <c r="CB5" s="15"/>
      <c r="CC5" s="37"/>
      <c r="CD5" s="6"/>
      <c r="CE5" s="60" t="s">
        <v>77</v>
      </c>
      <c r="CF5" s="15"/>
      <c r="CG5" s="37"/>
      <c r="CH5" s="14"/>
      <c r="CI5" s="37"/>
      <c r="CJ5" s="15"/>
      <c r="CK5" s="37"/>
      <c r="CL5" s="6">
        <v>2</v>
      </c>
      <c r="CM5" s="60" t="s">
        <v>77</v>
      </c>
      <c r="CN5" s="15">
        <v>0</v>
      </c>
      <c r="CO5" s="37"/>
      <c r="CP5" s="14">
        <v>0</v>
      </c>
      <c r="CQ5" s="37"/>
      <c r="CR5" s="15">
        <v>0</v>
      </c>
      <c r="CS5" s="62"/>
    </row>
    <row r="6" spans="1:97" s="2" customFormat="1" x14ac:dyDescent="0.2">
      <c r="A6" s="6" t="s">
        <v>8</v>
      </c>
      <c r="B6" s="8">
        <v>1</v>
      </c>
      <c r="C6" s="60" t="s">
        <v>1</v>
      </c>
      <c r="D6" s="15" t="s">
        <v>35</v>
      </c>
      <c r="E6" s="37"/>
      <c r="F6" s="14" t="s">
        <v>35</v>
      </c>
      <c r="G6" s="37"/>
      <c r="H6" s="14">
        <v>0</v>
      </c>
      <c r="I6" s="37"/>
      <c r="J6" s="6"/>
      <c r="K6" s="60" t="s">
        <v>77</v>
      </c>
      <c r="L6" s="15"/>
      <c r="M6" s="37"/>
      <c r="N6" s="14"/>
      <c r="O6" s="37"/>
      <c r="P6" s="14"/>
      <c r="Q6" s="37"/>
      <c r="R6" s="6"/>
      <c r="S6" s="60" t="s">
        <v>77</v>
      </c>
      <c r="T6" s="15"/>
      <c r="U6" s="37"/>
      <c r="V6" s="14"/>
      <c r="W6" s="37"/>
      <c r="X6" s="14"/>
      <c r="Y6" s="37"/>
      <c r="Z6" s="6">
        <v>2</v>
      </c>
      <c r="AA6" s="60" t="s">
        <v>56</v>
      </c>
      <c r="AB6" s="15">
        <v>0</v>
      </c>
      <c r="AC6" s="37"/>
      <c r="AD6" s="14">
        <v>0</v>
      </c>
      <c r="AE6" s="37"/>
      <c r="AF6" s="14">
        <v>0</v>
      </c>
      <c r="AG6" s="37"/>
      <c r="AH6" s="6"/>
      <c r="AI6" s="60" t="s">
        <v>77</v>
      </c>
      <c r="AJ6" s="15"/>
      <c r="AK6" s="37"/>
      <c r="AL6" s="14"/>
      <c r="AM6" s="37"/>
      <c r="AN6" s="15"/>
      <c r="AO6" s="82"/>
      <c r="AP6" s="6"/>
      <c r="AQ6" s="60" t="s">
        <v>77</v>
      </c>
      <c r="AR6" s="15"/>
      <c r="AS6" s="37"/>
      <c r="AT6" s="14"/>
      <c r="AU6" s="37"/>
      <c r="AV6" s="15"/>
      <c r="AW6" s="82"/>
      <c r="AX6" s="6">
        <v>2</v>
      </c>
      <c r="AY6" s="60" t="s">
        <v>77</v>
      </c>
      <c r="AZ6" s="15">
        <v>0</v>
      </c>
      <c r="BA6" s="37"/>
      <c r="BB6" s="14">
        <v>0</v>
      </c>
      <c r="BC6" s="37"/>
      <c r="BD6" s="15">
        <v>0</v>
      </c>
      <c r="BE6" s="82"/>
      <c r="BF6" s="21"/>
      <c r="BG6" s="60" t="s">
        <v>77</v>
      </c>
      <c r="BH6" s="15"/>
      <c r="BI6" s="37"/>
      <c r="BJ6" s="14"/>
      <c r="BK6" s="37"/>
      <c r="BL6" s="15"/>
      <c r="BM6" s="82"/>
      <c r="BN6" s="6">
        <v>3</v>
      </c>
      <c r="BO6" s="60" t="s">
        <v>77</v>
      </c>
      <c r="BP6" s="15">
        <v>0</v>
      </c>
      <c r="BQ6" s="37"/>
      <c r="BR6" s="14">
        <v>0</v>
      </c>
      <c r="BS6" s="37"/>
      <c r="BT6" s="15">
        <v>0</v>
      </c>
      <c r="BU6" s="82"/>
      <c r="BV6" s="6">
        <v>1</v>
      </c>
      <c r="BW6" s="60" t="s">
        <v>77</v>
      </c>
      <c r="BX6" s="15">
        <v>0</v>
      </c>
      <c r="BY6" s="37"/>
      <c r="BZ6" s="14" t="s">
        <v>35</v>
      </c>
      <c r="CA6" s="37"/>
      <c r="CB6" s="15">
        <v>0</v>
      </c>
      <c r="CC6" s="82"/>
      <c r="CD6" s="6"/>
      <c r="CE6" s="60" t="s">
        <v>77</v>
      </c>
      <c r="CF6" s="15"/>
      <c r="CG6" s="37"/>
      <c r="CH6" s="14"/>
      <c r="CI6" s="37"/>
      <c r="CJ6" s="15"/>
      <c r="CK6" s="82"/>
      <c r="CL6" s="6">
        <v>3</v>
      </c>
      <c r="CM6" s="60" t="s">
        <v>77</v>
      </c>
      <c r="CN6" s="15">
        <v>0</v>
      </c>
      <c r="CO6" s="37"/>
      <c r="CP6" s="14">
        <v>0</v>
      </c>
      <c r="CQ6" s="37"/>
      <c r="CR6" s="15">
        <v>0</v>
      </c>
      <c r="CS6" s="82"/>
    </row>
    <row r="7" spans="1:97" s="2" customFormat="1" x14ac:dyDescent="0.2">
      <c r="A7" s="6" t="s">
        <v>3</v>
      </c>
      <c r="B7" s="8">
        <v>2</v>
      </c>
      <c r="C7" s="60" t="s">
        <v>2</v>
      </c>
      <c r="D7" s="15" t="s">
        <v>35</v>
      </c>
      <c r="E7" s="37"/>
      <c r="F7" s="14" t="s">
        <v>35</v>
      </c>
      <c r="G7" s="37"/>
      <c r="H7" s="14">
        <v>0</v>
      </c>
      <c r="I7" s="37"/>
      <c r="J7" s="6"/>
      <c r="K7" s="60" t="s">
        <v>77</v>
      </c>
      <c r="L7" s="15"/>
      <c r="M7" s="37"/>
      <c r="N7" s="14"/>
      <c r="O7" s="37"/>
      <c r="P7" s="14"/>
      <c r="Q7" s="37"/>
      <c r="R7" s="6"/>
      <c r="S7" s="60" t="s">
        <v>77</v>
      </c>
      <c r="T7" s="15"/>
      <c r="U7" s="37"/>
      <c r="V7" s="14"/>
      <c r="W7" s="37"/>
      <c r="X7" s="14"/>
      <c r="Y7" s="37"/>
      <c r="Z7" s="6">
        <v>3</v>
      </c>
      <c r="AA7" s="60" t="s">
        <v>77</v>
      </c>
      <c r="AB7" s="15">
        <v>0</v>
      </c>
      <c r="AC7" s="37"/>
      <c r="AD7" s="14" t="s">
        <v>35</v>
      </c>
      <c r="AE7" s="37"/>
      <c r="AF7" s="14">
        <v>0</v>
      </c>
      <c r="AG7" s="37"/>
      <c r="AH7" s="6">
        <v>1</v>
      </c>
      <c r="AI7" s="60" t="s">
        <v>77</v>
      </c>
      <c r="AJ7" s="15" t="s">
        <v>35</v>
      </c>
      <c r="AK7" s="37"/>
      <c r="AL7" s="14">
        <v>0</v>
      </c>
      <c r="AM7" s="37"/>
      <c r="AN7" s="15">
        <v>0</v>
      </c>
      <c r="AO7" s="82"/>
      <c r="AP7" s="6"/>
      <c r="AQ7" s="60" t="s">
        <v>77</v>
      </c>
      <c r="AR7" s="15"/>
      <c r="AS7" s="37"/>
      <c r="AT7" s="14"/>
      <c r="AU7" s="37"/>
      <c r="AV7" s="15"/>
      <c r="AW7" s="82"/>
      <c r="AX7" s="6">
        <v>3</v>
      </c>
      <c r="AY7" s="60" t="s">
        <v>77</v>
      </c>
      <c r="AZ7" s="15">
        <v>0</v>
      </c>
      <c r="BA7" s="37"/>
      <c r="BB7" s="14">
        <v>0</v>
      </c>
      <c r="BC7" s="37"/>
      <c r="BD7" s="15">
        <v>0</v>
      </c>
      <c r="BE7" s="82"/>
      <c r="BF7" s="21"/>
      <c r="BG7" s="60" t="s">
        <v>77</v>
      </c>
      <c r="BH7" s="15"/>
      <c r="BI7" s="37"/>
      <c r="BJ7" s="14"/>
      <c r="BK7" s="37"/>
      <c r="BL7" s="15"/>
      <c r="BM7" s="82"/>
      <c r="BN7" s="6">
        <v>4</v>
      </c>
      <c r="BO7" s="60" t="s">
        <v>77</v>
      </c>
      <c r="BP7" s="15">
        <v>0</v>
      </c>
      <c r="BQ7" s="37"/>
      <c r="BR7" s="14">
        <v>0</v>
      </c>
      <c r="BS7" s="37"/>
      <c r="BT7" s="15">
        <v>0</v>
      </c>
      <c r="BU7" s="82"/>
      <c r="BV7" s="6">
        <v>2</v>
      </c>
      <c r="BW7" s="60" t="s">
        <v>77</v>
      </c>
      <c r="BX7" s="15">
        <v>0</v>
      </c>
      <c r="BY7" s="37"/>
      <c r="BZ7" s="14" t="s">
        <v>35</v>
      </c>
      <c r="CA7" s="37"/>
      <c r="CB7" s="15">
        <v>0</v>
      </c>
      <c r="CC7" s="82"/>
      <c r="CD7" s="6"/>
      <c r="CE7" s="60" t="s">
        <v>77</v>
      </c>
      <c r="CF7" s="15"/>
      <c r="CG7" s="37"/>
      <c r="CH7" s="14"/>
      <c r="CI7" s="37"/>
      <c r="CJ7" s="15"/>
      <c r="CK7" s="82"/>
      <c r="CL7" s="6">
        <v>4</v>
      </c>
      <c r="CM7" s="60" t="s">
        <v>77</v>
      </c>
      <c r="CN7" s="15">
        <v>0</v>
      </c>
      <c r="CO7" s="37"/>
      <c r="CP7" s="14">
        <v>0</v>
      </c>
      <c r="CQ7" s="37"/>
      <c r="CR7" s="15">
        <v>0</v>
      </c>
      <c r="CS7" s="82"/>
    </row>
    <row r="8" spans="1:97" s="2" customFormat="1" ht="12.75" customHeight="1" x14ac:dyDescent="0.2">
      <c r="A8" s="9" t="s">
        <v>4</v>
      </c>
      <c r="B8" s="10">
        <v>3</v>
      </c>
      <c r="C8" s="60" t="s">
        <v>77</v>
      </c>
      <c r="D8" s="53" t="s">
        <v>35</v>
      </c>
      <c r="E8" s="53"/>
      <c r="F8" s="53" t="s">
        <v>35</v>
      </c>
      <c r="G8" s="53"/>
      <c r="H8" s="53">
        <v>0</v>
      </c>
      <c r="I8" s="53"/>
      <c r="J8" s="51"/>
      <c r="K8" s="60" t="s">
        <v>77</v>
      </c>
      <c r="L8" s="53"/>
      <c r="M8" s="53"/>
      <c r="N8" s="53"/>
      <c r="O8" s="53"/>
      <c r="P8" s="53"/>
      <c r="Q8" s="53"/>
      <c r="R8" s="9"/>
      <c r="S8" s="60" t="s">
        <v>77</v>
      </c>
      <c r="T8" s="53"/>
      <c r="U8" s="53"/>
      <c r="V8" s="53"/>
      <c r="W8" s="53"/>
      <c r="X8" s="53"/>
      <c r="Y8" s="53"/>
      <c r="Z8" s="9">
        <v>4</v>
      </c>
      <c r="AA8" s="60" t="s">
        <v>77</v>
      </c>
      <c r="AB8" s="53">
        <v>0</v>
      </c>
      <c r="AC8" s="53"/>
      <c r="AD8" s="53" t="s">
        <v>35</v>
      </c>
      <c r="AE8" s="53"/>
      <c r="AF8" s="53">
        <v>0</v>
      </c>
      <c r="AG8" s="53"/>
      <c r="AH8" s="9">
        <v>2</v>
      </c>
      <c r="AI8" s="60" t="s">
        <v>57</v>
      </c>
      <c r="AJ8" s="53" t="s">
        <v>35</v>
      </c>
      <c r="AK8" s="53"/>
      <c r="AL8" s="53">
        <v>0</v>
      </c>
      <c r="AM8" s="53"/>
      <c r="AN8" s="53">
        <v>0</v>
      </c>
      <c r="AO8" s="53"/>
      <c r="AP8" s="9"/>
      <c r="AQ8" s="60" t="s">
        <v>77</v>
      </c>
      <c r="AR8" s="53"/>
      <c r="AS8" s="53"/>
      <c r="AT8" s="53">
        <v>0</v>
      </c>
      <c r="AU8" s="53"/>
      <c r="AV8" s="53">
        <v>0</v>
      </c>
      <c r="AW8" s="53"/>
      <c r="AX8" s="9">
        <v>4</v>
      </c>
      <c r="AY8" s="60" t="s">
        <v>77</v>
      </c>
      <c r="AZ8" s="53">
        <v>0</v>
      </c>
      <c r="BA8" s="53"/>
      <c r="BB8" s="53">
        <v>0</v>
      </c>
      <c r="BC8" s="53"/>
      <c r="BD8" s="53">
        <v>0</v>
      </c>
      <c r="BE8" s="53"/>
      <c r="BF8" s="22">
        <v>1</v>
      </c>
      <c r="BG8" s="60" t="s">
        <v>77</v>
      </c>
      <c r="BH8" s="53" t="s">
        <v>35</v>
      </c>
      <c r="BI8" s="53"/>
      <c r="BJ8" s="53" t="s">
        <v>35</v>
      </c>
      <c r="BK8" s="53"/>
      <c r="BL8" s="53">
        <v>0</v>
      </c>
      <c r="BM8" s="53"/>
      <c r="BN8" s="9">
        <v>5</v>
      </c>
      <c r="BO8" s="60" t="s">
        <v>57</v>
      </c>
      <c r="BP8" s="53">
        <v>0</v>
      </c>
      <c r="BQ8" s="53"/>
      <c r="BR8" s="53">
        <v>0</v>
      </c>
      <c r="BS8" s="53"/>
      <c r="BT8" s="53">
        <v>0</v>
      </c>
      <c r="BU8" s="53"/>
      <c r="BV8" s="9">
        <v>3</v>
      </c>
      <c r="BW8" s="60" t="s">
        <v>58</v>
      </c>
      <c r="BX8" s="53">
        <v>0</v>
      </c>
      <c r="BY8" s="53"/>
      <c r="BZ8" s="53" t="s">
        <v>35</v>
      </c>
      <c r="CA8" s="53"/>
      <c r="CB8" s="53">
        <v>0</v>
      </c>
      <c r="CC8" s="53"/>
      <c r="CD8" s="9"/>
      <c r="CE8" s="60" t="s">
        <v>77</v>
      </c>
      <c r="CF8" s="53"/>
      <c r="CG8" s="53"/>
      <c r="CH8" s="53"/>
      <c r="CI8" s="53"/>
      <c r="CJ8" s="53"/>
      <c r="CK8" s="53"/>
      <c r="CL8" s="9">
        <v>5</v>
      </c>
      <c r="CM8" s="60" t="s">
        <v>57</v>
      </c>
      <c r="CN8" s="53">
        <v>0</v>
      </c>
      <c r="CO8" s="53"/>
      <c r="CP8" s="53">
        <v>0</v>
      </c>
      <c r="CQ8" s="53"/>
      <c r="CR8" s="53">
        <v>0</v>
      </c>
      <c r="CS8" s="63"/>
    </row>
    <row r="9" spans="1:97" s="2" customFormat="1" ht="14.5" customHeight="1" x14ac:dyDescent="0.2">
      <c r="A9" s="9" t="s">
        <v>5</v>
      </c>
      <c r="B9" s="10">
        <v>4</v>
      </c>
      <c r="C9" s="60" t="s">
        <v>77</v>
      </c>
      <c r="D9" s="53">
        <v>0</v>
      </c>
      <c r="E9" s="53"/>
      <c r="F9" s="53">
        <v>0</v>
      </c>
      <c r="G9" s="53"/>
      <c r="H9" s="53">
        <v>0</v>
      </c>
      <c r="I9" s="53"/>
      <c r="J9" s="51">
        <v>1</v>
      </c>
      <c r="K9" s="60" t="s">
        <v>77</v>
      </c>
      <c r="L9" s="53">
        <v>0</v>
      </c>
      <c r="M9" s="54"/>
      <c r="N9" s="53">
        <v>0</v>
      </c>
      <c r="O9" s="54"/>
      <c r="P9" s="54">
        <v>0</v>
      </c>
      <c r="Q9" s="53"/>
      <c r="R9" s="9">
        <v>1</v>
      </c>
      <c r="S9" s="173" t="s">
        <v>54</v>
      </c>
      <c r="T9" s="174"/>
      <c r="U9" s="174"/>
      <c r="V9" s="174"/>
      <c r="W9" s="174"/>
      <c r="X9" s="174"/>
      <c r="Y9" s="175"/>
      <c r="Z9" s="9">
        <v>5</v>
      </c>
      <c r="AA9" s="60" t="s">
        <v>53</v>
      </c>
      <c r="AB9" s="53">
        <v>0</v>
      </c>
      <c r="AC9" s="54"/>
      <c r="AD9" s="53" t="s">
        <v>35</v>
      </c>
      <c r="AE9" s="54"/>
      <c r="AF9" s="54">
        <v>0</v>
      </c>
      <c r="AG9" s="53"/>
      <c r="AH9" s="9">
        <v>3</v>
      </c>
      <c r="AI9" s="60" t="s">
        <v>77</v>
      </c>
      <c r="AJ9" s="53">
        <v>0</v>
      </c>
      <c r="AK9" s="54"/>
      <c r="AL9" s="53">
        <v>0</v>
      </c>
      <c r="AM9" s="54"/>
      <c r="AN9" s="54">
        <v>0</v>
      </c>
      <c r="AO9" s="53"/>
      <c r="AP9" s="9"/>
      <c r="AQ9" s="60" t="s">
        <v>77</v>
      </c>
      <c r="AR9" s="53"/>
      <c r="AS9" s="54"/>
      <c r="AT9" s="53">
        <v>0</v>
      </c>
      <c r="AU9" s="54"/>
      <c r="AV9" s="54">
        <v>0</v>
      </c>
      <c r="AW9" s="53"/>
      <c r="AX9" s="9">
        <v>5</v>
      </c>
      <c r="AY9" s="60" t="s">
        <v>77</v>
      </c>
      <c r="AZ9" s="53">
        <v>0</v>
      </c>
      <c r="BA9" s="54"/>
      <c r="BB9" s="53">
        <v>0</v>
      </c>
      <c r="BC9" s="54"/>
      <c r="BD9" s="54">
        <v>0</v>
      </c>
      <c r="BE9" s="53"/>
      <c r="BF9" s="9">
        <v>2</v>
      </c>
      <c r="BG9" s="60" t="s">
        <v>77</v>
      </c>
      <c r="BH9" s="53" t="s">
        <v>35</v>
      </c>
      <c r="BI9" s="54"/>
      <c r="BJ9" s="53" t="s">
        <v>35</v>
      </c>
      <c r="BK9" s="54"/>
      <c r="BL9" s="54">
        <v>0</v>
      </c>
      <c r="BM9" s="53"/>
      <c r="BN9" s="9">
        <v>6</v>
      </c>
      <c r="BO9" s="60" t="s">
        <v>77</v>
      </c>
      <c r="BP9" s="53">
        <v>0</v>
      </c>
      <c r="BQ9" s="54"/>
      <c r="BR9" s="53">
        <v>0</v>
      </c>
      <c r="BS9" s="54"/>
      <c r="BT9" s="54">
        <v>0</v>
      </c>
      <c r="BU9" s="53"/>
      <c r="BV9" s="9">
        <v>4</v>
      </c>
      <c r="BW9" s="60" t="s">
        <v>58</v>
      </c>
      <c r="BX9" s="53">
        <v>0</v>
      </c>
      <c r="BY9" s="54"/>
      <c r="BZ9" s="53" t="s">
        <v>35</v>
      </c>
      <c r="CA9" s="54"/>
      <c r="CB9" s="54">
        <v>0</v>
      </c>
      <c r="CC9" s="53"/>
      <c r="CD9" s="9">
        <v>1</v>
      </c>
      <c r="CE9" s="60" t="s">
        <v>77</v>
      </c>
      <c r="CF9" s="53">
        <v>0</v>
      </c>
      <c r="CG9" s="54"/>
      <c r="CH9" s="53">
        <v>0</v>
      </c>
      <c r="CI9" s="54"/>
      <c r="CJ9" s="54">
        <v>0</v>
      </c>
      <c r="CK9" s="53"/>
      <c r="CL9" s="9">
        <v>6</v>
      </c>
      <c r="CM9" s="60" t="s">
        <v>77</v>
      </c>
      <c r="CN9" s="53">
        <v>0</v>
      </c>
      <c r="CO9" s="54"/>
      <c r="CP9" s="53">
        <v>0</v>
      </c>
      <c r="CQ9" s="54"/>
      <c r="CR9" s="54">
        <v>0</v>
      </c>
      <c r="CS9" s="63"/>
    </row>
    <row r="10" spans="1:97" s="2" customFormat="1" ht="14.5" customHeight="1" x14ac:dyDescent="0.2">
      <c r="A10" s="6" t="s">
        <v>25</v>
      </c>
      <c r="B10" s="8">
        <v>5</v>
      </c>
      <c r="C10" s="60" t="s">
        <v>77</v>
      </c>
      <c r="D10" s="187">
        <v>2</v>
      </c>
      <c r="E10" s="187"/>
      <c r="F10" s="187"/>
      <c r="G10" s="187"/>
      <c r="H10" s="187"/>
      <c r="I10" s="188"/>
      <c r="J10" s="6">
        <v>2</v>
      </c>
      <c r="K10" s="60" t="s">
        <v>77</v>
      </c>
      <c r="L10" s="15">
        <v>0</v>
      </c>
      <c r="M10" s="37"/>
      <c r="N10" s="53" t="s">
        <v>35</v>
      </c>
      <c r="O10" s="37"/>
      <c r="P10" s="15">
        <v>0</v>
      </c>
      <c r="Q10" s="37"/>
      <c r="R10" s="18">
        <v>2</v>
      </c>
      <c r="S10" s="60" t="s">
        <v>77</v>
      </c>
      <c r="T10" s="183">
        <v>10</v>
      </c>
      <c r="U10" s="183"/>
      <c r="V10" s="183"/>
      <c r="W10" s="183"/>
      <c r="X10" s="183"/>
      <c r="Y10" s="184"/>
      <c r="Z10" s="18">
        <v>6</v>
      </c>
      <c r="AA10" s="60" t="s">
        <v>12</v>
      </c>
      <c r="AB10" s="15">
        <v>0</v>
      </c>
      <c r="AC10" s="37"/>
      <c r="AD10" s="14" t="s">
        <v>35</v>
      </c>
      <c r="AE10" s="37"/>
      <c r="AF10" s="15">
        <v>0</v>
      </c>
      <c r="AG10" s="82"/>
      <c r="AH10" s="18">
        <v>4</v>
      </c>
      <c r="AI10" s="60" t="s">
        <v>77</v>
      </c>
      <c r="AJ10" s="183">
        <v>19</v>
      </c>
      <c r="AK10" s="183"/>
      <c r="AL10" s="183"/>
      <c r="AM10" s="183"/>
      <c r="AN10" s="183"/>
      <c r="AO10" s="184"/>
      <c r="AP10" s="18">
        <v>1</v>
      </c>
      <c r="AQ10" s="60" t="s">
        <v>77</v>
      </c>
      <c r="AR10" s="183">
        <v>23</v>
      </c>
      <c r="AS10" s="183"/>
      <c r="AT10" s="183"/>
      <c r="AU10" s="183"/>
      <c r="AV10" s="183"/>
      <c r="AW10" s="184"/>
      <c r="AX10" s="18">
        <v>6</v>
      </c>
      <c r="AY10" s="60" t="s">
        <v>77</v>
      </c>
      <c r="AZ10" s="15">
        <v>0</v>
      </c>
      <c r="BA10" s="37"/>
      <c r="BB10" s="14" t="s">
        <v>35</v>
      </c>
      <c r="BC10" s="37"/>
      <c r="BD10" s="15">
        <v>0</v>
      </c>
      <c r="BE10" s="82"/>
      <c r="BF10" s="21">
        <v>3</v>
      </c>
      <c r="BG10" s="60" t="s">
        <v>77</v>
      </c>
      <c r="BH10" s="15" t="s">
        <v>35</v>
      </c>
      <c r="BI10" s="37"/>
      <c r="BJ10" s="14" t="s">
        <v>35</v>
      </c>
      <c r="BK10" s="37"/>
      <c r="BL10" s="15">
        <v>0</v>
      </c>
      <c r="BM10" s="82"/>
      <c r="BN10" s="18">
        <v>7</v>
      </c>
      <c r="BO10" s="60" t="s">
        <v>77</v>
      </c>
      <c r="BP10" s="183">
        <v>37</v>
      </c>
      <c r="BQ10" s="183"/>
      <c r="BR10" s="183"/>
      <c r="BS10" s="183"/>
      <c r="BT10" s="183"/>
      <c r="BU10" s="184"/>
      <c r="BV10" s="18">
        <v>5</v>
      </c>
      <c r="BW10" s="60" t="s">
        <v>58</v>
      </c>
      <c r="BX10" s="15" t="s">
        <v>35</v>
      </c>
      <c r="BY10" s="37"/>
      <c r="BZ10" s="14" t="s">
        <v>35</v>
      </c>
      <c r="CA10" s="37"/>
      <c r="CB10" s="15">
        <v>0</v>
      </c>
      <c r="CC10" s="82"/>
      <c r="CD10" s="18">
        <v>2</v>
      </c>
      <c r="CE10" s="60" t="s">
        <v>77</v>
      </c>
      <c r="CF10" s="183">
        <v>45</v>
      </c>
      <c r="CG10" s="183"/>
      <c r="CH10" s="183"/>
      <c r="CI10" s="183"/>
      <c r="CJ10" s="183"/>
      <c r="CK10" s="184"/>
      <c r="CL10" s="6">
        <v>7</v>
      </c>
      <c r="CM10" s="60" t="s">
        <v>77</v>
      </c>
      <c r="CN10" s="183">
        <v>50</v>
      </c>
      <c r="CO10" s="183"/>
      <c r="CP10" s="183"/>
      <c r="CQ10" s="183"/>
      <c r="CR10" s="183"/>
      <c r="CS10" s="184"/>
    </row>
    <row r="11" spans="1:97" s="2" customFormat="1" x14ac:dyDescent="0.2">
      <c r="A11" s="6" t="s">
        <v>6</v>
      </c>
      <c r="B11" s="8">
        <v>6</v>
      </c>
      <c r="C11" s="60" t="s">
        <v>77</v>
      </c>
      <c r="D11" s="15">
        <v>0</v>
      </c>
      <c r="E11" s="37"/>
      <c r="F11" s="14">
        <v>0</v>
      </c>
      <c r="G11" s="37"/>
      <c r="H11" s="15">
        <v>0</v>
      </c>
      <c r="I11" s="37"/>
      <c r="J11" s="6">
        <v>3</v>
      </c>
      <c r="K11" s="60" t="s">
        <v>77</v>
      </c>
      <c r="L11" s="15">
        <v>0</v>
      </c>
      <c r="M11" s="37"/>
      <c r="N11" s="53" t="s">
        <v>35</v>
      </c>
      <c r="O11" s="37"/>
      <c r="P11" s="15">
        <v>0</v>
      </c>
      <c r="Q11" s="37"/>
      <c r="R11" s="6">
        <v>3</v>
      </c>
      <c r="S11" s="60" t="s">
        <v>77</v>
      </c>
      <c r="T11" s="15">
        <v>0</v>
      </c>
      <c r="U11" s="37"/>
      <c r="V11" s="14">
        <v>0</v>
      </c>
      <c r="W11" s="37"/>
      <c r="X11" s="15">
        <v>0</v>
      </c>
      <c r="Y11" s="37"/>
      <c r="Z11" s="6">
        <v>7</v>
      </c>
      <c r="AA11" s="60" t="s">
        <v>77</v>
      </c>
      <c r="AB11" s="15">
        <v>0</v>
      </c>
      <c r="AC11" s="37"/>
      <c r="AD11" s="14" t="s">
        <v>35</v>
      </c>
      <c r="AE11" s="37"/>
      <c r="AF11" s="15">
        <v>0</v>
      </c>
      <c r="AG11" s="37"/>
      <c r="AH11" s="6">
        <v>5</v>
      </c>
      <c r="AI11" s="60" t="s">
        <v>77</v>
      </c>
      <c r="AJ11" s="15">
        <v>0</v>
      </c>
      <c r="AK11" s="37"/>
      <c r="AL11" s="14">
        <v>0</v>
      </c>
      <c r="AM11" s="37"/>
      <c r="AN11" s="15">
        <v>0</v>
      </c>
      <c r="AO11" s="37"/>
      <c r="AP11" s="6">
        <v>2</v>
      </c>
      <c r="AQ11" s="60" t="s">
        <v>77</v>
      </c>
      <c r="AR11" s="15">
        <v>0</v>
      </c>
      <c r="AS11" s="37"/>
      <c r="AT11" s="14">
        <v>0</v>
      </c>
      <c r="AU11" s="37"/>
      <c r="AV11" s="15">
        <v>0</v>
      </c>
      <c r="AW11" s="37"/>
      <c r="AX11" s="6">
        <v>7</v>
      </c>
      <c r="AY11" s="60" t="s">
        <v>77</v>
      </c>
      <c r="AZ11" s="15">
        <v>0</v>
      </c>
      <c r="BA11" s="37"/>
      <c r="BB11" s="14" t="s">
        <v>35</v>
      </c>
      <c r="BC11" s="37"/>
      <c r="BD11" s="15">
        <v>0</v>
      </c>
      <c r="BE11" s="37"/>
      <c r="BF11" s="21">
        <v>4</v>
      </c>
      <c r="BG11" s="60" t="s">
        <v>77</v>
      </c>
      <c r="BH11" s="15" t="s">
        <v>35</v>
      </c>
      <c r="BI11" s="37"/>
      <c r="BJ11" s="14" t="s">
        <v>35</v>
      </c>
      <c r="BK11" s="37"/>
      <c r="BL11" s="15">
        <v>0</v>
      </c>
      <c r="BM11" s="37"/>
      <c r="BN11" s="6">
        <v>8</v>
      </c>
      <c r="BO11" s="60" t="s">
        <v>77</v>
      </c>
      <c r="BP11" s="15">
        <v>0</v>
      </c>
      <c r="BQ11" s="37"/>
      <c r="BR11" s="14">
        <v>0</v>
      </c>
      <c r="BS11" s="37"/>
      <c r="BT11" s="15">
        <v>0</v>
      </c>
      <c r="BU11" s="37"/>
      <c r="BV11" s="6">
        <v>6</v>
      </c>
      <c r="BW11" s="60" t="s">
        <v>58</v>
      </c>
      <c r="BX11" s="15" t="s">
        <v>35</v>
      </c>
      <c r="BY11" s="37"/>
      <c r="BZ11" s="14" t="s">
        <v>35</v>
      </c>
      <c r="CA11" s="37"/>
      <c r="CB11" s="15">
        <v>0</v>
      </c>
      <c r="CC11" s="37"/>
      <c r="CD11" s="6">
        <v>3</v>
      </c>
      <c r="CE11" s="60" t="s">
        <v>77</v>
      </c>
      <c r="CF11" s="15">
        <v>0</v>
      </c>
      <c r="CG11" s="37"/>
      <c r="CH11" s="14">
        <v>0</v>
      </c>
      <c r="CI11" s="37"/>
      <c r="CJ11" s="15">
        <v>0</v>
      </c>
      <c r="CK11" s="37"/>
      <c r="CL11" s="6">
        <v>8</v>
      </c>
      <c r="CM11" s="60" t="s">
        <v>77</v>
      </c>
      <c r="CN11" s="15">
        <v>0</v>
      </c>
      <c r="CO11" s="37"/>
      <c r="CP11" s="14">
        <v>0</v>
      </c>
      <c r="CQ11" s="37"/>
      <c r="CR11" s="15">
        <v>0</v>
      </c>
      <c r="CS11" s="62"/>
    </row>
    <row r="12" spans="1:97" s="2" customFormat="1" x14ac:dyDescent="0.2">
      <c r="A12" s="6" t="s">
        <v>7</v>
      </c>
      <c r="B12" s="8">
        <v>7</v>
      </c>
      <c r="C12" s="60" t="s">
        <v>77</v>
      </c>
      <c r="D12" s="15">
        <v>0</v>
      </c>
      <c r="E12" s="37"/>
      <c r="F12" s="14">
        <v>0</v>
      </c>
      <c r="G12" s="37"/>
      <c r="H12" s="15">
        <v>0</v>
      </c>
      <c r="I12" s="37"/>
      <c r="J12" s="6">
        <v>4</v>
      </c>
      <c r="K12" s="60" t="s">
        <v>77</v>
      </c>
      <c r="L12" s="15">
        <v>0</v>
      </c>
      <c r="M12" s="37"/>
      <c r="N12" s="53" t="s">
        <v>35</v>
      </c>
      <c r="O12" s="37"/>
      <c r="P12" s="15">
        <v>0</v>
      </c>
      <c r="Q12" s="37"/>
      <c r="R12" s="6">
        <v>4</v>
      </c>
      <c r="S12" s="60" t="s">
        <v>77</v>
      </c>
      <c r="T12" s="15">
        <v>0</v>
      </c>
      <c r="U12" s="37"/>
      <c r="V12" s="14">
        <v>0</v>
      </c>
      <c r="W12" s="37"/>
      <c r="X12" s="15">
        <v>0</v>
      </c>
      <c r="Y12" s="37"/>
      <c r="Z12" s="6">
        <v>8</v>
      </c>
      <c r="AA12" s="60" t="s">
        <v>77</v>
      </c>
      <c r="AB12" s="15">
        <v>0</v>
      </c>
      <c r="AC12" s="37"/>
      <c r="AD12" s="14" t="s">
        <v>35</v>
      </c>
      <c r="AE12" s="37"/>
      <c r="AF12" s="15">
        <v>0</v>
      </c>
      <c r="AG12" s="37"/>
      <c r="AH12" s="6">
        <v>6</v>
      </c>
      <c r="AI12" s="60" t="s">
        <v>77</v>
      </c>
      <c r="AJ12" s="15">
        <v>0</v>
      </c>
      <c r="AK12" s="37"/>
      <c r="AL12" s="14">
        <v>0</v>
      </c>
      <c r="AM12" s="37"/>
      <c r="AN12" s="15">
        <v>0</v>
      </c>
      <c r="AO12" s="37"/>
      <c r="AP12" s="6">
        <v>3</v>
      </c>
      <c r="AQ12" s="60" t="s">
        <v>77</v>
      </c>
      <c r="AR12" s="15">
        <v>0</v>
      </c>
      <c r="AS12" s="37"/>
      <c r="AT12" s="14">
        <v>0</v>
      </c>
      <c r="AU12" s="37"/>
      <c r="AV12" s="15">
        <v>0</v>
      </c>
      <c r="AW12" s="37"/>
      <c r="AX12" s="6">
        <v>8</v>
      </c>
      <c r="AY12" s="60" t="s">
        <v>77</v>
      </c>
      <c r="AZ12" s="15">
        <v>0</v>
      </c>
      <c r="BA12" s="37"/>
      <c r="BB12" s="14" t="s">
        <v>35</v>
      </c>
      <c r="BC12" s="37"/>
      <c r="BD12" s="15">
        <v>0</v>
      </c>
      <c r="BE12" s="37"/>
      <c r="BF12" s="21">
        <v>5</v>
      </c>
      <c r="BG12" s="60" t="s">
        <v>77</v>
      </c>
      <c r="BH12" s="15" t="s">
        <v>35</v>
      </c>
      <c r="BI12" s="37"/>
      <c r="BJ12" s="14" t="s">
        <v>35</v>
      </c>
      <c r="BK12" s="37"/>
      <c r="BL12" s="15">
        <v>0</v>
      </c>
      <c r="BM12" s="37"/>
      <c r="BN12" s="6">
        <v>9</v>
      </c>
      <c r="BO12" s="60" t="s">
        <v>77</v>
      </c>
      <c r="BP12" s="15">
        <v>0</v>
      </c>
      <c r="BQ12" s="37"/>
      <c r="BR12" s="14">
        <v>0</v>
      </c>
      <c r="BS12" s="37"/>
      <c r="BT12" s="15">
        <v>0</v>
      </c>
      <c r="BU12" s="37"/>
      <c r="BV12" s="6">
        <v>7</v>
      </c>
      <c r="BW12" s="60" t="s">
        <v>58</v>
      </c>
      <c r="BX12" s="15" t="s">
        <v>35</v>
      </c>
      <c r="BY12" s="37"/>
      <c r="BZ12" s="14" t="s">
        <v>35</v>
      </c>
      <c r="CA12" s="37"/>
      <c r="CB12" s="15">
        <v>0</v>
      </c>
      <c r="CC12" s="37"/>
      <c r="CD12" s="6">
        <v>4</v>
      </c>
      <c r="CE12" s="60" t="s">
        <v>77</v>
      </c>
      <c r="CF12" s="15">
        <v>0</v>
      </c>
      <c r="CG12" s="37"/>
      <c r="CH12" s="14">
        <v>0</v>
      </c>
      <c r="CI12" s="37"/>
      <c r="CJ12" s="15">
        <v>0</v>
      </c>
      <c r="CK12" s="37"/>
      <c r="CL12" s="6">
        <v>9</v>
      </c>
      <c r="CM12" s="60" t="s">
        <v>77</v>
      </c>
      <c r="CN12" s="15">
        <v>0</v>
      </c>
      <c r="CO12" s="37"/>
      <c r="CP12" s="14">
        <v>0</v>
      </c>
      <c r="CQ12" s="37"/>
      <c r="CR12" s="15">
        <v>0</v>
      </c>
      <c r="CS12" s="62"/>
    </row>
    <row r="13" spans="1:97" s="2" customFormat="1" x14ac:dyDescent="0.2">
      <c r="A13" s="6" t="s">
        <v>8</v>
      </c>
      <c r="B13" s="8">
        <v>8</v>
      </c>
      <c r="C13" s="60" t="s">
        <v>56</v>
      </c>
      <c r="D13" s="15">
        <v>0</v>
      </c>
      <c r="E13" s="37"/>
      <c r="F13" s="14">
        <v>0</v>
      </c>
      <c r="G13" s="37"/>
      <c r="H13" s="15">
        <v>0</v>
      </c>
      <c r="I13" s="37"/>
      <c r="J13" s="6">
        <v>5</v>
      </c>
      <c r="K13" s="60" t="s">
        <v>77</v>
      </c>
      <c r="L13" s="15">
        <v>0</v>
      </c>
      <c r="M13" s="37"/>
      <c r="N13" s="53" t="s">
        <v>35</v>
      </c>
      <c r="O13" s="37"/>
      <c r="P13" s="15">
        <v>0</v>
      </c>
      <c r="Q13" s="37"/>
      <c r="R13" s="6">
        <v>5</v>
      </c>
      <c r="S13" s="60" t="s">
        <v>77</v>
      </c>
      <c r="T13" s="15">
        <v>0</v>
      </c>
      <c r="U13" s="37"/>
      <c r="V13" s="14">
        <v>0</v>
      </c>
      <c r="W13" s="37"/>
      <c r="X13" s="15">
        <v>0</v>
      </c>
      <c r="Y13" s="37"/>
      <c r="Z13" s="6">
        <v>9</v>
      </c>
      <c r="AA13" s="60" t="s">
        <v>77</v>
      </c>
      <c r="AB13" s="15">
        <v>0</v>
      </c>
      <c r="AC13" s="37"/>
      <c r="AD13" s="14" t="s">
        <v>35</v>
      </c>
      <c r="AE13" s="37"/>
      <c r="AF13" s="15">
        <v>0</v>
      </c>
      <c r="AG13" s="37"/>
      <c r="AH13" s="6">
        <v>7</v>
      </c>
      <c r="AI13" s="60" t="s">
        <v>56</v>
      </c>
      <c r="AJ13" s="15">
        <v>0</v>
      </c>
      <c r="AK13" s="37"/>
      <c r="AL13" s="14">
        <v>0</v>
      </c>
      <c r="AM13" s="37"/>
      <c r="AN13" s="15">
        <v>0</v>
      </c>
      <c r="AO13" s="37"/>
      <c r="AP13" s="6">
        <v>4</v>
      </c>
      <c r="AQ13" s="60" t="s">
        <v>56</v>
      </c>
      <c r="AR13" s="15">
        <v>0</v>
      </c>
      <c r="AS13" s="37"/>
      <c r="AT13" s="14">
        <v>0</v>
      </c>
      <c r="AU13" s="37"/>
      <c r="AV13" s="15">
        <v>0</v>
      </c>
      <c r="AW13" s="37"/>
      <c r="AX13" s="6">
        <v>9</v>
      </c>
      <c r="AY13" s="60" t="s">
        <v>77</v>
      </c>
      <c r="AZ13" s="15">
        <v>0</v>
      </c>
      <c r="BA13" s="37"/>
      <c r="BB13" s="14" t="s">
        <v>35</v>
      </c>
      <c r="BC13" s="37"/>
      <c r="BD13" s="15">
        <v>0</v>
      </c>
      <c r="BE13" s="37"/>
      <c r="BF13" s="21">
        <v>6</v>
      </c>
      <c r="BG13" s="60" t="s">
        <v>77</v>
      </c>
      <c r="BH13" s="15" t="s">
        <v>35</v>
      </c>
      <c r="BI13" s="37"/>
      <c r="BJ13" s="14" t="s">
        <v>35</v>
      </c>
      <c r="BK13" s="37"/>
      <c r="BL13" s="15">
        <v>0</v>
      </c>
      <c r="BM13" s="37"/>
      <c r="BN13" s="6">
        <v>10</v>
      </c>
      <c r="BO13" s="60" t="s">
        <v>56</v>
      </c>
      <c r="BP13" s="15">
        <v>0</v>
      </c>
      <c r="BQ13" s="37"/>
      <c r="BR13" s="14">
        <v>0</v>
      </c>
      <c r="BS13" s="37"/>
      <c r="BT13" s="15">
        <v>0</v>
      </c>
      <c r="BU13" s="37"/>
      <c r="BV13" s="6">
        <v>8</v>
      </c>
      <c r="BW13" s="60" t="s">
        <v>58</v>
      </c>
      <c r="BX13" s="15" t="s">
        <v>35</v>
      </c>
      <c r="BY13" s="37"/>
      <c r="BZ13" s="14" t="s">
        <v>35</v>
      </c>
      <c r="CA13" s="37"/>
      <c r="CB13" s="15">
        <v>0</v>
      </c>
      <c r="CC13" s="37"/>
      <c r="CD13" s="6">
        <v>5</v>
      </c>
      <c r="CE13" s="60" t="s">
        <v>77</v>
      </c>
      <c r="CF13" s="15">
        <v>0</v>
      </c>
      <c r="CG13" s="37"/>
      <c r="CH13" s="14">
        <v>0</v>
      </c>
      <c r="CI13" s="37"/>
      <c r="CJ13" s="15">
        <v>0</v>
      </c>
      <c r="CK13" s="37"/>
      <c r="CL13" s="6">
        <v>10</v>
      </c>
      <c r="CM13" s="60" t="s">
        <v>56</v>
      </c>
      <c r="CN13" s="15">
        <v>0</v>
      </c>
      <c r="CO13" s="37"/>
      <c r="CP13" s="14">
        <v>0</v>
      </c>
      <c r="CQ13" s="37"/>
      <c r="CR13" s="15">
        <v>0</v>
      </c>
      <c r="CS13" s="62"/>
    </row>
    <row r="14" spans="1:97" s="2" customFormat="1" x14ac:dyDescent="0.2">
      <c r="A14" s="6" t="s">
        <v>3</v>
      </c>
      <c r="B14" s="8">
        <v>9</v>
      </c>
      <c r="C14" s="60" t="s">
        <v>77</v>
      </c>
      <c r="D14" s="15">
        <v>0</v>
      </c>
      <c r="E14" s="37"/>
      <c r="F14" s="14">
        <v>0</v>
      </c>
      <c r="G14" s="37"/>
      <c r="H14" s="15">
        <v>0</v>
      </c>
      <c r="I14" s="37"/>
      <c r="J14" s="6">
        <v>6</v>
      </c>
      <c r="K14" s="60" t="s">
        <v>77</v>
      </c>
      <c r="L14" s="15">
        <v>0</v>
      </c>
      <c r="M14" s="37"/>
      <c r="N14" s="53" t="s">
        <v>35</v>
      </c>
      <c r="O14" s="37"/>
      <c r="P14" s="15">
        <v>0</v>
      </c>
      <c r="Q14" s="37"/>
      <c r="R14" s="6">
        <v>6</v>
      </c>
      <c r="S14" s="60" t="s">
        <v>77</v>
      </c>
      <c r="T14" s="15">
        <v>0</v>
      </c>
      <c r="U14" s="37"/>
      <c r="V14" s="14">
        <v>0</v>
      </c>
      <c r="W14" s="37"/>
      <c r="X14" s="15">
        <v>0</v>
      </c>
      <c r="Y14" s="37"/>
      <c r="Z14" s="6">
        <v>10</v>
      </c>
      <c r="AA14" s="60" t="s">
        <v>77</v>
      </c>
      <c r="AB14" s="15">
        <v>0</v>
      </c>
      <c r="AC14" s="37"/>
      <c r="AD14" s="14" t="s">
        <v>35</v>
      </c>
      <c r="AE14" s="37"/>
      <c r="AF14" s="15">
        <v>0</v>
      </c>
      <c r="AG14" s="37"/>
      <c r="AH14" s="6">
        <v>8</v>
      </c>
      <c r="AI14" s="60" t="s">
        <v>77</v>
      </c>
      <c r="AJ14" s="15">
        <v>0</v>
      </c>
      <c r="AK14" s="37"/>
      <c r="AL14" s="14">
        <v>0</v>
      </c>
      <c r="AM14" s="37"/>
      <c r="AN14" s="15">
        <v>0</v>
      </c>
      <c r="AO14" s="37"/>
      <c r="AP14" s="6">
        <v>5</v>
      </c>
      <c r="AQ14" s="60" t="s">
        <v>77</v>
      </c>
      <c r="AR14" s="15">
        <v>0</v>
      </c>
      <c r="AS14" s="37"/>
      <c r="AT14" s="14">
        <v>0</v>
      </c>
      <c r="AU14" s="37"/>
      <c r="AV14" s="15">
        <v>0</v>
      </c>
      <c r="AW14" s="37"/>
      <c r="AX14" s="6">
        <v>10</v>
      </c>
      <c r="AY14" s="60" t="s">
        <v>77</v>
      </c>
      <c r="AZ14" s="15">
        <v>0</v>
      </c>
      <c r="BA14" s="37"/>
      <c r="BB14" s="14" t="s">
        <v>35</v>
      </c>
      <c r="BC14" s="37"/>
      <c r="BD14" s="15">
        <v>0</v>
      </c>
      <c r="BE14" s="37"/>
      <c r="BF14" s="21">
        <v>7</v>
      </c>
      <c r="BG14" s="60" t="s">
        <v>77</v>
      </c>
      <c r="BH14" s="15" t="s">
        <v>35</v>
      </c>
      <c r="BI14" s="37"/>
      <c r="BJ14" s="14" t="s">
        <v>35</v>
      </c>
      <c r="BK14" s="37"/>
      <c r="BL14" s="15">
        <v>0</v>
      </c>
      <c r="BM14" s="37"/>
      <c r="BN14" s="6">
        <v>11</v>
      </c>
      <c r="BO14" s="60" t="s">
        <v>77</v>
      </c>
      <c r="BP14" s="15">
        <v>0</v>
      </c>
      <c r="BQ14" s="37"/>
      <c r="BR14" s="14">
        <v>0</v>
      </c>
      <c r="BS14" s="37"/>
      <c r="BT14" s="15">
        <v>0</v>
      </c>
      <c r="BU14" s="37"/>
      <c r="BV14" s="6">
        <v>9</v>
      </c>
      <c r="BW14" s="60" t="s">
        <v>58</v>
      </c>
      <c r="BX14" s="15" t="s">
        <v>35</v>
      </c>
      <c r="BY14" s="37"/>
      <c r="BZ14" s="14" t="s">
        <v>35</v>
      </c>
      <c r="CA14" s="37"/>
      <c r="CB14" s="15">
        <v>0</v>
      </c>
      <c r="CC14" s="37"/>
      <c r="CD14" s="6">
        <v>6</v>
      </c>
      <c r="CE14" s="60" t="s">
        <v>77</v>
      </c>
      <c r="CF14" s="15">
        <v>0</v>
      </c>
      <c r="CG14" s="37"/>
      <c r="CH14" s="14">
        <v>0</v>
      </c>
      <c r="CI14" s="37"/>
      <c r="CJ14" s="15">
        <v>0</v>
      </c>
      <c r="CK14" s="37"/>
      <c r="CL14" s="6">
        <v>11</v>
      </c>
      <c r="CM14" s="60" t="s">
        <v>69</v>
      </c>
      <c r="CN14" s="15">
        <v>0</v>
      </c>
      <c r="CO14" s="37"/>
      <c r="CP14" s="14">
        <v>0</v>
      </c>
      <c r="CQ14" s="37"/>
      <c r="CR14" s="15">
        <v>0</v>
      </c>
      <c r="CS14" s="62"/>
    </row>
    <row r="15" spans="1:97" s="2" customFormat="1" x14ac:dyDescent="0.2">
      <c r="A15" s="51" t="s">
        <v>4</v>
      </c>
      <c r="B15" s="52">
        <v>10</v>
      </c>
      <c r="C15" s="60" t="s">
        <v>52</v>
      </c>
      <c r="D15" s="53">
        <v>0</v>
      </c>
      <c r="E15" s="54"/>
      <c r="F15" s="53">
        <v>0</v>
      </c>
      <c r="G15" s="54"/>
      <c r="H15" s="54">
        <v>0</v>
      </c>
      <c r="I15" s="54"/>
      <c r="J15" s="51">
        <v>7</v>
      </c>
      <c r="K15" s="60" t="s">
        <v>57</v>
      </c>
      <c r="L15" s="53">
        <v>0</v>
      </c>
      <c r="M15" s="54"/>
      <c r="N15" s="53" t="s">
        <v>35</v>
      </c>
      <c r="O15" s="54"/>
      <c r="P15" s="54">
        <v>0</v>
      </c>
      <c r="Q15" s="54"/>
      <c r="R15" s="9">
        <v>7</v>
      </c>
      <c r="S15" s="60" t="s">
        <v>62</v>
      </c>
      <c r="T15" s="53">
        <v>0</v>
      </c>
      <c r="U15" s="54"/>
      <c r="V15" s="53">
        <v>0</v>
      </c>
      <c r="W15" s="54"/>
      <c r="X15" s="54">
        <v>0</v>
      </c>
      <c r="Y15" s="54"/>
      <c r="Z15" s="9">
        <v>11</v>
      </c>
      <c r="AA15" s="60" t="s">
        <v>77</v>
      </c>
      <c r="AB15" s="53">
        <v>0</v>
      </c>
      <c r="AC15" s="54"/>
      <c r="AD15" s="53" t="s">
        <v>35</v>
      </c>
      <c r="AE15" s="54"/>
      <c r="AF15" s="54">
        <v>0</v>
      </c>
      <c r="AG15" s="54"/>
      <c r="AH15" s="9">
        <v>9</v>
      </c>
      <c r="AI15" s="60" t="s">
        <v>77</v>
      </c>
      <c r="AJ15" s="53">
        <v>0</v>
      </c>
      <c r="AK15" s="54"/>
      <c r="AL15" s="53">
        <v>0</v>
      </c>
      <c r="AM15" s="54"/>
      <c r="AN15" s="54">
        <v>0</v>
      </c>
      <c r="AO15" s="54"/>
      <c r="AP15" s="9">
        <v>6</v>
      </c>
      <c r="AQ15" s="60" t="s">
        <v>77</v>
      </c>
      <c r="AR15" s="53">
        <v>0</v>
      </c>
      <c r="AS15" s="54"/>
      <c r="AT15" s="53">
        <v>0</v>
      </c>
      <c r="AU15" s="54"/>
      <c r="AV15" s="54">
        <v>0</v>
      </c>
      <c r="AW15" s="54"/>
      <c r="AX15" s="9">
        <v>11</v>
      </c>
      <c r="AY15" s="60" t="s">
        <v>77</v>
      </c>
      <c r="AZ15" s="53">
        <v>0</v>
      </c>
      <c r="BA15" s="54"/>
      <c r="BB15" s="53" t="s">
        <v>35</v>
      </c>
      <c r="BC15" s="54"/>
      <c r="BD15" s="54">
        <v>0</v>
      </c>
      <c r="BE15" s="54"/>
      <c r="BF15" s="22">
        <v>8</v>
      </c>
      <c r="BG15" s="60" t="s">
        <v>77</v>
      </c>
      <c r="BH15" s="53" t="s">
        <v>35</v>
      </c>
      <c r="BI15" s="54"/>
      <c r="BJ15" s="53" t="s">
        <v>35</v>
      </c>
      <c r="BK15" s="54"/>
      <c r="BL15" s="54">
        <v>0</v>
      </c>
      <c r="BM15" s="54"/>
      <c r="BN15" s="9">
        <v>12</v>
      </c>
      <c r="BO15" s="60" t="s">
        <v>77</v>
      </c>
      <c r="BP15" s="53">
        <v>0</v>
      </c>
      <c r="BQ15" s="54"/>
      <c r="BR15" s="53">
        <v>0</v>
      </c>
      <c r="BS15" s="54"/>
      <c r="BT15" s="54">
        <v>0</v>
      </c>
      <c r="BU15" s="54"/>
      <c r="BV15" s="9">
        <v>10</v>
      </c>
      <c r="BW15" s="60" t="s">
        <v>58</v>
      </c>
      <c r="BX15" s="53" t="s">
        <v>35</v>
      </c>
      <c r="BY15" s="54"/>
      <c r="BZ15" s="53" t="s">
        <v>35</v>
      </c>
      <c r="CA15" s="54"/>
      <c r="CB15" s="54">
        <v>0</v>
      </c>
      <c r="CC15" s="54"/>
      <c r="CD15" s="9">
        <v>7</v>
      </c>
      <c r="CE15" s="60" t="s">
        <v>57</v>
      </c>
      <c r="CF15" s="53">
        <v>0</v>
      </c>
      <c r="CG15" s="54"/>
      <c r="CH15" s="53">
        <v>0</v>
      </c>
      <c r="CI15" s="54"/>
      <c r="CJ15" s="54">
        <v>0</v>
      </c>
      <c r="CK15" s="54"/>
      <c r="CL15" s="9">
        <v>12</v>
      </c>
      <c r="CM15" s="60" t="s">
        <v>77</v>
      </c>
      <c r="CN15" s="53">
        <v>0</v>
      </c>
      <c r="CO15" s="54"/>
      <c r="CP15" s="53">
        <v>0</v>
      </c>
      <c r="CQ15" s="54"/>
      <c r="CR15" s="54">
        <v>0</v>
      </c>
      <c r="CS15" s="64"/>
    </row>
    <row r="16" spans="1:97" s="2" customFormat="1" x14ac:dyDescent="0.2">
      <c r="A16" s="9" t="s">
        <v>5</v>
      </c>
      <c r="B16" s="10">
        <v>11</v>
      </c>
      <c r="C16" s="60" t="s">
        <v>52</v>
      </c>
      <c r="D16" s="53">
        <v>0</v>
      </c>
      <c r="E16" s="54"/>
      <c r="F16" s="53">
        <v>0</v>
      </c>
      <c r="G16" s="54"/>
      <c r="H16" s="54">
        <v>0</v>
      </c>
      <c r="I16" s="54"/>
      <c r="J16" s="51">
        <v>8</v>
      </c>
      <c r="K16" s="60" t="s">
        <v>77</v>
      </c>
      <c r="L16" s="53">
        <v>0</v>
      </c>
      <c r="M16" s="54"/>
      <c r="N16" s="53">
        <v>0</v>
      </c>
      <c r="O16" s="54"/>
      <c r="P16" s="54">
        <v>0</v>
      </c>
      <c r="Q16" s="54"/>
      <c r="R16" s="9">
        <v>8</v>
      </c>
      <c r="S16" s="60" t="s">
        <v>63</v>
      </c>
      <c r="T16" s="53">
        <v>0</v>
      </c>
      <c r="U16" s="54"/>
      <c r="V16" s="53">
        <v>0</v>
      </c>
      <c r="W16" s="54"/>
      <c r="X16" s="54">
        <v>0</v>
      </c>
      <c r="Y16" s="54"/>
      <c r="Z16" s="9">
        <v>12</v>
      </c>
      <c r="AA16" s="60" t="s">
        <v>27</v>
      </c>
      <c r="AB16" s="53">
        <v>0</v>
      </c>
      <c r="AC16" s="54"/>
      <c r="AD16" s="53" t="s">
        <v>35</v>
      </c>
      <c r="AE16" s="54"/>
      <c r="AF16" s="54">
        <v>0</v>
      </c>
      <c r="AG16" s="54"/>
      <c r="AH16" s="9">
        <v>10</v>
      </c>
      <c r="AI16" s="60" t="s">
        <v>14</v>
      </c>
      <c r="AJ16" s="53">
        <v>0</v>
      </c>
      <c r="AK16" s="54"/>
      <c r="AL16" s="53">
        <v>0</v>
      </c>
      <c r="AM16" s="54"/>
      <c r="AN16" s="54">
        <v>0</v>
      </c>
      <c r="AO16" s="54"/>
      <c r="AP16" s="9">
        <v>7</v>
      </c>
      <c r="AQ16" s="60" t="s">
        <v>77</v>
      </c>
      <c r="AR16" s="53">
        <v>0</v>
      </c>
      <c r="AS16" s="54"/>
      <c r="AT16" s="53">
        <v>0</v>
      </c>
      <c r="AU16" s="54"/>
      <c r="AV16" s="54">
        <v>0</v>
      </c>
      <c r="AW16" s="54"/>
      <c r="AX16" s="9">
        <v>12</v>
      </c>
      <c r="AY16" s="60" t="s">
        <v>77</v>
      </c>
      <c r="AZ16" s="53">
        <v>0</v>
      </c>
      <c r="BA16" s="54"/>
      <c r="BB16" s="53" t="s">
        <v>35</v>
      </c>
      <c r="BC16" s="54"/>
      <c r="BD16" s="54">
        <v>0</v>
      </c>
      <c r="BE16" s="54"/>
      <c r="BF16" s="9">
        <v>9</v>
      </c>
      <c r="BG16" s="60" t="s">
        <v>77</v>
      </c>
      <c r="BH16" s="53" t="s">
        <v>35</v>
      </c>
      <c r="BI16" s="54"/>
      <c r="BJ16" s="53">
        <v>0</v>
      </c>
      <c r="BK16" s="54"/>
      <c r="BL16" s="54">
        <v>0</v>
      </c>
      <c r="BM16" s="54"/>
      <c r="BN16" s="9">
        <v>13</v>
      </c>
      <c r="BO16" s="60" t="s">
        <v>77</v>
      </c>
      <c r="BP16" s="53">
        <v>0</v>
      </c>
      <c r="BQ16" s="54"/>
      <c r="BR16" s="53">
        <v>0</v>
      </c>
      <c r="BS16" s="54"/>
      <c r="BT16" s="54">
        <v>0</v>
      </c>
      <c r="BU16" s="54"/>
      <c r="BV16" s="9">
        <v>11</v>
      </c>
      <c r="BW16" s="60" t="s">
        <v>58</v>
      </c>
      <c r="BX16" s="53" t="s">
        <v>35</v>
      </c>
      <c r="BY16" s="54"/>
      <c r="BZ16" s="53">
        <v>0</v>
      </c>
      <c r="CA16" s="54"/>
      <c r="CB16" s="54">
        <v>0</v>
      </c>
      <c r="CC16" s="54"/>
      <c r="CD16" s="9">
        <v>8</v>
      </c>
      <c r="CE16" s="60" t="s">
        <v>77</v>
      </c>
      <c r="CF16" s="53">
        <v>0</v>
      </c>
      <c r="CG16" s="54"/>
      <c r="CH16" s="53">
        <v>0</v>
      </c>
      <c r="CI16" s="54"/>
      <c r="CJ16" s="54">
        <v>0</v>
      </c>
      <c r="CK16" s="54"/>
      <c r="CL16" s="9">
        <v>13</v>
      </c>
      <c r="CM16" s="60" t="s">
        <v>48</v>
      </c>
      <c r="CN16" s="53">
        <v>0</v>
      </c>
      <c r="CO16" s="54"/>
      <c r="CP16" s="53">
        <v>0</v>
      </c>
      <c r="CQ16" s="54"/>
      <c r="CR16" s="54">
        <v>0</v>
      </c>
      <c r="CS16" s="64"/>
    </row>
    <row r="17" spans="1:97" s="2" customFormat="1" ht="15" customHeight="1" x14ac:dyDescent="0.2">
      <c r="A17" s="6" t="s">
        <v>25</v>
      </c>
      <c r="B17" s="8">
        <v>12</v>
      </c>
      <c r="C17" s="60" t="s">
        <v>77</v>
      </c>
      <c r="D17" s="187">
        <v>3</v>
      </c>
      <c r="E17" s="187"/>
      <c r="F17" s="187"/>
      <c r="G17" s="187"/>
      <c r="H17" s="187"/>
      <c r="I17" s="188"/>
      <c r="J17" s="6">
        <v>9</v>
      </c>
      <c r="K17" s="60" t="s">
        <v>77</v>
      </c>
      <c r="L17" s="15" t="s">
        <v>35</v>
      </c>
      <c r="M17" s="185">
        <v>7</v>
      </c>
      <c r="N17" s="185"/>
      <c r="O17" s="185"/>
      <c r="P17" s="185"/>
      <c r="Q17" s="186"/>
      <c r="R17" s="18">
        <v>9</v>
      </c>
      <c r="S17" s="60" t="s">
        <v>77</v>
      </c>
      <c r="T17" s="183">
        <v>11</v>
      </c>
      <c r="U17" s="183"/>
      <c r="V17" s="183"/>
      <c r="W17" s="183"/>
      <c r="X17" s="183"/>
      <c r="Y17" s="184"/>
      <c r="Z17" s="18">
        <v>13</v>
      </c>
      <c r="AA17" s="60" t="s">
        <v>77</v>
      </c>
      <c r="AB17" s="15">
        <v>0</v>
      </c>
      <c r="AC17" s="37"/>
      <c r="AD17" s="14" t="s">
        <v>35</v>
      </c>
      <c r="AE17" s="37"/>
      <c r="AF17" s="15">
        <v>0</v>
      </c>
      <c r="AG17" s="82"/>
      <c r="AH17" s="18">
        <v>11</v>
      </c>
      <c r="AI17" s="60" t="s">
        <v>77</v>
      </c>
      <c r="AJ17" s="183">
        <v>20</v>
      </c>
      <c r="AK17" s="183"/>
      <c r="AL17" s="183"/>
      <c r="AM17" s="183"/>
      <c r="AN17" s="183"/>
      <c r="AO17" s="184"/>
      <c r="AP17" s="18">
        <v>8</v>
      </c>
      <c r="AQ17" s="60" t="s">
        <v>77</v>
      </c>
      <c r="AR17" s="183">
        <v>24</v>
      </c>
      <c r="AS17" s="183"/>
      <c r="AT17" s="183"/>
      <c r="AU17" s="183"/>
      <c r="AV17" s="183"/>
      <c r="AW17" s="184"/>
      <c r="AX17" s="18">
        <v>13</v>
      </c>
      <c r="AY17" s="60" t="s">
        <v>77</v>
      </c>
      <c r="AZ17" s="15" t="s">
        <v>35</v>
      </c>
      <c r="BA17" s="37"/>
      <c r="BB17" s="14" t="s">
        <v>35</v>
      </c>
      <c r="BC17" s="37"/>
      <c r="BD17" s="15">
        <v>0</v>
      </c>
      <c r="BE17" s="82"/>
      <c r="BF17" s="21">
        <v>10</v>
      </c>
      <c r="BG17" s="60" t="s">
        <v>77</v>
      </c>
      <c r="BH17" s="15" t="s">
        <v>35</v>
      </c>
      <c r="BI17" s="185">
        <v>33</v>
      </c>
      <c r="BJ17" s="185"/>
      <c r="BK17" s="185"/>
      <c r="BL17" s="185"/>
      <c r="BM17" s="186"/>
      <c r="BN17" s="18">
        <v>14</v>
      </c>
      <c r="BO17" s="60" t="s">
        <v>77</v>
      </c>
      <c r="BP17" s="183">
        <v>38</v>
      </c>
      <c r="BQ17" s="183"/>
      <c r="BR17" s="183"/>
      <c r="BS17" s="183"/>
      <c r="BT17" s="183"/>
      <c r="BU17" s="184"/>
      <c r="BV17" s="18">
        <v>12</v>
      </c>
      <c r="BW17" s="60" t="s">
        <v>77</v>
      </c>
      <c r="BX17" s="15" t="s">
        <v>35</v>
      </c>
      <c r="BY17" s="185">
        <v>42</v>
      </c>
      <c r="BZ17" s="185"/>
      <c r="CA17" s="185"/>
      <c r="CB17" s="185"/>
      <c r="CC17" s="186"/>
      <c r="CD17" s="18">
        <v>9</v>
      </c>
      <c r="CE17" s="60" t="s">
        <v>77</v>
      </c>
      <c r="CF17" s="183">
        <v>46</v>
      </c>
      <c r="CG17" s="183"/>
      <c r="CH17" s="183"/>
      <c r="CI17" s="183"/>
      <c r="CJ17" s="183"/>
      <c r="CK17" s="184"/>
      <c r="CL17" s="18">
        <v>14</v>
      </c>
      <c r="CM17" s="60" t="s">
        <v>77</v>
      </c>
      <c r="CN17" s="183">
        <v>51</v>
      </c>
      <c r="CO17" s="183"/>
      <c r="CP17" s="183"/>
      <c r="CQ17" s="183"/>
      <c r="CR17" s="183"/>
      <c r="CS17" s="184"/>
    </row>
    <row r="18" spans="1:97" s="2" customFormat="1" x14ac:dyDescent="0.2">
      <c r="A18" s="6" t="s">
        <v>6</v>
      </c>
      <c r="B18" s="8">
        <v>13</v>
      </c>
      <c r="C18" s="60" t="s">
        <v>77</v>
      </c>
      <c r="D18" s="15">
        <v>0</v>
      </c>
      <c r="E18" s="37"/>
      <c r="F18" s="14">
        <v>0</v>
      </c>
      <c r="G18" s="37"/>
      <c r="H18" s="15">
        <v>0</v>
      </c>
      <c r="I18" s="37"/>
      <c r="J18" s="6">
        <v>10</v>
      </c>
      <c r="K18" s="60" t="s">
        <v>77</v>
      </c>
      <c r="L18" s="15" t="s">
        <v>35</v>
      </c>
      <c r="M18" s="37"/>
      <c r="N18" s="14">
        <v>0</v>
      </c>
      <c r="O18" s="37"/>
      <c r="P18" s="15">
        <v>0</v>
      </c>
      <c r="Q18" s="37"/>
      <c r="R18" s="6">
        <v>10</v>
      </c>
      <c r="S18" s="60" t="s">
        <v>77</v>
      </c>
      <c r="T18" s="15">
        <v>0</v>
      </c>
      <c r="U18" s="37"/>
      <c r="V18" s="14">
        <v>0</v>
      </c>
      <c r="W18" s="37"/>
      <c r="X18" s="15">
        <v>0</v>
      </c>
      <c r="Y18" s="37"/>
      <c r="Z18" s="6">
        <v>14</v>
      </c>
      <c r="AA18" s="60" t="s">
        <v>77</v>
      </c>
      <c r="AB18" s="15">
        <v>0</v>
      </c>
      <c r="AC18" s="37"/>
      <c r="AD18" s="14" t="s">
        <v>35</v>
      </c>
      <c r="AE18" s="37"/>
      <c r="AF18" s="15">
        <v>0</v>
      </c>
      <c r="AG18" s="37"/>
      <c r="AH18" s="6">
        <v>12</v>
      </c>
      <c r="AI18" s="60" t="s">
        <v>77</v>
      </c>
      <c r="AJ18" s="15">
        <v>0</v>
      </c>
      <c r="AK18" s="37"/>
      <c r="AL18" s="14">
        <v>0</v>
      </c>
      <c r="AM18" s="37"/>
      <c r="AN18" s="15">
        <v>0</v>
      </c>
      <c r="AO18" s="37"/>
      <c r="AP18" s="6">
        <v>9</v>
      </c>
      <c r="AQ18" s="60" t="s">
        <v>77</v>
      </c>
      <c r="AR18" s="15">
        <v>0</v>
      </c>
      <c r="AS18" s="37"/>
      <c r="AT18" s="14">
        <v>0</v>
      </c>
      <c r="AU18" s="37"/>
      <c r="AV18" s="15">
        <v>0</v>
      </c>
      <c r="AW18" s="37"/>
      <c r="AX18" s="6">
        <v>14</v>
      </c>
      <c r="AY18" s="60" t="s">
        <v>77</v>
      </c>
      <c r="AZ18" s="15" t="s">
        <v>35</v>
      </c>
      <c r="BA18" s="37"/>
      <c r="BB18" s="14" t="s">
        <v>35</v>
      </c>
      <c r="BC18" s="37"/>
      <c r="BD18" s="15">
        <v>0</v>
      </c>
      <c r="BE18" s="37"/>
      <c r="BF18" s="21">
        <v>11</v>
      </c>
      <c r="BG18" s="60" t="s">
        <v>77</v>
      </c>
      <c r="BH18" s="15" t="s">
        <v>35</v>
      </c>
      <c r="BI18" s="37"/>
      <c r="BJ18" s="14">
        <v>0</v>
      </c>
      <c r="BK18" s="37"/>
      <c r="BL18" s="15">
        <v>0</v>
      </c>
      <c r="BM18" s="37"/>
      <c r="BN18" s="6">
        <v>15</v>
      </c>
      <c r="BO18" s="60" t="s">
        <v>77</v>
      </c>
      <c r="BP18" s="15">
        <v>0</v>
      </c>
      <c r="BQ18" s="37"/>
      <c r="BR18" s="14">
        <v>0</v>
      </c>
      <c r="BS18" s="37"/>
      <c r="BT18" s="15">
        <v>0</v>
      </c>
      <c r="BU18" s="37"/>
      <c r="BV18" s="6">
        <v>13</v>
      </c>
      <c r="BW18" s="60" t="s">
        <v>77</v>
      </c>
      <c r="BX18" s="15" t="s">
        <v>35</v>
      </c>
      <c r="BY18" s="37"/>
      <c r="BZ18" s="14">
        <v>0</v>
      </c>
      <c r="CA18" s="37"/>
      <c r="CB18" s="15">
        <v>0</v>
      </c>
      <c r="CC18" s="37"/>
      <c r="CD18" s="6">
        <v>10</v>
      </c>
      <c r="CE18" s="60" t="s">
        <v>77</v>
      </c>
      <c r="CF18" s="15">
        <v>0</v>
      </c>
      <c r="CG18" s="37"/>
      <c r="CH18" s="14">
        <v>0</v>
      </c>
      <c r="CI18" s="37"/>
      <c r="CJ18" s="15">
        <v>0</v>
      </c>
      <c r="CK18" s="37"/>
      <c r="CL18" s="6">
        <v>15</v>
      </c>
      <c r="CM18" s="60" t="s">
        <v>77</v>
      </c>
      <c r="CN18" s="15">
        <v>0</v>
      </c>
      <c r="CO18" s="37"/>
      <c r="CP18" s="14">
        <v>0</v>
      </c>
      <c r="CQ18" s="37"/>
      <c r="CR18" s="15">
        <v>0</v>
      </c>
      <c r="CS18" s="62"/>
    </row>
    <row r="19" spans="1:97" s="2" customFormat="1" x14ac:dyDescent="0.2">
      <c r="A19" s="6" t="s">
        <v>7</v>
      </c>
      <c r="B19" s="8">
        <v>14</v>
      </c>
      <c r="C19" s="60" t="s">
        <v>77</v>
      </c>
      <c r="D19" s="15">
        <v>0</v>
      </c>
      <c r="E19" s="37"/>
      <c r="F19" s="14">
        <v>0</v>
      </c>
      <c r="G19" s="37"/>
      <c r="H19" s="15">
        <v>0</v>
      </c>
      <c r="I19" s="37"/>
      <c r="J19" s="6">
        <v>11</v>
      </c>
      <c r="K19" s="60" t="s">
        <v>77</v>
      </c>
      <c r="L19" s="15" t="s">
        <v>35</v>
      </c>
      <c r="M19" s="37"/>
      <c r="N19" s="14">
        <v>0</v>
      </c>
      <c r="O19" s="37"/>
      <c r="P19" s="15">
        <v>0</v>
      </c>
      <c r="Q19" s="37"/>
      <c r="R19" s="6">
        <v>11</v>
      </c>
      <c r="S19" s="60" t="s">
        <v>77</v>
      </c>
      <c r="T19" s="15">
        <v>0</v>
      </c>
      <c r="U19" s="37"/>
      <c r="V19" s="14">
        <v>0</v>
      </c>
      <c r="W19" s="37"/>
      <c r="X19" s="15">
        <v>0</v>
      </c>
      <c r="Y19" s="37"/>
      <c r="Z19" s="6">
        <v>15</v>
      </c>
      <c r="AA19" s="60" t="s">
        <v>77</v>
      </c>
      <c r="AB19" s="15">
        <v>0</v>
      </c>
      <c r="AC19" s="37"/>
      <c r="AD19" s="14" t="s">
        <v>35</v>
      </c>
      <c r="AE19" s="37"/>
      <c r="AF19" s="15">
        <v>0</v>
      </c>
      <c r="AG19" s="37"/>
      <c r="AH19" s="6">
        <v>13</v>
      </c>
      <c r="AI19" s="60" t="s">
        <v>77</v>
      </c>
      <c r="AJ19" s="15">
        <v>0</v>
      </c>
      <c r="AK19" s="37"/>
      <c r="AL19" s="14">
        <v>0</v>
      </c>
      <c r="AM19" s="37"/>
      <c r="AN19" s="15">
        <v>0</v>
      </c>
      <c r="AO19" s="37"/>
      <c r="AP19" s="6">
        <v>10</v>
      </c>
      <c r="AQ19" s="60" t="s">
        <v>77</v>
      </c>
      <c r="AR19" s="15">
        <v>0</v>
      </c>
      <c r="AS19" s="37"/>
      <c r="AT19" s="14">
        <v>0</v>
      </c>
      <c r="AU19" s="37"/>
      <c r="AV19" s="15">
        <v>0</v>
      </c>
      <c r="AW19" s="37"/>
      <c r="AX19" s="6">
        <v>15</v>
      </c>
      <c r="AY19" s="60" t="s">
        <v>77</v>
      </c>
      <c r="AZ19" s="15" t="s">
        <v>35</v>
      </c>
      <c r="BA19" s="37"/>
      <c r="BB19" s="14" t="s">
        <v>35</v>
      </c>
      <c r="BC19" s="37"/>
      <c r="BD19" s="15">
        <v>0</v>
      </c>
      <c r="BE19" s="37"/>
      <c r="BF19" s="21">
        <v>12</v>
      </c>
      <c r="BG19" s="60" t="s">
        <v>77</v>
      </c>
      <c r="BH19" s="15" t="s">
        <v>35</v>
      </c>
      <c r="BI19" s="37"/>
      <c r="BJ19" s="14">
        <v>0</v>
      </c>
      <c r="BK19" s="37"/>
      <c r="BL19" s="15">
        <v>0</v>
      </c>
      <c r="BM19" s="37"/>
      <c r="BN19" s="6">
        <v>16</v>
      </c>
      <c r="BO19" s="60" t="s">
        <v>77</v>
      </c>
      <c r="BP19" s="15">
        <v>0</v>
      </c>
      <c r="BQ19" s="37"/>
      <c r="BR19" s="14">
        <v>0</v>
      </c>
      <c r="BS19" s="37"/>
      <c r="BT19" s="15">
        <v>0</v>
      </c>
      <c r="BU19" s="37"/>
      <c r="BV19" s="6">
        <v>14</v>
      </c>
      <c r="BW19" s="60" t="s">
        <v>77</v>
      </c>
      <c r="BX19" s="15" t="s">
        <v>35</v>
      </c>
      <c r="BY19" s="37"/>
      <c r="BZ19" s="14">
        <v>0</v>
      </c>
      <c r="CA19" s="37"/>
      <c r="CB19" s="15">
        <v>0</v>
      </c>
      <c r="CC19" s="37"/>
      <c r="CD19" s="6">
        <v>11</v>
      </c>
      <c r="CE19" s="60" t="s">
        <v>77</v>
      </c>
      <c r="CF19" s="15">
        <v>0</v>
      </c>
      <c r="CG19" s="37"/>
      <c r="CH19" s="14">
        <v>0</v>
      </c>
      <c r="CI19" s="37"/>
      <c r="CJ19" s="15">
        <v>0</v>
      </c>
      <c r="CK19" s="37"/>
      <c r="CL19" s="6">
        <v>16</v>
      </c>
      <c r="CM19" s="60" t="s">
        <v>77</v>
      </c>
      <c r="CN19" s="15">
        <v>0</v>
      </c>
      <c r="CO19" s="37"/>
      <c r="CP19" s="14">
        <v>0</v>
      </c>
      <c r="CQ19" s="37"/>
      <c r="CR19" s="15">
        <v>0</v>
      </c>
      <c r="CS19" s="62"/>
    </row>
    <row r="20" spans="1:97" s="2" customFormat="1" ht="12.75" customHeight="1" x14ac:dyDescent="0.2">
      <c r="A20" s="6" t="s">
        <v>8</v>
      </c>
      <c r="B20" s="8">
        <v>15</v>
      </c>
      <c r="C20" s="60" t="s">
        <v>77</v>
      </c>
      <c r="D20" s="15">
        <v>0</v>
      </c>
      <c r="E20" s="37"/>
      <c r="F20" s="14">
        <v>0</v>
      </c>
      <c r="G20" s="37"/>
      <c r="H20" s="15">
        <v>0</v>
      </c>
      <c r="I20" s="37"/>
      <c r="J20" s="6">
        <v>12</v>
      </c>
      <c r="K20" s="60" t="s">
        <v>56</v>
      </c>
      <c r="L20" s="15" t="s">
        <v>35</v>
      </c>
      <c r="M20" s="37"/>
      <c r="N20" s="14">
        <v>0</v>
      </c>
      <c r="O20" s="37"/>
      <c r="P20" s="15">
        <v>0</v>
      </c>
      <c r="Q20" s="37"/>
      <c r="R20" s="6">
        <v>12</v>
      </c>
      <c r="S20" s="60" t="s">
        <v>56</v>
      </c>
      <c r="T20" s="15">
        <v>0</v>
      </c>
      <c r="U20" s="37"/>
      <c r="V20" s="14">
        <v>0</v>
      </c>
      <c r="W20" s="37"/>
      <c r="X20" s="15">
        <v>0</v>
      </c>
      <c r="Y20" s="37"/>
      <c r="Z20" s="6">
        <v>16</v>
      </c>
      <c r="AA20" s="60" t="s">
        <v>77</v>
      </c>
      <c r="AB20" s="15">
        <v>0</v>
      </c>
      <c r="AC20" s="37"/>
      <c r="AD20" s="14" t="s">
        <v>35</v>
      </c>
      <c r="AE20" s="37"/>
      <c r="AF20" s="15">
        <v>0</v>
      </c>
      <c r="AG20" s="37"/>
      <c r="AH20" s="6">
        <v>14</v>
      </c>
      <c r="AI20" s="60" t="s">
        <v>37</v>
      </c>
      <c r="AJ20" s="15">
        <v>0</v>
      </c>
      <c r="AK20" s="37"/>
      <c r="AL20" s="14">
        <v>0</v>
      </c>
      <c r="AM20" s="37"/>
      <c r="AN20" s="15">
        <v>0</v>
      </c>
      <c r="AO20" s="37"/>
      <c r="AP20" s="6">
        <v>11</v>
      </c>
      <c r="AQ20" s="60" t="s">
        <v>77</v>
      </c>
      <c r="AR20" s="15">
        <v>0</v>
      </c>
      <c r="AS20" s="37"/>
      <c r="AT20" s="14">
        <v>0</v>
      </c>
      <c r="AU20" s="37"/>
      <c r="AV20" s="15">
        <v>0</v>
      </c>
      <c r="AW20" s="37"/>
      <c r="AX20" s="6">
        <v>16</v>
      </c>
      <c r="AY20" s="60" t="s">
        <v>77</v>
      </c>
      <c r="AZ20" s="15" t="s">
        <v>35</v>
      </c>
      <c r="BA20" s="37"/>
      <c r="BB20" s="14" t="s">
        <v>35</v>
      </c>
      <c r="BC20" s="37"/>
      <c r="BD20" s="15">
        <v>0</v>
      </c>
      <c r="BE20" s="37"/>
      <c r="BF20" s="21">
        <v>13</v>
      </c>
      <c r="BG20" s="60" t="s">
        <v>77</v>
      </c>
      <c r="BH20" s="15" t="s">
        <v>35</v>
      </c>
      <c r="BI20" s="37"/>
      <c r="BJ20" s="14">
        <v>0</v>
      </c>
      <c r="BK20" s="37"/>
      <c r="BL20" s="15">
        <v>0</v>
      </c>
      <c r="BM20" s="37"/>
      <c r="BN20" s="6">
        <v>17</v>
      </c>
      <c r="BO20" s="60" t="s">
        <v>77</v>
      </c>
      <c r="BP20" s="15">
        <v>0</v>
      </c>
      <c r="BQ20" s="37"/>
      <c r="BR20" s="14">
        <v>0</v>
      </c>
      <c r="BS20" s="37"/>
      <c r="BT20" s="15">
        <v>0</v>
      </c>
      <c r="BU20" s="37"/>
      <c r="BV20" s="6">
        <v>15</v>
      </c>
      <c r="BW20" s="60" t="s">
        <v>77</v>
      </c>
      <c r="BX20" s="15" t="s">
        <v>35</v>
      </c>
      <c r="BY20" s="37"/>
      <c r="BZ20" s="14">
        <v>0</v>
      </c>
      <c r="CA20" s="37"/>
      <c r="CB20" s="15">
        <v>0</v>
      </c>
      <c r="CC20" s="37"/>
      <c r="CD20" s="6">
        <v>12</v>
      </c>
      <c r="CE20" s="60" t="s">
        <v>56</v>
      </c>
      <c r="CF20" s="15">
        <v>0</v>
      </c>
      <c r="CG20" s="37"/>
      <c r="CH20" s="14">
        <v>0</v>
      </c>
      <c r="CI20" s="37"/>
      <c r="CJ20" s="15">
        <v>0</v>
      </c>
      <c r="CK20" s="37"/>
      <c r="CL20" s="6">
        <v>17</v>
      </c>
      <c r="CM20" s="60" t="s">
        <v>77</v>
      </c>
      <c r="CN20" s="15">
        <v>0</v>
      </c>
      <c r="CO20" s="37"/>
      <c r="CP20" s="14">
        <v>0</v>
      </c>
      <c r="CQ20" s="37"/>
      <c r="CR20" s="15">
        <v>0</v>
      </c>
      <c r="CS20" s="62"/>
    </row>
    <row r="21" spans="1:97" s="2" customFormat="1" ht="12.75" customHeight="1" x14ac:dyDescent="0.2">
      <c r="A21" s="6" t="s">
        <v>3</v>
      </c>
      <c r="B21" s="8">
        <v>16</v>
      </c>
      <c r="C21" s="60" t="s">
        <v>77</v>
      </c>
      <c r="D21" s="15">
        <v>0</v>
      </c>
      <c r="E21" s="37"/>
      <c r="F21" s="14">
        <v>0</v>
      </c>
      <c r="G21" s="37"/>
      <c r="H21" s="15">
        <v>0</v>
      </c>
      <c r="I21" s="37"/>
      <c r="J21" s="6">
        <v>13</v>
      </c>
      <c r="K21" s="60" t="s">
        <v>77</v>
      </c>
      <c r="L21" s="15" t="s">
        <v>35</v>
      </c>
      <c r="M21" s="37"/>
      <c r="N21" s="14">
        <v>0</v>
      </c>
      <c r="O21" s="37"/>
      <c r="P21" s="15">
        <v>0</v>
      </c>
      <c r="Q21" s="37"/>
      <c r="R21" s="6">
        <v>13</v>
      </c>
      <c r="S21" s="60" t="s">
        <v>77</v>
      </c>
      <c r="T21" s="15">
        <v>0</v>
      </c>
      <c r="U21" s="37"/>
      <c r="V21" s="14">
        <v>0</v>
      </c>
      <c r="W21" s="37"/>
      <c r="X21" s="15">
        <v>0</v>
      </c>
      <c r="Y21" s="37"/>
      <c r="Z21" s="6">
        <v>17</v>
      </c>
      <c r="AA21" s="60" t="s">
        <v>77</v>
      </c>
      <c r="AB21" s="15">
        <v>0</v>
      </c>
      <c r="AC21" s="37"/>
      <c r="AD21" s="14" t="s">
        <v>35</v>
      </c>
      <c r="AE21" s="37"/>
      <c r="AF21" s="15">
        <v>0</v>
      </c>
      <c r="AG21" s="37"/>
      <c r="AH21" s="6">
        <v>15</v>
      </c>
      <c r="AI21" s="60" t="s">
        <v>77</v>
      </c>
      <c r="AJ21" s="15">
        <v>0</v>
      </c>
      <c r="AK21" s="37"/>
      <c r="AL21" s="14">
        <v>0</v>
      </c>
      <c r="AM21" s="37"/>
      <c r="AN21" s="15">
        <v>0</v>
      </c>
      <c r="AO21" s="37"/>
      <c r="AP21" s="6">
        <v>12</v>
      </c>
      <c r="AQ21" s="60" t="s">
        <v>77</v>
      </c>
      <c r="AR21" s="15">
        <v>0</v>
      </c>
      <c r="AS21" s="37"/>
      <c r="AT21" s="14">
        <v>0</v>
      </c>
      <c r="AU21" s="37"/>
      <c r="AV21" s="15">
        <v>0</v>
      </c>
      <c r="AW21" s="37"/>
      <c r="AX21" s="6">
        <v>17</v>
      </c>
      <c r="AY21" s="60" t="s">
        <v>77</v>
      </c>
      <c r="AZ21" s="15" t="s">
        <v>35</v>
      </c>
      <c r="BA21" s="37"/>
      <c r="BB21" s="14" t="s">
        <v>35</v>
      </c>
      <c r="BC21" s="37"/>
      <c r="BD21" s="15">
        <v>0</v>
      </c>
      <c r="BE21" s="37"/>
      <c r="BF21" s="21">
        <v>14</v>
      </c>
      <c r="BG21" s="60" t="s">
        <v>38</v>
      </c>
      <c r="BH21" s="15" t="s">
        <v>35</v>
      </c>
      <c r="BI21" s="37"/>
      <c r="BJ21" s="14">
        <v>0</v>
      </c>
      <c r="BK21" s="37"/>
      <c r="BL21" s="15">
        <v>0</v>
      </c>
      <c r="BM21" s="37"/>
      <c r="BN21" s="6">
        <v>18</v>
      </c>
      <c r="BO21" s="60" t="s">
        <v>77</v>
      </c>
      <c r="BP21" s="15">
        <v>0</v>
      </c>
      <c r="BQ21" s="37"/>
      <c r="BR21" s="14">
        <v>0</v>
      </c>
      <c r="BS21" s="37"/>
      <c r="BT21" s="15">
        <v>0</v>
      </c>
      <c r="BU21" s="37"/>
      <c r="BV21" s="6">
        <v>16</v>
      </c>
      <c r="BW21" s="60" t="s">
        <v>77</v>
      </c>
      <c r="BX21" s="15" t="s">
        <v>35</v>
      </c>
      <c r="BY21" s="37"/>
      <c r="BZ21" s="14">
        <v>0</v>
      </c>
      <c r="CA21" s="37"/>
      <c r="CB21" s="15">
        <v>0</v>
      </c>
      <c r="CC21" s="37"/>
      <c r="CD21" s="6">
        <v>13</v>
      </c>
      <c r="CE21" s="60" t="s">
        <v>77</v>
      </c>
      <c r="CF21" s="15">
        <v>0</v>
      </c>
      <c r="CG21" s="37"/>
      <c r="CH21" s="14">
        <v>0</v>
      </c>
      <c r="CI21" s="37"/>
      <c r="CJ21" s="15">
        <v>0</v>
      </c>
      <c r="CK21" s="37"/>
      <c r="CL21" s="6">
        <v>18</v>
      </c>
      <c r="CM21" s="60" t="s">
        <v>70</v>
      </c>
      <c r="CN21" s="15">
        <v>0</v>
      </c>
      <c r="CO21" s="37"/>
      <c r="CP21" s="14">
        <v>0</v>
      </c>
      <c r="CQ21" s="37"/>
      <c r="CR21" s="15">
        <v>0</v>
      </c>
      <c r="CS21" s="62"/>
    </row>
    <row r="22" spans="1:97" s="2" customFormat="1" ht="12.75" customHeight="1" x14ac:dyDescent="0.2">
      <c r="A22" s="9" t="s">
        <v>4</v>
      </c>
      <c r="B22" s="10">
        <v>17</v>
      </c>
      <c r="C22" s="60" t="s">
        <v>55</v>
      </c>
      <c r="D22" s="53">
        <v>0</v>
      </c>
      <c r="E22" s="53"/>
      <c r="F22" s="53">
        <v>0</v>
      </c>
      <c r="G22" s="53"/>
      <c r="H22" s="53">
        <v>0</v>
      </c>
      <c r="I22" s="53"/>
      <c r="J22" s="51">
        <v>14</v>
      </c>
      <c r="K22" s="60" t="s">
        <v>77</v>
      </c>
      <c r="L22" s="53" t="s">
        <v>35</v>
      </c>
      <c r="M22" s="53"/>
      <c r="N22" s="53">
        <v>0</v>
      </c>
      <c r="O22" s="53"/>
      <c r="P22" s="53">
        <v>0</v>
      </c>
      <c r="Q22" s="53"/>
      <c r="R22" s="9">
        <v>14</v>
      </c>
      <c r="S22" s="60" t="s">
        <v>77</v>
      </c>
      <c r="T22" s="53">
        <v>0</v>
      </c>
      <c r="U22" s="53"/>
      <c r="V22" s="53">
        <v>0</v>
      </c>
      <c r="W22" s="53"/>
      <c r="X22" s="53">
        <v>0</v>
      </c>
      <c r="Y22" s="53"/>
      <c r="Z22" s="9">
        <v>18</v>
      </c>
      <c r="AA22" s="60" t="s">
        <v>77</v>
      </c>
      <c r="AB22" s="53">
        <v>0</v>
      </c>
      <c r="AC22" s="53"/>
      <c r="AD22" s="53" t="s">
        <v>35</v>
      </c>
      <c r="AE22" s="53"/>
      <c r="AF22" s="53">
        <v>0</v>
      </c>
      <c r="AG22" s="53"/>
      <c r="AH22" s="9">
        <v>16</v>
      </c>
      <c r="AI22" s="60" t="s">
        <v>57</v>
      </c>
      <c r="AJ22" s="53">
        <v>0</v>
      </c>
      <c r="AK22" s="53"/>
      <c r="AL22" s="53">
        <v>0</v>
      </c>
      <c r="AM22" s="53"/>
      <c r="AN22" s="53">
        <v>0</v>
      </c>
      <c r="AO22" s="53"/>
      <c r="AP22" s="9">
        <v>13</v>
      </c>
      <c r="AQ22" s="60" t="s">
        <v>57</v>
      </c>
      <c r="AR22" s="53">
        <v>0</v>
      </c>
      <c r="AS22" s="53"/>
      <c r="AT22" s="53">
        <v>0</v>
      </c>
      <c r="AU22" s="53"/>
      <c r="AV22" s="53">
        <v>0</v>
      </c>
      <c r="AW22" s="53"/>
      <c r="AX22" s="9">
        <v>18</v>
      </c>
      <c r="AY22" s="60" t="s">
        <v>77</v>
      </c>
      <c r="AZ22" s="53" t="s">
        <v>35</v>
      </c>
      <c r="BA22" s="53"/>
      <c r="BB22" s="53" t="s">
        <v>35</v>
      </c>
      <c r="BC22" s="53"/>
      <c r="BD22" s="53">
        <v>0</v>
      </c>
      <c r="BE22" s="53"/>
      <c r="BF22" s="22">
        <v>15</v>
      </c>
      <c r="BG22" s="60" t="s">
        <v>57</v>
      </c>
      <c r="BH22" s="53" t="s">
        <v>35</v>
      </c>
      <c r="BI22" s="53"/>
      <c r="BJ22" s="53">
        <v>0</v>
      </c>
      <c r="BK22" s="53"/>
      <c r="BL22" s="53">
        <v>0</v>
      </c>
      <c r="BM22" s="53"/>
      <c r="BN22" s="9">
        <v>19</v>
      </c>
      <c r="BO22" s="60" t="s">
        <v>57</v>
      </c>
      <c r="BP22" s="53">
        <v>0</v>
      </c>
      <c r="BQ22" s="53"/>
      <c r="BR22" s="53">
        <v>0</v>
      </c>
      <c r="BS22" s="53"/>
      <c r="BT22" s="53">
        <v>0</v>
      </c>
      <c r="BU22" s="53"/>
      <c r="BV22" s="9">
        <v>17</v>
      </c>
      <c r="BW22" s="60" t="s">
        <v>67</v>
      </c>
      <c r="BX22" s="53" t="s">
        <v>35</v>
      </c>
      <c r="BY22" s="53"/>
      <c r="BZ22" s="53">
        <v>0</v>
      </c>
      <c r="CA22" s="53"/>
      <c r="CB22" s="53">
        <v>0</v>
      </c>
      <c r="CC22" s="53"/>
      <c r="CD22" s="9">
        <v>14</v>
      </c>
      <c r="CE22" s="60" t="s">
        <v>77</v>
      </c>
      <c r="CF22" s="53">
        <v>0</v>
      </c>
      <c r="CG22" s="53"/>
      <c r="CH22" s="53">
        <v>0</v>
      </c>
      <c r="CI22" s="53"/>
      <c r="CJ22" s="53">
        <v>0</v>
      </c>
      <c r="CK22" s="53"/>
      <c r="CL22" s="9">
        <v>19</v>
      </c>
      <c r="CM22" s="60" t="s">
        <v>68</v>
      </c>
      <c r="CN22" s="53">
        <v>0</v>
      </c>
      <c r="CO22" s="53"/>
      <c r="CP22" s="53">
        <v>0</v>
      </c>
      <c r="CQ22" s="53"/>
      <c r="CR22" s="53">
        <v>0</v>
      </c>
      <c r="CS22" s="63"/>
    </row>
    <row r="23" spans="1:97" s="2" customFormat="1" ht="12.75" customHeight="1" x14ac:dyDescent="0.2">
      <c r="A23" s="9" t="s">
        <v>5</v>
      </c>
      <c r="B23" s="10">
        <v>18</v>
      </c>
      <c r="C23" s="60" t="s">
        <v>77</v>
      </c>
      <c r="D23" s="53">
        <v>0</v>
      </c>
      <c r="E23" s="53"/>
      <c r="F23" s="53">
        <v>0</v>
      </c>
      <c r="G23" s="53"/>
      <c r="H23" s="53">
        <v>0</v>
      </c>
      <c r="I23" s="53"/>
      <c r="J23" s="51">
        <v>15</v>
      </c>
      <c r="K23" s="60" t="s">
        <v>77</v>
      </c>
      <c r="L23" s="53" t="s">
        <v>35</v>
      </c>
      <c r="M23" s="53"/>
      <c r="N23" s="53">
        <v>0</v>
      </c>
      <c r="O23" s="53"/>
      <c r="P23" s="53">
        <v>0</v>
      </c>
      <c r="Q23" s="53"/>
      <c r="R23" s="9">
        <v>15</v>
      </c>
      <c r="S23" s="60" t="s">
        <v>77</v>
      </c>
      <c r="T23" s="53">
        <v>0</v>
      </c>
      <c r="U23" s="53"/>
      <c r="V23" s="53">
        <v>0</v>
      </c>
      <c r="W23" s="53"/>
      <c r="X23" s="53">
        <v>0</v>
      </c>
      <c r="Y23" s="53"/>
      <c r="Z23" s="9">
        <v>19</v>
      </c>
      <c r="AA23" s="60" t="s">
        <v>77</v>
      </c>
      <c r="AB23" s="53">
        <v>0</v>
      </c>
      <c r="AC23" s="53"/>
      <c r="AD23" s="53">
        <v>0</v>
      </c>
      <c r="AE23" s="53"/>
      <c r="AF23" s="53">
        <v>0</v>
      </c>
      <c r="AG23" s="53"/>
      <c r="AH23" s="9">
        <v>17</v>
      </c>
      <c r="AI23" s="60" t="s">
        <v>77</v>
      </c>
      <c r="AJ23" s="53">
        <v>0</v>
      </c>
      <c r="AK23" s="53"/>
      <c r="AL23" s="53">
        <v>0</v>
      </c>
      <c r="AM23" s="53"/>
      <c r="AN23" s="53">
        <v>0</v>
      </c>
      <c r="AO23" s="53"/>
      <c r="AP23" s="9">
        <v>14</v>
      </c>
      <c r="AQ23" s="60" t="s">
        <v>77</v>
      </c>
      <c r="AR23" s="53">
        <v>0</v>
      </c>
      <c r="AS23" s="53"/>
      <c r="AT23" s="53">
        <v>0</v>
      </c>
      <c r="AU23" s="53"/>
      <c r="AV23" s="53">
        <v>0</v>
      </c>
      <c r="AW23" s="53"/>
      <c r="AX23" s="9">
        <v>19</v>
      </c>
      <c r="AY23" s="60" t="s">
        <v>77</v>
      </c>
      <c r="AZ23" s="53" t="s">
        <v>35</v>
      </c>
      <c r="BA23" s="53"/>
      <c r="BB23" s="53" t="s">
        <v>35</v>
      </c>
      <c r="BC23" s="53"/>
      <c r="BD23" s="53">
        <v>0</v>
      </c>
      <c r="BE23" s="53"/>
      <c r="BF23" s="9">
        <v>16</v>
      </c>
      <c r="BG23" s="60" t="s">
        <v>77</v>
      </c>
      <c r="BH23" s="53">
        <v>0</v>
      </c>
      <c r="BI23" s="53"/>
      <c r="BJ23" s="53">
        <v>0</v>
      </c>
      <c r="BK23" s="53"/>
      <c r="BL23" s="53">
        <v>0</v>
      </c>
      <c r="BM23" s="53"/>
      <c r="BN23" s="9">
        <v>20</v>
      </c>
      <c r="BO23" s="60" t="s">
        <v>39</v>
      </c>
      <c r="BP23" s="53">
        <v>0</v>
      </c>
      <c r="BQ23" s="53"/>
      <c r="BR23" s="53">
        <v>0</v>
      </c>
      <c r="BS23" s="53"/>
      <c r="BT23" s="53">
        <v>0</v>
      </c>
      <c r="BU23" s="53"/>
      <c r="BV23" s="9">
        <v>18</v>
      </c>
      <c r="BW23" s="60" t="s">
        <v>52</v>
      </c>
      <c r="BX23" s="53">
        <v>0</v>
      </c>
      <c r="BY23" s="53"/>
      <c r="BZ23" s="53">
        <v>0</v>
      </c>
      <c r="CA23" s="53"/>
      <c r="CB23" s="53">
        <v>0</v>
      </c>
      <c r="CC23" s="53"/>
      <c r="CD23" s="9">
        <v>15</v>
      </c>
      <c r="CE23" s="173" t="s">
        <v>71</v>
      </c>
      <c r="CF23" s="174"/>
      <c r="CG23" s="174"/>
      <c r="CH23" s="174"/>
      <c r="CI23" s="174"/>
      <c r="CJ23" s="174"/>
      <c r="CK23" s="175"/>
      <c r="CL23" s="9">
        <v>20</v>
      </c>
      <c r="CM23" s="60" t="s">
        <v>77</v>
      </c>
      <c r="CN23" s="53">
        <v>0</v>
      </c>
      <c r="CO23" s="53"/>
      <c r="CP23" s="53">
        <v>0</v>
      </c>
      <c r="CQ23" s="53"/>
      <c r="CR23" s="53">
        <v>0</v>
      </c>
      <c r="CS23" s="63"/>
    </row>
    <row r="24" spans="1:97" s="2" customFormat="1" ht="15" customHeight="1" x14ac:dyDescent="0.2">
      <c r="A24" s="6" t="s">
        <v>25</v>
      </c>
      <c r="B24" s="8">
        <v>19</v>
      </c>
      <c r="C24" s="60" t="s">
        <v>77</v>
      </c>
      <c r="D24" s="187">
        <v>4</v>
      </c>
      <c r="E24" s="187"/>
      <c r="F24" s="187"/>
      <c r="G24" s="187"/>
      <c r="H24" s="187"/>
      <c r="I24" s="188"/>
      <c r="J24" s="6">
        <v>16</v>
      </c>
      <c r="K24" s="60" t="s">
        <v>77</v>
      </c>
      <c r="L24" s="15" t="s">
        <v>35</v>
      </c>
      <c r="M24" s="185">
        <v>8</v>
      </c>
      <c r="N24" s="185"/>
      <c r="O24" s="185"/>
      <c r="P24" s="185"/>
      <c r="Q24" s="186"/>
      <c r="R24" s="18">
        <v>16</v>
      </c>
      <c r="S24" s="60" t="s">
        <v>77</v>
      </c>
      <c r="T24" s="183">
        <v>12</v>
      </c>
      <c r="U24" s="183"/>
      <c r="V24" s="183"/>
      <c r="W24" s="183"/>
      <c r="X24" s="183"/>
      <c r="Y24" s="184"/>
      <c r="Z24" s="18">
        <v>20</v>
      </c>
      <c r="AA24" s="60" t="s">
        <v>77</v>
      </c>
      <c r="AB24" s="15" t="s">
        <v>35</v>
      </c>
      <c r="AC24" s="185">
        <v>17</v>
      </c>
      <c r="AD24" s="185"/>
      <c r="AE24" s="185"/>
      <c r="AF24" s="185"/>
      <c r="AG24" s="186"/>
      <c r="AH24" s="18">
        <v>18</v>
      </c>
      <c r="AI24" s="60" t="s">
        <v>77</v>
      </c>
      <c r="AJ24" s="183">
        <v>21</v>
      </c>
      <c r="AK24" s="183"/>
      <c r="AL24" s="183"/>
      <c r="AM24" s="183"/>
      <c r="AN24" s="183"/>
      <c r="AO24" s="184"/>
      <c r="AP24" s="18">
        <v>15</v>
      </c>
      <c r="AQ24" s="60" t="s">
        <v>77</v>
      </c>
      <c r="AR24" s="183">
        <v>25</v>
      </c>
      <c r="AS24" s="183"/>
      <c r="AT24" s="183"/>
      <c r="AU24" s="183"/>
      <c r="AV24" s="183"/>
      <c r="AW24" s="184"/>
      <c r="AX24" s="18">
        <v>20</v>
      </c>
      <c r="AY24" s="60" t="s">
        <v>77</v>
      </c>
      <c r="AZ24" s="15" t="s">
        <v>35</v>
      </c>
      <c r="BA24" s="37"/>
      <c r="BB24" s="14" t="s">
        <v>35</v>
      </c>
      <c r="BC24" s="37"/>
      <c r="BD24" s="15">
        <v>0</v>
      </c>
      <c r="BE24" s="82"/>
      <c r="BF24" s="21">
        <v>17</v>
      </c>
      <c r="BG24" s="60" t="s">
        <v>77</v>
      </c>
      <c r="BH24" s="183">
        <v>34</v>
      </c>
      <c r="BI24" s="183"/>
      <c r="BJ24" s="183"/>
      <c r="BK24" s="183"/>
      <c r="BL24" s="183"/>
      <c r="BM24" s="184"/>
      <c r="BN24" s="18">
        <v>21</v>
      </c>
      <c r="BO24" s="60" t="s">
        <v>77</v>
      </c>
      <c r="BP24" s="15">
        <v>0</v>
      </c>
      <c r="BQ24" s="37"/>
      <c r="BR24" s="14" t="s">
        <v>35</v>
      </c>
      <c r="BS24" s="37"/>
      <c r="BT24" s="15">
        <v>0</v>
      </c>
      <c r="BU24" s="82"/>
      <c r="BV24" s="18">
        <v>19</v>
      </c>
      <c r="BW24" s="60" t="s">
        <v>77</v>
      </c>
      <c r="BX24" s="183">
        <v>43</v>
      </c>
      <c r="BY24" s="183"/>
      <c r="BZ24" s="183"/>
      <c r="CA24" s="183"/>
      <c r="CB24" s="183"/>
      <c r="CC24" s="184"/>
      <c r="CD24" s="18">
        <v>16</v>
      </c>
      <c r="CE24" s="60" t="s">
        <v>77</v>
      </c>
      <c r="CF24" s="183">
        <v>47</v>
      </c>
      <c r="CG24" s="183"/>
      <c r="CH24" s="183"/>
      <c r="CI24" s="183"/>
      <c r="CJ24" s="183"/>
      <c r="CK24" s="184"/>
      <c r="CL24" s="18">
        <v>21</v>
      </c>
      <c r="CM24" s="60" t="s">
        <v>77</v>
      </c>
      <c r="CN24" s="15" t="s">
        <v>35</v>
      </c>
      <c r="CO24" s="185">
        <v>52</v>
      </c>
      <c r="CP24" s="185"/>
      <c r="CQ24" s="185"/>
      <c r="CR24" s="185"/>
      <c r="CS24" s="186"/>
    </row>
    <row r="25" spans="1:97" s="2" customFormat="1" x14ac:dyDescent="0.2">
      <c r="A25" s="6" t="s">
        <v>6</v>
      </c>
      <c r="B25" s="8">
        <v>20</v>
      </c>
      <c r="C25" s="60" t="s">
        <v>77</v>
      </c>
      <c r="D25" s="15">
        <v>0</v>
      </c>
      <c r="E25" s="37"/>
      <c r="F25" s="14">
        <v>0</v>
      </c>
      <c r="G25" s="37"/>
      <c r="H25" s="15">
        <v>0</v>
      </c>
      <c r="I25" s="37"/>
      <c r="J25" s="6">
        <v>17</v>
      </c>
      <c r="K25" s="60" t="s">
        <v>77</v>
      </c>
      <c r="L25" s="15" t="s">
        <v>35</v>
      </c>
      <c r="M25" s="37"/>
      <c r="N25" s="14">
        <v>0</v>
      </c>
      <c r="O25" s="37"/>
      <c r="P25" s="15">
        <v>0</v>
      </c>
      <c r="Q25" s="37"/>
      <c r="R25" s="6">
        <v>17</v>
      </c>
      <c r="S25" s="60" t="s">
        <v>77</v>
      </c>
      <c r="T25" s="15">
        <v>0</v>
      </c>
      <c r="U25" s="37"/>
      <c r="V25" s="14">
        <v>0</v>
      </c>
      <c r="W25" s="37"/>
      <c r="X25" s="15">
        <v>0</v>
      </c>
      <c r="Y25" s="37"/>
      <c r="Z25" s="6">
        <v>21</v>
      </c>
      <c r="AA25" s="60" t="s">
        <v>77</v>
      </c>
      <c r="AB25" s="15" t="s">
        <v>35</v>
      </c>
      <c r="AC25" s="37"/>
      <c r="AD25" s="14">
        <v>0</v>
      </c>
      <c r="AE25" s="37"/>
      <c r="AF25" s="15">
        <v>0</v>
      </c>
      <c r="AG25" s="37"/>
      <c r="AH25" s="6">
        <v>19</v>
      </c>
      <c r="AI25" s="60" t="s">
        <v>77</v>
      </c>
      <c r="AJ25" s="15">
        <v>0</v>
      </c>
      <c r="AK25" s="37"/>
      <c r="AL25" s="14">
        <v>0</v>
      </c>
      <c r="AM25" s="37"/>
      <c r="AN25" s="15">
        <v>0</v>
      </c>
      <c r="AO25" s="37"/>
      <c r="AP25" s="6">
        <v>16</v>
      </c>
      <c r="AQ25" s="60" t="s">
        <v>77</v>
      </c>
      <c r="AR25" s="15">
        <v>0</v>
      </c>
      <c r="AS25" s="37"/>
      <c r="AT25" s="14">
        <v>0</v>
      </c>
      <c r="AU25" s="37"/>
      <c r="AV25" s="15">
        <v>0</v>
      </c>
      <c r="AW25" s="37"/>
      <c r="AX25" s="6">
        <v>21</v>
      </c>
      <c r="AY25" s="60" t="s">
        <v>77</v>
      </c>
      <c r="AZ25" s="15" t="s">
        <v>35</v>
      </c>
      <c r="BA25" s="37"/>
      <c r="BB25" s="14" t="s">
        <v>35</v>
      </c>
      <c r="BC25" s="37"/>
      <c r="BD25" s="15">
        <v>0</v>
      </c>
      <c r="BE25" s="37"/>
      <c r="BF25" s="21">
        <v>18</v>
      </c>
      <c r="BG25" s="60" t="s">
        <v>77</v>
      </c>
      <c r="BH25" s="15">
        <v>0</v>
      </c>
      <c r="BI25" s="37"/>
      <c r="BJ25" s="14">
        <v>0</v>
      </c>
      <c r="BK25" s="37"/>
      <c r="BL25" s="15">
        <v>0</v>
      </c>
      <c r="BM25" s="37"/>
      <c r="BN25" s="6">
        <v>22</v>
      </c>
      <c r="BO25" s="60" t="s">
        <v>77</v>
      </c>
      <c r="BP25" s="15">
        <v>0</v>
      </c>
      <c r="BQ25" s="37"/>
      <c r="BR25" s="14" t="s">
        <v>35</v>
      </c>
      <c r="BS25" s="37"/>
      <c r="BT25" s="15">
        <v>0</v>
      </c>
      <c r="BU25" s="37"/>
      <c r="BV25" s="6">
        <v>20</v>
      </c>
      <c r="BW25" s="60" t="s">
        <v>77</v>
      </c>
      <c r="BX25" s="15">
        <v>0</v>
      </c>
      <c r="BY25" s="37"/>
      <c r="BZ25" s="14">
        <v>0</v>
      </c>
      <c r="CA25" s="37"/>
      <c r="CB25" s="15">
        <v>0</v>
      </c>
      <c r="CC25" s="37"/>
      <c r="CD25" s="6">
        <v>17</v>
      </c>
      <c r="CE25" s="60" t="s">
        <v>77</v>
      </c>
      <c r="CF25" s="15">
        <v>0</v>
      </c>
      <c r="CG25" s="37"/>
      <c r="CH25" s="14">
        <v>0</v>
      </c>
      <c r="CI25" s="37"/>
      <c r="CJ25" s="15">
        <v>0</v>
      </c>
      <c r="CK25" s="37"/>
      <c r="CL25" s="6">
        <v>22</v>
      </c>
      <c r="CM25" s="60" t="s">
        <v>77</v>
      </c>
      <c r="CN25" s="15" t="s">
        <v>35</v>
      </c>
      <c r="CO25" s="37"/>
      <c r="CP25" s="14">
        <v>0</v>
      </c>
      <c r="CQ25" s="37"/>
      <c r="CR25" s="15">
        <v>0</v>
      </c>
      <c r="CS25" s="62"/>
    </row>
    <row r="26" spans="1:97" s="2" customFormat="1" x14ac:dyDescent="0.2">
      <c r="A26" s="6" t="s">
        <v>7</v>
      </c>
      <c r="B26" s="8">
        <v>21</v>
      </c>
      <c r="C26" s="60" t="s">
        <v>77</v>
      </c>
      <c r="D26" s="15">
        <v>0</v>
      </c>
      <c r="E26" s="37"/>
      <c r="F26" s="14">
        <v>0</v>
      </c>
      <c r="G26" s="37"/>
      <c r="H26" s="15">
        <v>0</v>
      </c>
      <c r="I26" s="37"/>
      <c r="J26" s="6">
        <v>18</v>
      </c>
      <c r="K26" s="60" t="s">
        <v>26</v>
      </c>
      <c r="L26" s="15" t="s">
        <v>35</v>
      </c>
      <c r="M26" s="37"/>
      <c r="N26" s="14">
        <v>0</v>
      </c>
      <c r="O26" s="37"/>
      <c r="P26" s="15">
        <v>0</v>
      </c>
      <c r="Q26" s="37"/>
      <c r="R26" s="6">
        <v>18</v>
      </c>
      <c r="S26" s="60" t="s">
        <v>77</v>
      </c>
      <c r="T26" s="15">
        <v>0</v>
      </c>
      <c r="U26" s="37"/>
      <c r="V26" s="14">
        <v>0</v>
      </c>
      <c r="W26" s="37"/>
      <c r="X26" s="15">
        <v>0</v>
      </c>
      <c r="Y26" s="37"/>
      <c r="Z26" s="6">
        <v>22</v>
      </c>
      <c r="AA26" s="60" t="s">
        <v>77</v>
      </c>
      <c r="AB26" s="15" t="s">
        <v>35</v>
      </c>
      <c r="AC26" s="37"/>
      <c r="AD26" s="14">
        <v>0</v>
      </c>
      <c r="AE26" s="37"/>
      <c r="AF26" s="15">
        <v>0</v>
      </c>
      <c r="AG26" s="37"/>
      <c r="AH26" s="6">
        <v>20</v>
      </c>
      <c r="AI26" s="60" t="s">
        <v>77</v>
      </c>
      <c r="AJ26" s="15">
        <v>0</v>
      </c>
      <c r="AK26" s="37"/>
      <c r="AL26" s="14">
        <v>0</v>
      </c>
      <c r="AM26" s="37"/>
      <c r="AN26" s="15">
        <v>0</v>
      </c>
      <c r="AO26" s="37"/>
      <c r="AP26" s="6">
        <v>17</v>
      </c>
      <c r="AQ26" s="60" t="s">
        <v>77</v>
      </c>
      <c r="AR26" s="15">
        <v>0</v>
      </c>
      <c r="AS26" s="37"/>
      <c r="AT26" s="14">
        <v>0</v>
      </c>
      <c r="AU26" s="37"/>
      <c r="AV26" s="15">
        <v>0</v>
      </c>
      <c r="AW26" s="37"/>
      <c r="AX26" s="6">
        <v>22</v>
      </c>
      <c r="AY26" s="60" t="s">
        <v>77</v>
      </c>
      <c r="AZ26" s="15" t="s">
        <v>35</v>
      </c>
      <c r="BA26" s="37"/>
      <c r="BB26" s="14" t="s">
        <v>35</v>
      </c>
      <c r="BC26" s="37"/>
      <c r="BD26" s="15">
        <v>0</v>
      </c>
      <c r="BE26" s="37"/>
      <c r="BF26" s="21">
        <v>19</v>
      </c>
      <c r="BG26" s="60" t="s">
        <v>77</v>
      </c>
      <c r="BH26" s="15">
        <v>0</v>
      </c>
      <c r="BI26" s="37"/>
      <c r="BJ26" s="14">
        <v>0</v>
      </c>
      <c r="BK26" s="37"/>
      <c r="BL26" s="15">
        <v>0</v>
      </c>
      <c r="BM26" s="37"/>
      <c r="BN26" s="6">
        <v>23</v>
      </c>
      <c r="BO26" s="60" t="s">
        <v>77</v>
      </c>
      <c r="BP26" s="15">
        <v>0</v>
      </c>
      <c r="BQ26" s="37"/>
      <c r="BR26" s="14" t="s">
        <v>35</v>
      </c>
      <c r="BS26" s="37"/>
      <c r="BT26" s="15">
        <v>0</v>
      </c>
      <c r="BU26" s="37"/>
      <c r="BV26" s="6">
        <v>21</v>
      </c>
      <c r="BW26" s="60" t="s">
        <v>77</v>
      </c>
      <c r="BX26" s="15">
        <v>0</v>
      </c>
      <c r="BY26" s="37"/>
      <c r="BZ26" s="14">
        <v>0</v>
      </c>
      <c r="CA26" s="37"/>
      <c r="CB26" s="15">
        <v>0</v>
      </c>
      <c r="CC26" s="37"/>
      <c r="CD26" s="6">
        <v>18</v>
      </c>
      <c r="CE26" s="60" t="s">
        <v>77</v>
      </c>
      <c r="CF26" s="15">
        <v>0</v>
      </c>
      <c r="CG26" s="37"/>
      <c r="CH26" s="14">
        <v>0</v>
      </c>
      <c r="CI26" s="37"/>
      <c r="CJ26" s="15">
        <v>0</v>
      </c>
      <c r="CK26" s="37"/>
      <c r="CL26" s="6">
        <v>23</v>
      </c>
      <c r="CM26" s="60" t="s">
        <v>77</v>
      </c>
      <c r="CN26" s="15" t="s">
        <v>35</v>
      </c>
      <c r="CO26" s="37"/>
      <c r="CP26" s="14">
        <v>0</v>
      </c>
      <c r="CQ26" s="37"/>
      <c r="CR26" s="15">
        <v>0</v>
      </c>
      <c r="CS26" s="62"/>
    </row>
    <row r="27" spans="1:97" s="2" customFormat="1" x14ac:dyDescent="0.2">
      <c r="A27" s="6" t="s">
        <v>8</v>
      </c>
      <c r="B27" s="8">
        <v>22</v>
      </c>
      <c r="C27" s="60" t="s">
        <v>77</v>
      </c>
      <c r="D27" s="15">
        <v>0</v>
      </c>
      <c r="E27" s="37"/>
      <c r="F27" s="14">
        <v>0</v>
      </c>
      <c r="G27" s="37"/>
      <c r="H27" s="15">
        <v>0</v>
      </c>
      <c r="I27" s="37"/>
      <c r="J27" s="6">
        <v>19</v>
      </c>
      <c r="K27" s="60" t="s">
        <v>77</v>
      </c>
      <c r="L27" s="15" t="s">
        <v>35</v>
      </c>
      <c r="M27" s="37"/>
      <c r="N27" s="14">
        <v>0</v>
      </c>
      <c r="O27" s="37"/>
      <c r="P27" s="15">
        <v>0</v>
      </c>
      <c r="Q27" s="37"/>
      <c r="R27" s="6">
        <v>19</v>
      </c>
      <c r="S27" s="60" t="s">
        <v>77</v>
      </c>
      <c r="T27" s="15">
        <v>0</v>
      </c>
      <c r="U27" s="37"/>
      <c r="V27" s="14">
        <v>0</v>
      </c>
      <c r="W27" s="37"/>
      <c r="X27" s="15">
        <v>0</v>
      </c>
      <c r="Y27" s="37"/>
      <c r="Z27" s="6">
        <v>23</v>
      </c>
      <c r="AA27" s="60" t="s">
        <v>56</v>
      </c>
      <c r="AB27" s="15" t="s">
        <v>35</v>
      </c>
      <c r="AC27" s="37"/>
      <c r="AD27" s="14">
        <v>0</v>
      </c>
      <c r="AE27" s="37"/>
      <c r="AF27" s="15">
        <v>0</v>
      </c>
      <c r="AG27" s="37"/>
      <c r="AH27" s="6">
        <v>21</v>
      </c>
      <c r="AI27" s="60" t="s">
        <v>56</v>
      </c>
      <c r="AJ27" s="15">
        <v>0</v>
      </c>
      <c r="AK27" s="37"/>
      <c r="AL27" s="14">
        <v>0</v>
      </c>
      <c r="AM27" s="37"/>
      <c r="AN27" s="15">
        <v>0</v>
      </c>
      <c r="AO27" s="37"/>
      <c r="AP27" s="6">
        <v>18</v>
      </c>
      <c r="AQ27" s="60" t="s">
        <v>56</v>
      </c>
      <c r="AR27" s="15">
        <v>0</v>
      </c>
      <c r="AS27" s="37"/>
      <c r="AT27" s="14">
        <v>0</v>
      </c>
      <c r="AU27" s="37"/>
      <c r="AV27" s="15">
        <v>0</v>
      </c>
      <c r="AW27" s="37"/>
      <c r="AX27" s="6">
        <v>23</v>
      </c>
      <c r="AY27" s="60" t="s">
        <v>77</v>
      </c>
      <c r="AZ27" s="15" t="s">
        <v>35</v>
      </c>
      <c r="BA27" s="37"/>
      <c r="BB27" s="14" t="s">
        <v>35</v>
      </c>
      <c r="BC27" s="37"/>
      <c r="BD27" s="15">
        <v>0</v>
      </c>
      <c r="BE27" s="37"/>
      <c r="BF27" s="21">
        <v>20</v>
      </c>
      <c r="BG27" s="60" t="s">
        <v>56</v>
      </c>
      <c r="BH27" s="15">
        <v>0</v>
      </c>
      <c r="BI27" s="37"/>
      <c r="BJ27" s="14">
        <v>0</v>
      </c>
      <c r="BK27" s="37"/>
      <c r="BL27" s="15">
        <v>0</v>
      </c>
      <c r="BM27" s="37"/>
      <c r="BN27" s="6">
        <v>24</v>
      </c>
      <c r="BO27" s="60" t="s">
        <v>77</v>
      </c>
      <c r="BP27" s="15">
        <v>0</v>
      </c>
      <c r="BQ27" s="37"/>
      <c r="BR27" s="14" t="s">
        <v>35</v>
      </c>
      <c r="BS27" s="37"/>
      <c r="BT27" s="15">
        <v>0</v>
      </c>
      <c r="BU27" s="37"/>
      <c r="BV27" s="6">
        <v>22</v>
      </c>
      <c r="BW27" s="60" t="s">
        <v>56</v>
      </c>
      <c r="BX27" s="15">
        <v>0</v>
      </c>
      <c r="BY27" s="37"/>
      <c r="BZ27" s="14">
        <v>0</v>
      </c>
      <c r="CA27" s="37"/>
      <c r="CB27" s="15">
        <v>0</v>
      </c>
      <c r="CC27" s="37"/>
      <c r="CD27" s="6">
        <v>19</v>
      </c>
      <c r="CE27" s="60" t="s">
        <v>77</v>
      </c>
      <c r="CF27" s="15">
        <v>0</v>
      </c>
      <c r="CG27" s="37"/>
      <c r="CH27" s="14">
        <v>0</v>
      </c>
      <c r="CI27" s="37"/>
      <c r="CJ27" s="15">
        <v>0</v>
      </c>
      <c r="CK27" s="37"/>
      <c r="CL27" s="6">
        <v>24</v>
      </c>
      <c r="CM27" s="60" t="s">
        <v>50</v>
      </c>
      <c r="CN27" s="15" t="s">
        <v>35</v>
      </c>
      <c r="CO27" s="37"/>
      <c r="CP27" s="14">
        <v>0</v>
      </c>
      <c r="CQ27" s="37"/>
      <c r="CR27" s="15">
        <v>0</v>
      </c>
      <c r="CS27" s="62"/>
    </row>
    <row r="28" spans="1:97" s="2" customFormat="1" x14ac:dyDescent="0.2">
      <c r="A28" s="6" t="s">
        <v>3</v>
      </c>
      <c r="B28" s="8">
        <v>23</v>
      </c>
      <c r="C28" s="60" t="s">
        <v>77</v>
      </c>
      <c r="D28" s="15">
        <v>0</v>
      </c>
      <c r="E28" s="37"/>
      <c r="F28" s="14">
        <v>0</v>
      </c>
      <c r="G28" s="37"/>
      <c r="H28" s="15">
        <v>0</v>
      </c>
      <c r="I28" s="37"/>
      <c r="J28" s="6">
        <v>20</v>
      </c>
      <c r="K28" s="60" t="s">
        <v>77</v>
      </c>
      <c r="L28" s="15" t="s">
        <v>35</v>
      </c>
      <c r="M28" s="37"/>
      <c r="N28" s="14">
        <v>0</v>
      </c>
      <c r="O28" s="37"/>
      <c r="P28" s="15">
        <v>0</v>
      </c>
      <c r="Q28" s="37"/>
      <c r="R28" s="6">
        <v>20</v>
      </c>
      <c r="S28" s="60" t="s">
        <v>77</v>
      </c>
      <c r="T28" s="15">
        <v>0</v>
      </c>
      <c r="U28" s="37"/>
      <c r="V28" s="14">
        <v>0</v>
      </c>
      <c r="W28" s="37"/>
      <c r="X28" s="15">
        <v>0</v>
      </c>
      <c r="Y28" s="37"/>
      <c r="Z28" s="6">
        <v>24</v>
      </c>
      <c r="AA28" s="60" t="s">
        <v>77</v>
      </c>
      <c r="AB28" s="15" t="s">
        <v>35</v>
      </c>
      <c r="AC28" s="37"/>
      <c r="AD28" s="14">
        <v>0</v>
      </c>
      <c r="AE28" s="37"/>
      <c r="AF28" s="15">
        <v>0</v>
      </c>
      <c r="AG28" s="37"/>
      <c r="AH28" s="6">
        <v>22</v>
      </c>
      <c r="AI28" s="60" t="s">
        <v>77</v>
      </c>
      <c r="AJ28" s="15">
        <v>0</v>
      </c>
      <c r="AK28" s="37"/>
      <c r="AL28" s="14">
        <v>0</v>
      </c>
      <c r="AM28" s="37"/>
      <c r="AN28" s="15">
        <v>0</v>
      </c>
      <c r="AO28" s="37"/>
      <c r="AP28" s="6">
        <v>19</v>
      </c>
      <c r="AQ28" s="60" t="s">
        <v>77</v>
      </c>
      <c r="AR28" s="15">
        <v>0</v>
      </c>
      <c r="AS28" s="37"/>
      <c r="AT28" s="14">
        <v>0</v>
      </c>
      <c r="AU28" s="37"/>
      <c r="AV28" s="15">
        <v>0</v>
      </c>
      <c r="AW28" s="37"/>
      <c r="AX28" s="6">
        <v>24</v>
      </c>
      <c r="AY28" s="60" t="s">
        <v>77</v>
      </c>
      <c r="AZ28" s="15" t="s">
        <v>35</v>
      </c>
      <c r="BA28" s="37"/>
      <c r="BB28" s="14" t="s">
        <v>35</v>
      </c>
      <c r="BC28" s="37"/>
      <c r="BD28" s="15">
        <v>0</v>
      </c>
      <c r="BE28" s="37"/>
      <c r="BF28" s="21">
        <v>21</v>
      </c>
      <c r="BG28" s="60" t="s">
        <v>77</v>
      </c>
      <c r="BH28" s="15">
        <v>0</v>
      </c>
      <c r="BI28" s="37"/>
      <c r="BJ28" s="14">
        <v>0</v>
      </c>
      <c r="BK28" s="37"/>
      <c r="BL28" s="15">
        <v>0</v>
      </c>
      <c r="BM28" s="37"/>
      <c r="BN28" s="6">
        <v>25</v>
      </c>
      <c r="BO28" s="60" t="s">
        <v>77</v>
      </c>
      <c r="BP28" s="15">
        <v>0</v>
      </c>
      <c r="BQ28" s="37"/>
      <c r="BR28" s="14" t="s">
        <v>35</v>
      </c>
      <c r="BS28" s="37"/>
      <c r="BT28" s="15">
        <v>0</v>
      </c>
      <c r="BU28" s="37"/>
      <c r="BV28" s="6">
        <v>23</v>
      </c>
      <c r="BW28" s="60" t="s">
        <v>77</v>
      </c>
      <c r="BX28" s="15">
        <v>0</v>
      </c>
      <c r="BY28" s="37"/>
      <c r="BZ28" s="14">
        <v>0</v>
      </c>
      <c r="CA28" s="37"/>
      <c r="CB28" s="15">
        <v>0</v>
      </c>
      <c r="CC28" s="37"/>
      <c r="CD28" s="6">
        <v>20</v>
      </c>
      <c r="CE28" s="60" t="s">
        <v>77</v>
      </c>
      <c r="CF28" s="15">
        <v>0</v>
      </c>
      <c r="CG28" s="37"/>
      <c r="CH28" s="14">
        <v>0</v>
      </c>
      <c r="CI28" s="37"/>
      <c r="CJ28" s="15">
        <v>0</v>
      </c>
      <c r="CK28" s="37"/>
      <c r="CL28" s="6">
        <v>25</v>
      </c>
      <c r="CM28" s="60" t="s">
        <v>23</v>
      </c>
      <c r="CN28" s="15" t="s">
        <v>35</v>
      </c>
      <c r="CO28" s="37"/>
      <c r="CP28" s="14" t="s">
        <v>35</v>
      </c>
      <c r="CQ28" s="37"/>
      <c r="CR28" s="15">
        <v>0</v>
      </c>
      <c r="CS28" s="62"/>
    </row>
    <row r="29" spans="1:97" s="2" customFormat="1" ht="12.75" customHeight="1" x14ac:dyDescent="0.2">
      <c r="A29" s="9" t="s">
        <v>4</v>
      </c>
      <c r="B29" s="10">
        <v>24</v>
      </c>
      <c r="C29" s="60" t="s">
        <v>59</v>
      </c>
      <c r="D29" s="53">
        <v>0</v>
      </c>
      <c r="E29" s="53"/>
      <c r="F29" s="53">
        <v>0</v>
      </c>
      <c r="G29" s="53"/>
      <c r="H29" s="53">
        <v>0</v>
      </c>
      <c r="I29" s="53"/>
      <c r="J29" s="51">
        <v>21</v>
      </c>
      <c r="K29" s="60" t="s">
        <v>57</v>
      </c>
      <c r="L29" s="53" t="s">
        <v>35</v>
      </c>
      <c r="M29" s="53"/>
      <c r="N29" s="53">
        <v>0</v>
      </c>
      <c r="O29" s="53"/>
      <c r="P29" s="53">
        <v>0</v>
      </c>
      <c r="Q29" s="53"/>
      <c r="R29" s="9">
        <v>21</v>
      </c>
      <c r="S29" s="60" t="s">
        <v>61</v>
      </c>
      <c r="T29" s="53">
        <v>0</v>
      </c>
      <c r="U29" s="53"/>
      <c r="V29" s="53">
        <v>0</v>
      </c>
      <c r="W29" s="53"/>
      <c r="X29" s="53">
        <v>0</v>
      </c>
      <c r="Y29" s="53"/>
      <c r="Z29" s="9">
        <v>25</v>
      </c>
      <c r="AA29" s="60" t="s">
        <v>77</v>
      </c>
      <c r="AB29" s="53" t="s">
        <v>35</v>
      </c>
      <c r="AC29" s="53"/>
      <c r="AD29" s="53">
        <v>0</v>
      </c>
      <c r="AE29" s="53"/>
      <c r="AF29" s="53">
        <v>0</v>
      </c>
      <c r="AG29" s="53"/>
      <c r="AH29" s="9">
        <v>23</v>
      </c>
      <c r="AI29" s="60" t="s">
        <v>77</v>
      </c>
      <c r="AJ29" s="53">
        <v>0</v>
      </c>
      <c r="AK29" s="53"/>
      <c r="AL29" s="53">
        <v>0</v>
      </c>
      <c r="AM29" s="53"/>
      <c r="AN29" s="53">
        <v>0</v>
      </c>
      <c r="AO29" s="53"/>
      <c r="AP29" s="9">
        <v>20</v>
      </c>
      <c r="AQ29" s="60" t="s">
        <v>77</v>
      </c>
      <c r="AR29" s="53">
        <v>0</v>
      </c>
      <c r="AS29" s="53"/>
      <c r="AT29" s="53">
        <v>0</v>
      </c>
      <c r="AU29" s="53"/>
      <c r="AV29" s="53">
        <v>0</v>
      </c>
      <c r="AW29" s="53"/>
      <c r="AX29" s="9">
        <v>25</v>
      </c>
      <c r="AY29" s="60" t="s">
        <v>77</v>
      </c>
      <c r="AZ29" s="53" t="s">
        <v>35</v>
      </c>
      <c r="BA29" s="53"/>
      <c r="BB29" s="53" t="s">
        <v>35</v>
      </c>
      <c r="BC29" s="53"/>
      <c r="BD29" s="53">
        <v>0</v>
      </c>
      <c r="BE29" s="53"/>
      <c r="BF29" s="22">
        <v>22</v>
      </c>
      <c r="BG29" s="60" t="s">
        <v>77</v>
      </c>
      <c r="BH29" s="53">
        <v>0</v>
      </c>
      <c r="BI29" s="53"/>
      <c r="BJ29" s="53">
        <v>0</v>
      </c>
      <c r="BK29" s="53"/>
      <c r="BL29" s="53">
        <v>0</v>
      </c>
      <c r="BM29" s="53"/>
      <c r="BN29" s="9">
        <v>26</v>
      </c>
      <c r="BO29" s="60" t="s">
        <v>77</v>
      </c>
      <c r="BP29" s="53">
        <v>0</v>
      </c>
      <c r="BQ29" s="53"/>
      <c r="BR29" s="53" t="s">
        <v>35</v>
      </c>
      <c r="BS29" s="53"/>
      <c r="BT29" s="53">
        <v>0</v>
      </c>
      <c r="BU29" s="53"/>
      <c r="BV29" s="9">
        <v>24</v>
      </c>
      <c r="BW29" s="60" t="s">
        <v>51</v>
      </c>
      <c r="BX29" s="53">
        <v>0</v>
      </c>
      <c r="BY29" s="53"/>
      <c r="BZ29" s="53">
        <v>0</v>
      </c>
      <c r="CA29" s="53"/>
      <c r="CB29" s="53">
        <v>0</v>
      </c>
      <c r="CC29" s="53"/>
      <c r="CD29" s="9">
        <v>21</v>
      </c>
      <c r="CE29" s="60" t="s">
        <v>57</v>
      </c>
      <c r="CF29" s="53">
        <v>0</v>
      </c>
      <c r="CG29" s="53"/>
      <c r="CH29" s="53">
        <v>0</v>
      </c>
      <c r="CI29" s="53"/>
      <c r="CJ29" s="53">
        <v>0</v>
      </c>
      <c r="CK29" s="53"/>
      <c r="CL29" s="9">
        <v>26</v>
      </c>
      <c r="CM29" s="60" t="s">
        <v>24</v>
      </c>
      <c r="CN29" s="53" t="s">
        <v>35</v>
      </c>
      <c r="CO29" s="53"/>
      <c r="CP29" s="53" t="s">
        <v>35</v>
      </c>
      <c r="CQ29" s="53"/>
      <c r="CR29" s="53">
        <v>0</v>
      </c>
      <c r="CS29" s="63"/>
    </row>
    <row r="30" spans="1:97" s="2" customFormat="1" x14ac:dyDescent="0.2">
      <c r="A30" s="9" t="s">
        <v>5</v>
      </c>
      <c r="B30" s="10">
        <v>25</v>
      </c>
      <c r="C30" s="60" t="s">
        <v>77</v>
      </c>
      <c r="D30" s="53">
        <v>0</v>
      </c>
      <c r="E30" s="53"/>
      <c r="F30" s="53">
        <v>0</v>
      </c>
      <c r="G30" s="53"/>
      <c r="H30" s="53">
        <v>0</v>
      </c>
      <c r="I30" s="53"/>
      <c r="J30" s="51">
        <v>22</v>
      </c>
      <c r="K30" s="60" t="s">
        <v>77</v>
      </c>
      <c r="L30" s="53">
        <v>0</v>
      </c>
      <c r="M30" s="53"/>
      <c r="N30" s="53">
        <v>0</v>
      </c>
      <c r="O30" s="53"/>
      <c r="P30" s="53">
        <v>0</v>
      </c>
      <c r="Q30" s="53"/>
      <c r="R30" s="9">
        <v>22</v>
      </c>
      <c r="S30" s="60" t="s">
        <v>77</v>
      </c>
      <c r="T30" s="53">
        <v>0</v>
      </c>
      <c r="U30" s="53"/>
      <c r="V30" s="53">
        <v>0</v>
      </c>
      <c r="W30" s="53"/>
      <c r="X30" s="53">
        <v>0</v>
      </c>
      <c r="Y30" s="53"/>
      <c r="Z30" s="9">
        <v>26</v>
      </c>
      <c r="AA30" s="60" t="s">
        <v>77</v>
      </c>
      <c r="AB30" s="53" t="s">
        <v>35</v>
      </c>
      <c r="AC30" s="53"/>
      <c r="AD30" s="53">
        <v>0</v>
      </c>
      <c r="AE30" s="53"/>
      <c r="AF30" s="53">
        <v>0</v>
      </c>
      <c r="AG30" s="53"/>
      <c r="AH30" s="9">
        <v>24</v>
      </c>
      <c r="AI30" s="60" t="s">
        <v>53</v>
      </c>
      <c r="AJ30" s="53">
        <v>0</v>
      </c>
      <c r="AK30" s="53"/>
      <c r="AL30" s="53">
        <v>0</v>
      </c>
      <c r="AM30" s="53"/>
      <c r="AN30" s="53">
        <v>0</v>
      </c>
      <c r="AO30" s="53"/>
      <c r="AP30" s="9">
        <v>21</v>
      </c>
      <c r="AQ30" s="60" t="s">
        <v>77</v>
      </c>
      <c r="AR30" s="53">
        <v>0</v>
      </c>
      <c r="AS30" s="53"/>
      <c r="AT30" s="53">
        <v>0</v>
      </c>
      <c r="AU30" s="53"/>
      <c r="AV30" s="53">
        <v>0</v>
      </c>
      <c r="AW30" s="53"/>
      <c r="AX30" s="9">
        <v>26</v>
      </c>
      <c r="AY30" s="60" t="s">
        <v>77</v>
      </c>
      <c r="AZ30" s="53" t="s">
        <v>35</v>
      </c>
      <c r="BA30" s="53"/>
      <c r="BB30" s="53" t="s">
        <v>35</v>
      </c>
      <c r="BC30" s="53"/>
      <c r="BD30" s="53">
        <v>0</v>
      </c>
      <c r="BE30" s="53"/>
      <c r="BF30" s="9">
        <v>23</v>
      </c>
      <c r="BG30" s="60" t="s">
        <v>77</v>
      </c>
      <c r="BH30" s="53">
        <v>0</v>
      </c>
      <c r="BI30" s="53"/>
      <c r="BJ30" s="53">
        <v>0</v>
      </c>
      <c r="BK30" s="53"/>
      <c r="BL30" s="53">
        <v>0</v>
      </c>
      <c r="BM30" s="53"/>
      <c r="BN30" s="9">
        <v>27</v>
      </c>
      <c r="BO30" s="60" t="s">
        <v>77</v>
      </c>
      <c r="BP30" s="53">
        <v>0</v>
      </c>
      <c r="BQ30" s="53"/>
      <c r="BR30" s="53" t="s">
        <v>35</v>
      </c>
      <c r="BS30" s="53"/>
      <c r="BT30" s="53">
        <v>0</v>
      </c>
      <c r="BU30" s="53"/>
      <c r="BV30" s="9">
        <v>25</v>
      </c>
      <c r="BW30" s="60" t="s">
        <v>51</v>
      </c>
      <c r="BX30" s="53">
        <v>0</v>
      </c>
      <c r="BY30" s="53"/>
      <c r="BZ30" s="53">
        <v>0</v>
      </c>
      <c r="CA30" s="53"/>
      <c r="CB30" s="53">
        <v>0</v>
      </c>
      <c r="CC30" s="53"/>
      <c r="CD30" s="9">
        <v>22</v>
      </c>
      <c r="CE30" s="60" t="s">
        <v>77</v>
      </c>
      <c r="CF30" s="53">
        <v>0</v>
      </c>
      <c r="CG30" s="53"/>
      <c r="CH30" s="53">
        <v>0</v>
      </c>
      <c r="CI30" s="53"/>
      <c r="CJ30" s="53">
        <v>0</v>
      </c>
      <c r="CK30" s="53"/>
      <c r="CL30" s="9">
        <v>27</v>
      </c>
      <c r="CM30" s="60" t="s">
        <v>77</v>
      </c>
      <c r="CN30" s="53" t="s">
        <v>35</v>
      </c>
      <c r="CO30" s="53"/>
      <c r="CP30" s="53" t="s">
        <v>35</v>
      </c>
      <c r="CQ30" s="53"/>
      <c r="CR30" s="53">
        <v>0</v>
      </c>
      <c r="CS30" s="63"/>
    </row>
    <row r="31" spans="1:97" s="2" customFormat="1" ht="15" customHeight="1" x14ac:dyDescent="0.2">
      <c r="A31" s="6" t="s">
        <v>25</v>
      </c>
      <c r="B31" s="8">
        <v>26</v>
      </c>
      <c r="C31" s="60" t="s">
        <v>77</v>
      </c>
      <c r="D31" s="187">
        <v>5</v>
      </c>
      <c r="E31" s="187"/>
      <c r="F31" s="187"/>
      <c r="G31" s="187"/>
      <c r="H31" s="187"/>
      <c r="I31" s="188"/>
      <c r="J31" s="18">
        <v>23</v>
      </c>
      <c r="K31" s="60" t="s">
        <v>77</v>
      </c>
      <c r="L31" s="187">
        <v>9</v>
      </c>
      <c r="M31" s="187"/>
      <c r="N31" s="187"/>
      <c r="O31" s="187"/>
      <c r="P31" s="187"/>
      <c r="Q31" s="188"/>
      <c r="R31" s="18">
        <v>23</v>
      </c>
      <c r="S31" s="60" t="s">
        <v>77</v>
      </c>
      <c r="T31" s="183">
        <v>13</v>
      </c>
      <c r="U31" s="183"/>
      <c r="V31" s="183"/>
      <c r="W31" s="183"/>
      <c r="X31" s="183"/>
      <c r="Y31" s="184"/>
      <c r="Z31" s="18">
        <v>27</v>
      </c>
      <c r="AA31" s="60" t="s">
        <v>77</v>
      </c>
      <c r="AB31" s="15" t="s">
        <v>35</v>
      </c>
      <c r="AC31" s="185">
        <v>18</v>
      </c>
      <c r="AD31" s="185"/>
      <c r="AE31" s="185"/>
      <c r="AF31" s="185"/>
      <c r="AG31" s="186"/>
      <c r="AH31" s="18">
        <v>25</v>
      </c>
      <c r="AI31" s="60" t="s">
        <v>16</v>
      </c>
      <c r="AJ31" s="183">
        <v>22</v>
      </c>
      <c r="AK31" s="183"/>
      <c r="AL31" s="183"/>
      <c r="AM31" s="183"/>
      <c r="AN31" s="183"/>
      <c r="AO31" s="184"/>
      <c r="AP31" s="18">
        <v>22</v>
      </c>
      <c r="AQ31" s="60" t="s">
        <v>77</v>
      </c>
      <c r="AR31" s="183">
        <v>26</v>
      </c>
      <c r="AS31" s="183"/>
      <c r="AT31" s="183"/>
      <c r="AU31" s="183"/>
      <c r="AV31" s="183"/>
      <c r="AW31" s="184"/>
      <c r="AX31" s="18">
        <v>27</v>
      </c>
      <c r="AY31" s="60" t="s">
        <v>77</v>
      </c>
      <c r="AZ31" s="15" t="s">
        <v>35</v>
      </c>
      <c r="BA31" s="37"/>
      <c r="BB31" s="14" t="s">
        <v>35</v>
      </c>
      <c r="BC31" s="37"/>
      <c r="BD31" s="15">
        <v>0</v>
      </c>
      <c r="BE31" s="82"/>
      <c r="BF31" s="21">
        <v>24</v>
      </c>
      <c r="BG31" s="60" t="s">
        <v>77</v>
      </c>
      <c r="BH31" s="183">
        <v>35</v>
      </c>
      <c r="BI31" s="183"/>
      <c r="BJ31" s="183"/>
      <c r="BK31" s="183"/>
      <c r="BL31" s="183"/>
      <c r="BM31" s="184"/>
      <c r="BN31" s="18">
        <v>28</v>
      </c>
      <c r="BO31" s="60" t="s">
        <v>77</v>
      </c>
      <c r="BP31" s="15">
        <v>0</v>
      </c>
      <c r="BQ31" s="37"/>
      <c r="BR31" s="14" t="s">
        <v>35</v>
      </c>
      <c r="BS31" s="37"/>
      <c r="BT31" s="15">
        <v>0</v>
      </c>
      <c r="BU31" s="82"/>
      <c r="BV31" s="18">
        <v>26</v>
      </c>
      <c r="BW31" s="60" t="s">
        <v>77</v>
      </c>
      <c r="BX31" s="183">
        <v>44</v>
      </c>
      <c r="BY31" s="183"/>
      <c r="BZ31" s="183"/>
      <c r="CA31" s="183"/>
      <c r="CB31" s="183"/>
      <c r="CC31" s="184"/>
      <c r="CD31" s="18">
        <v>23</v>
      </c>
      <c r="CE31" s="60" t="s">
        <v>77</v>
      </c>
      <c r="CF31" s="183">
        <v>48</v>
      </c>
      <c r="CG31" s="183"/>
      <c r="CH31" s="183"/>
      <c r="CI31" s="183"/>
      <c r="CJ31" s="183"/>
      <c r="CK31" s="184"/>
      <c r="CL31" s="18">
        <v>28</v>
      </c>
      <c r="CM31" s="60" t="s">
        <v>77</v>
      </c>
      <c r="CN31" s="15" t="s">
        <v>35</v>
      </c>
      <c r="CO31" s="37"/>
      <c r="CP31" s="14" t="s">
        <v>35</v>
      </c>
      <c r="CQ31" s="37"/>
      <c r="CR31" s="15">
        <v>0</v>
      </c>
      <c r="CS31" s="82"/>
    </row>
    <row r="32" spans="1:97" s="2" customFormat="1" x14ac:dyDescent="0.2">
      <c r="A32" s="6" t="s">
        <v>6</v>
      </c>
      <c r="B32" s="8">
        <v>27</v>
      </c>
      <c r="C32" s="60" t="s">
        <v>77</v>
      </c>
      <c r="D32" s="15">
        <v>0</v>
      </c>
      <c r="E32" s="37"/>
      <c r="F32" s="14">
        <v>0</v>
      </c>
      <c r="G32" s="37"/>
      <c r="H32" s="15">
        <v>0</v>
      </c>
      <c r="I32" s="37"/>
      <c r="J32" s="6">
        <v>24</v>
      </c>
      <c r="K32" s="60" t="s">
        <v>77</v>
      </c>
      <c r="L32" s="15">
        <v>0</v>
      </c>
      <c r="M32" s="37"/>
      <c r="N32" s="14">
        <v>0</v>
      </c>
      <c r="O32" s="37"/>
      <c r="P32" s="15">
        <v>0</v>
      </c>
      <c r="Q32" s="37"/>
      <c r="R32" s="6">
        <v>24</v>
      </c>
      <c r="S32" s="60" t="s">
        <v>77</v>
      </c>
      <c r="T32" s="15">
        <v>0</v>
      </c>
      <c r="U32" s="37"/>
      <c r="V32" s="14">
        <v>0</v>
      </c>
      <c r="W32" s="37"/>
      <c r="X32" s="15">
        <v>0</v>
      </c>
      <c r="Y32" s="37"/>
      <c r="Z32" s="6">
        <v>28</v>
      </c>
      <c r="AA32" s="60" t="s">
        <v>77</v>
      </c>
      <c r="AB32" s="15" t="s">
        <v>35</v>
      </c>
      <c r="AC32" s="37"/>
      <c r="AD32" s="14">
        <v>0</v>
      </c>
      <c r="AE32" s="37"/>
      <c r="AF32" s="15">
        <v>0</v>
      </c>
      <c r="AG32" s="37"/>
      <c r="AH32" s="6">
        <v>26</v>
      </c>
      <c r="AI32" s="60" t="s">
        <v>77</v>
      </c>
      <c r="AJ32" s="15">
        <v>0</v>
      </c>
      <c r="AK32" s="37"/>
      <c r="AL32" s="14">
        <v>0</v>
      </c>
      <c r="AM32" s="37"/>
      <c r="AN32" s="15">
        <v>0</v>
      </c>
      <c r="AO32" s="37"/>
      <c r="AP32" s="6">
        <v>23</v>
      </c>
      <c r="AQ32" s="60" t="s">
        <v>77</v>
      </c>
      <c r="AR32" s="15">
        <v>0</v>
      </c>
      <c r="AS32" s="37"/>
      <c r="AT32" s="14">
        <v>0</v>
      </c>
      <c r="AU32" s="37"/>
      <c r="AV32" s="15">
        <v>0</v>
      </c>
      <c r="AW32" s="37"/>
      <c r="AX32" s="6">
        <v>28</v>
      </c>
      <c r="AY32" s="60" t="s">
        <v>77</v>
      </c>
      <c r="AZ32" s="15" t="s">
        <v>35</v>
      </c>
      <c r="BA32" s="37"/>
      <c r="BB32" s="14" t="s">
        <v>35</v>
      </c>
      <c r="BC32" s="37"/>
      <c r="BD32" s="15">
        <v>0</v>
      </c>
      <c r="BE32" s="37"/>
      <c r="BF32" s="21">
        <v>25</v>
      </c>
      <c r="BG32" s="60" t="s">
        <v>77</v>
      </c>
      <c r="BH32" s="15">
        <v>0</v>
      </c>
      <c r="BI32" s="37"/>
      <c r="BJ32" s="14">
        <v>0</v>
      </c>
      <c r="BK32" s="37"/>
      <c r="BL32" s="15">
        <v>0</v>
      </c>
      <c r="BM32" s="37"/>
      <c r="BN32" s="6">
        <v>29</v>
      </c>
      <c r="BO32" s="60" t="s">
        <v>77</v>
      </c>
      <c r="BP32" s="15">
        <v>0</v>
      </c>
      <c r="BQ32" s="37"/>
      <c r="BR32" s="14" t="s">
        <v>35</v>
      </c>
      <c r="BS32" s="37"/>
      <c r="BT32" s="15">
        <v>0</v>
      </c>
      <c r="BU32" s="37"/>
      <c r="BV32" s="6">
        <v>27</v>
      </c>
      <c r="BW32" s="60" t="s">
        <v>77</v>
      </c>
      <c r="BX32" s="15">
        <v>0</v>
      </c>
      <c r="BY32" s="37"/>
      <c r="BZ32" s="14">
        <v>0</v>
      </c>
      <c r="CA32" s="37"/>
      <c r="CB32" s="15">
        <v>0</v>
      </c>
      <c r="CC32" s="37"/>
      <c r="CD32" s="6">
        <v>24</v>
      </c>
      <c r="CE32" s="60" t="s">
        <v>77</v>
      </c>
      <c r="CF32" s="15">
        <v>0</v>
      </c>
      <c r="CG32" s="37"/>
      <c r="CH32" s="14">
        <v>0</v>
      </c>
      <c r="CI32" s="37"/>
      <c r="CJ32" s="15">
        <v>0</v>
      </c>
      <c r="CK32" s="37"/>
      <c r="CL32" s="6">
        <v>29</v>
      </c>
      <c r="CM32" s="60" t="s">
        <v>77</v>
      </c>
      <c r="CN32" s="15" t="s">
        <v>35</v>
      </c>
      <c r="CO32" s="37"/>
      <c r="CP32" s="14" t="s">
        <v>35</v>
      </c>
      <c r="CQ32" s="37"/>
      <c r="CR32" s="15">
        <v>0</v>
      </c>
      <c r="CS32" s="62"/>
    </row>
    <row r="33" spans="1:109" s="2" customFormat="1" x14ac:dyDescent="0.2">
      <c r="A33" s="6" t="s">
        <v>7</v>
      </c>
      <c r="B33" s="8">
        <v>28</v>
      </c>
      <c r="C33" s="60" t="s">
        <v>77</v>
      </c>
      <c r="D33" s="15">
        <v>0</v>
      </c>
      <c r="E33" s="37"/>
      <c r="F33" s="14">
        <v>0</v>
      </c>
      <c r="G33" s="37"/>
      <c r="H33" s="15">
        <v>0</v>
      </c>
      <c r="I33" s="37"/>
      <c r="J33" s="6">
        <v>25</v>
      </c>
      <c r="K33" s="60" t="s">
        <v>77</v>
      </c>
      <c r="L33" s="15">
        <v>0</v>
      </c>
      <c r="M33" s="37"/>
      <c r="N33" s="14">
        <v>0</v>
      </c>
      <c r="O33" s="37"/>
      <c r="P33" s="15">
        <v>0</v>
      </c>
      <c r="Q33" s="37"/>
      <c r="R33" s="6">
        <v>25</v>
      </c>
      <c r="S33" s="60" t="s">
        <v>77</v>
      </c>
      <c r="T33" s="15">
        <v>0</v>
      </c>
      <c r="U33" s="37"/>
      <c r="V33" s="14">
        <v>0</v>
      </c>
      <c r="W33" s="37"/>
      <c r="X33" s="15">
        <v>0</v>
      </c>
      <c r="Y33" s="37"/>
      <c r="Z33" s="6">
        <v>29</v>
      </c>
      <c r="AA33" s="60" t="s">
        <v>77</v>
      </c>
      <c r="AB33" s="15" t="s">
        <v>35</v>
      </c>
      <c r="AC33" s="37"/>
      <c r="AD33" s="14">
        <v>0</v>
      </c>
      <c r="AE33" s="37"/>
      <c r="AF33" s="15">
        <v>0</v>
      </c>
      <c r="AG33" s="37"/>
      <c r="AH33" s="6">
        <v>27</v>
      </c>
      <c r="AI33" s="60" t="s">
        <v>77</v>
      </c>
      <c r="AJ33" s="15">
        <v>0</v>
      </c>
      <c r="AK33" s="37"/>
      <c r="AL33" s="14">
        <v>0</v>
      </c>
      <c r="AM33" s="37"/>
      <c r="AN33" s="15">
        <v>0</v>
      </c>
      <c r="AO33" s="37"/>
      <c r="AP33" s="6">
        <v>24</v>
      </c>
      <c r="AQ33" s="60" t="s">
        <v>77</v>
      </c>
      <c r="AR33" s="15">
        <v>0</v>
      </c>
      <c r="AS33" s="37"/>
      <c r="AT33" s="14">
        <v>0</v>
      </c>
      <c r="AU33" s="37"/>
      <c r="AV33" s="15">
        <v>0</v>
      </c>
      <c r="AW33" s="37"/>
      <c r="AX33" s="6">
        <v>29</v>
      </c>
      <c r="AY33" s="60" t="s">
        <v>77</v>
      </c>
      <c r="AZ33" s="15" t="s">
        <v>35</v>
      </c>
      <c r="BA33" s="37"/>
      <c r="BB33" s="14" t="s">
        <v>35</v>
      </c>
      <c r="BC33" s="37"/>
      <c r="BD33" s="15">
        <v>0</v>
      </c>
      <c r="BE33" s="37"/>
      <c r="BF33" s="21">
        <v>26</v>
      </c>
      <c r="BG33" s="60" t="s">
        <v>77</v>
      </c>
      <c r="BH33" s="15">
        <v>0</v>
      </c>
      <c r="BI33" s="37"/>
      <c r="BJ33" s="14">
        <v>0</v>
      </c>
      <c r="BK33" s="37"/>
      <c r="BL33" s="15">
        <v>0</v>
      </c>
      <c r="BM33" s="37"/>
      <c r="BN33" s="6">
        <v>30</v>
      </c>
      <c r="BO33" s="60" t="s">
        <v>77</v>
      </c>
      <c r="BP33" s="15">
        <v>0</v>
      </c>
      <c r="BQ33" s="37"/>
      <c r="BR33" s="14" t="s">
        <v>35</v>
      </c>
      <c r="BS33" s="37"/>
      <c r="BT33" s="15">
        <v>0</v>
      </c>
      <c r="BU33" s="37"/>
      <c r="BV33" s="6">
        <v>28</v>
      </c>
      <c r="BW33" s="60" t="s">
        <v>77</v>
      </c>
      <c r="BX33" s="15">
        <v>0</v>
      </c>
      <c r="BY33" s="37"/>
      <c r="BZ33" s="14">
        <v>0</v>
      </c>
      <c r="CA33" s="37"/>
      <c r="CB33" s="15">
        <v>0</v>
      </c>
      <c r="CC33" s="37"/>
      <c r="CD33" s="6">
        <v>25</v>
      </c>
      <c r="CE33" s="60" t="s">
        <v>77</v>
      </c>
      <c r="CF33" s="15">
        <v>0</v>
      </c>
      <c r="CG33" s="37"/>
      <c r="CH33" s="14">
        <v>0</v>
      </c>
      <c r="CI33" s="37"/>
      <c r="CJ33" s="15">
        <v>0</v>
      </c>
      <c r="CK33" s="37"/>
      <c r="CL33" s="6">
        <v>30</v>
      </c>
      <c r="CM33" s="60" t="s">
        <v>77</v>
      </c>
      <c r="CN33" s="15" t="s">
        <v>35</v>
      </c>
      <c r="CO33" s="37"/>
      <c r="CP33" s="14" t="s">
        <v>35</v>
      </c>
      <c r="CQ33" s="37"/>
      <c r="CR33" s="15">
        <v>0</v>
      </c>
      <c r="CS33" s="62"/>
    </row>
    <row r="34" spans="1:109" s="2" customFormat="1" x14ac:dyDescent="0.2">
      <c r="A34" s="6" t="s">
        <v>8</v>
      </c>
      <c r="B34" s="8">
        <v>29</v>
      </c>
      <c r="C34" s="60" t="s">
        <v>56</v>
      </c>
      <c r="D34" s="15">
        <v>0</v>
      </c>
      <c r="E34" s="37"/>
      <c r="F34" s="14">
        <v>0</v>
      </c>
      <c r="G34" s="37"/>
      <c r="H34" s="15">
        <v>0</v>
      </c>
      <c r="I34" s="37"/>
      <c r="J34" s="6">
        <v>26</v>
      </c>
      <c r="K34" s="60" t="s">
        <v>56</v>
      </c>
      <c r="L34" s="15">
        <v>0</v>
      </c>
      <c r="M34" s="37"/>
      <c r="N34" s="14">
        <v>0</v>
      </c>
      <c r="O34" s="37"/>
      <c r="P34" s="15">
        <v>0</v>
      </c>
      <c r="Q34" s="37"/>
      <c r="R34" s="6">
        <v>26</v>
      </c>
      <c r="S34" s="60" t="s">
        <v>56</v>
      </c>
      <c r="T34" s="15">
        <v>0</v>
      </c>
      <c r="U34" s="37"/>
      <c r="V34" s="14">
        <v>0</v>
      </c>
      <c r="W34" s="37"/>
      <c r="X34" s="15">
        <v>0</v>
      </c>
      <c r="Y34" s="37"/>
      <c r="Z34" s="6">
        <v>30</v>
      </c>
      <c r="AA34" s="60" t="s">
        <v>77</v>
      </c>
      <c r="AB34" s="15" t="s">
        <v>35</v>
      </c>
      <c r="AC34" s="37"/>
      <c r="AD34" s="14">
        <v>0</v>
      </c>
      <c r="AE34" s="37"/>
      <c r="AF34" s="15">
        <v>0</v>
      </c>
      <c r="AG34" s="37"/>
      <c r="AH34" s="6">
        <v>28</v>
      </c>
      <c r="AI34" s="60" t="s">
        <v>77</v>
      </c>
      <c r="AJ34" s="15">
        <v>0</v>
      </c>
      <c r="AK34" s="37"/>
      <c r="AL34" s="14">
        <v>0</v>
      </c>
      <c r="AM34" s="37"/>
      <c r="AN34" s="15">
        <v>0</v>
      </c>
      <c r="AO34" s="37"/>
      <c r="AP34" s="6">
        <v>25</v>
      </c>
      <c r="AQ34" s="60" t="s">
        <v>77</v>
      </c>
      <c r="AR34" s="15">
        <v>0</v>
      </c>
      <c r="AS34" s="37"/>
      <c r="AT34" s="14">
        <v>0</v>
      </c>
      <c r="AU34" s="37"/>
      <c r="AV34" s="15">
        <v>0</v>
      </c>
      <c r="AW34" s="37"/>
      <c r="AX34" s="6">
        <v>30</v>
      </c>
      <c r="AY34" s="60" t="s">
        <v>77</v>
      </c>
      <c r="AZ34" s="15" t="s">
        <v>35</v>
      </c>
      <c r="BA34" s="37"/>
      <c r="BB34" s="14" t="s">
        <v>35</v>
      </c>
      <c r="BC34" s="37"/>
      <c r="BD34" s="15">
        <v>0</v>
      </c>
      <c r="BE34" s="37"/>
      <c r="BF34" s="21">
        <v>27</v>
      </c>
      <c r="BG34" s="60" t="s">
        <v>77</v>
      </c>
      <c r="BH34" s="15">
        <v>0</v>
      </c>
      <c r="BI34" s="37"/>
      <c r="BJ34" s="14">
        <v>0</v>
      </c>
      <c r="BK34" s="37"/>
      <c r="BL34" s="15">
        <v>0</v>
      </c>
      <c r="BM34" s="37"/>
      <c r="BN34" s="6"/>
      <c r="BO34" s="60" t="s">
        <v>77</v>
      </c>
      <c r="BP34" s="15"/>
      <c r="BQ34" s="37"/>
      <c r="BR34" s="14"/>
      <c r="BS34" s="37"/>
      <c r="BT34" s="15"/>
      <c r="BU34" s="37"/>
      <c r="BV34" s="6">
        <v>29</v>
      </c>
      <c r="BW34" s="60" t="s">
        <v>56</v>
      </c>
      <c r="BX34" s="15">
        <v>0</v>
      </c>
      <c r="BY34" s="37"/>
      <c r="BZ34" s="14">
        <v>0</v>
      </c>
      <c r="CA34" s="37"/>
      <c r="CB34" s="15">
        <v>0</v>
      </c>
      <c r="CC34" s="37"/>
      <c r="CD34" s="6">
        <v>26</v>
      </c>
      <c r="CE34" s="60" t="s">
        <v>56</v>
      </c>
      <c r="CF34" s="15">
        <v>0</v>
      </c>
      <c r="CG34" s="37"/>
      <c r="CH34" s="14">
        <v>0</v>
      </c>
      <c r="CI34" s="37"/>
      <c r="CJ34" s="15">
        <v>0</v>
      </c>
      <c r="CK34" s="37"/>
      <c r="CL34" s="6">
        <v>31</v>
      </c>
      <c r="CM34" s="60" t="s">
        <v>77</v>
      </c>
      <c r="CN34" s="15" t="s">
        <v>35</v>
      </c>
      <c r="CO34" s="37"/>
      <c r="CP34" s="14" t="s">
        <v>35</v>
      </c>
      <c r="CQ34" s="37"/>
      <c r="CR34" s="15">
        <v>0</v>
      </c>
      <c r="CS34" s="62"/>
    </row>
    <row r="35" spans="1:109" s="2" customFormat="1" x14ac:dyDescent="0.2">
      <c r="A35" s="6" t="s">
        <v>3</v>
      </c>
      <c r="B35" s="8">
        <v>30</v>
      </c>
      <c r="C35" s="60" t="s">
        <v>77</v>
      </c>
      <c r="D35" s="15">
        <v>0</v>
      </c>
      <c r="E35" s="37"/>
      <c r="F35" s="14">
        <v>0</v>
      </c>
      <c r="G35" s="37"/>
      <c r="H35" s="15">
        <v>0</v>
      </c>
      <c r="I35" s="37"/>
      <c r="J35" s="6">
        <v>27</v>
      </c>
      <c r="K35" s="60" t="s">
        <v>77</v>
      </c>
      <c r="L35" s="15">
        <v>0</v>
      </c>
      <c r="M35" s="37"/>
      <c r="N35" s="14">
        <v>0</v>
      </c>
      <c r="O35" s="37"/>
      <c r="P35" s="15">
        <v>0</v>
      </c>
      <c r="Q35" s="37"/>
      <c r="R35" s="6">
        <v>27</v>
      </c>
      <c r="S35" s="60" t="s">
        <v>60</v>
      </c>
      <c r="T35" s="15">
        <v>0</v>
      </c>
      <c r="U35" s="37"/>
      <c r="V35" s="14">
        <v>0</v>
      </c>
      <c r="W35" s="37"/>
      <c r="X35" s="15">
        <v>0</v>
      </c>
      <c r="Y35" s="37"/>
      <c r="Z35" s="6"/>
      <c r="AA35" s="60" t="s">
        <v>77</v>
      </c>
      <c r="AB35" s="15"/>
      <c r="AC35" s="37"/>
      <c r="AD35" s="14"/>
      <c r="AE35" s="37"/>
      <c r="AF35" s="15">
        <v>0</v>
      </c>
      <c r="AG35" s="37"/>
      <c r="AH35" s="6">
        <v>29</v>
      </c>
      <c r="AI35" s="60" t="s">
        <v>77</v>
      </c>
      <c r="AJ35" s="15">
        <v>0</v>
      </c>
      <c r="AK35" s="37"/>
      <c r="AL35" s="14">
        <v>0</v>
      </c>
      <c r="AM35" s="37"/>
      <c r="AN35" s="15">
        <v>0</v>
      </c>
      <c r="AO35" s="37"/>
      <c r="AP35" s="6">
        <v>26</v>
      </c>
      <c r="AQ35" s="60" t="s">
        <v>77</v>
      </c>
      <c r="AR35" s="15">
        <v>0</v>
      </c>
      <c r="AS35" s="37"/>
      <c r="AT35" s="14">
        <v>0</v>
      </c>
      <c r="AU35" s="37"/>
      <c r="AV35" s="15">
        <v>0</v>
      </c>
      <c r="AW35" s="37"/>
      <c r="AX35" s="6">
        <v>31</v>
      </c>
      <c r="AY35" s="60" t="s">
        <v>77</v>
      </c>
      <c r="AZ35" s="15" t="s">
        <v>35</v>
      </c>
      <c r="BA35" s="37"/>
      <c r="BB35" s="14" t="s">
        <v>35</v>
      </c>
      <c r="BC35" s="37"/>
      <c r="BD35" s="15">
        <v>0</v>
      </c>
      <c r="BE35" s="37"/>
      <c r="BF35" s="21">
        <v>28</v>
      </c>
      <c r="BG35" s="60" t="s">
        <v>66</v>
      </c>
      <c r="BH35" s="15">
        <v>0</v>
      </c>
      <c r="BI35" s="37"/>
      <c r="BJ35" s="14">
        <v>0</v>
      </c>
      <c r="BK35" s="37"/>
      <c r="BL35" s="15">
        <v>0</v>
      </c>
      <c r="BM35" s="37"/>
      <c r="BN35" s="6"/>
      <c r="BO35" s="60" t="s">
        <v>77</v>
      </c>
      <c r="BP35" s="15"/>
      <c r="BQ35" s="37"/>
      <c r="BR35" s="14"/>
      <c r="BS35" s="37"/>
      <c r="BT35" s="15"/>
      <c r="BU35" s="37"/>
      <c r="BV35" s="6">
        <v>30</v>
      </c>
      <c r="BW35" s="60" t="s">
        <v>77</v>
      </c>
      <c r="BX35" s="15">
        <v>0</v>
      </c>
      <c r="BY35" s="37"/>
      <c r="BZ35" s="14">
        <v>0</v>
      </c>
      <c r="CA35" s="37"/>
      <c r="CB35" s="15">
        <v>0</v>
      </c>
      <c r="CC35" s="37"/>
      <c r="CD35" s="6">
        <v>27</v>
      </c>
      <c r="CE35" s="60" t="s">
        <v>77</v>
      </c>
      <c r="CF35" s="15">
        <v>0</v>
      </c>
      <c r="CG35" s="37"/>
      <c r="CH35" s="14">
        <v>0</v>
      </c>
      <c r="CI35" s="37"/>
      <c r="CJ35" s="15">
        <v>0</v>
      </c>
      <c r="CK35" s="37"/>
      <c r="CL35" s="6"/>
      <c r="CM35" s="60" t="s">
        <v>77</v>
      </c>
      <c r="CN35" s="15">
        <v>0</v>
      </c>
      <c r="CO35" s="37"/>
      <c r="CP35" s="14">
        <v>0</v>
      </c>
      <c r="CQ35" s="37"/>
      <c r="CR35" s="15">
        <v>0</v>
      </c>
      <c r="CS35" s="62"/>
    </row>
    <row r="36" spans="1:109" s="2" customFormat="1" ht="12.75" customHeight="1" x14ac:dyDescent="0.2">
      <c r="A36" s="9" t="s">
        <v>4</v>
      </c>
      <c r="B36" s="10">
        <v>31</v>
      </c>
      <c r="C36" s="60" t="s">
        <v>77</v>
      </c>
      <c r="D36" s="53">
        <v>0</v>
      </c>
      <c r="E36" s="53"/>
      <c r="F36" s="53">
        <v>0</v>
      </c>
      <c r="G36" s="53"/>
      <c r="H36" s="53">
        <v>0</v>
      </c>
      <c r="I36" s="53"/>
      <c r="J36" s="51">
        <v>28</v>
      </c>
      <c r="K36" s="60" t="s">
        <v>77</v>
      </c>
      <c r="L36" s="53">
        <v>0</v>
      </c>
      <c r="M36" s="53"/>
      <c r="N36" s="53">
        <v>0</v>
      </c>
      <c r="O36" s="53"/>
      <c r="P36" s="53">
        <v>0</v>
      </c>
      <c r="Q36" s="53"/>
      <c r="R36" s="9">
        <v>28</v>
      </c>
      <c r="S36" s="60" t="s">
        <v>43</v>
      </c>
      <c r="T36" s="53">
        <v>0</v>
      </c>
      <c r="U36" s="53"/>
      <c r="V36" s="53">
        <v>0</v>
      </c>
      <c r="W36" s="53"/>
      <c r="X36" s="53">
        <v>0</v>
      </c>
      <c r="Y36" s="53"/>
      <c r="Z36" s="9"/>
      <c r="AA36" s="60" t="s">
        <v>77</v>
      </c>
      <c r="AB36" s="53"/>
      <c r="AC36" s="53"/>
      <c r="AD36" s="53"/>
      <c r="AE36" s="53"/>
      <c r="AF36" s="53">
        <v>0</v>
      </c>
      <c r="AG36" s="53"/>
      <c r="AH36" s="9">
        <v>30</v>
      </c>
      <c r="AI36" s="60" t="s">
        <v>57</v>
      </c>
      <c r="AJ36" s="53">
        <v>0</v>
      </c>
      <c r="AK36" s="53"/>
      <c r="AL36" s="53">
        <v>0</v>
      </c>
      <c r="AM36" s="53"/>
      <c r="AN36" s="53">
        <v>0</v>
      </c>
      <c r="AO36" s="53"/>
      <c r="AP36" s="9">
        <v>27</v>
      </c>
      <c r="AQ36" s="173" t="s">
        <v>64</v>
      </c>
      <c r="AR36" s="174"/>
      <c r="AS36" s="174"/>
      <c r="AT36" s="174"/>
      <c r="AU36" s="174"/>
      <c r="AV36" s="174"/>
      <c r="AW36" s="175"/>
      <c r="AX36" s="9"/>
      <c r="AY36" s="60" t="s">
        <v>77</v>
      </c>
      <c r="AZ36" s="53">
        <v>0</v>
      </c>
      <c r="BA36" s="53"/>
      <c r="BB36" s="53">
        <v>0</v>
      </c>
      <c r="BC36" s="53"/>
      <c r="BD36" s="53">
        <v>0</v>
      </c>
      <c r="BE36" s="53"/>
      <c r="BF36" s="9">
        <v>29</v>
      </c>
      <c r="BG36" s="60" t="s">
        <v>57</v>
      </c>
      <c r="BH36" s="53">
        <v>0</v>
      </c>
      <c r="BI36" s="53"/>
      <c r="BJ36" s="53">
        <v>0</v>
      </c>
      <c r="BK36" s="53"/>
      <c r="BL36" s="53">
        <v>0</v>
      </c>
      <c r="BM36" s="53"/>
      <c r="BN36" s="9"/>
      <c r="BO36" s="60" t="s">
        <v>77</v>
      </c>
      <c r="BP36" s="53"/>
      <c r="BQ36" s="53"/>
      <c r="BR36" s="53"/>
      <c r="BS36" s="53"/>
      <c r="BT36" s="53"/>
      <c r="BU36" s="53"/>
      <c r="BV36" s="9">
        <v>31</v>
      </c>
      <c r="BW36" s="60" t="s">
        <v>36</v>
      </c>
      <c r="BX36" s="53">
        <v>0</v>
      </c>
      <c r="BY36" s="53"/>
      <c r="BZ36" s="53">
        <v>0</v>
      </c>
      <c r="CA36" s="53"/>
      <c r="CB36" s="53">
        <v>0</v>
      </c>
      <c r="CC36" s="53"/>
      <c r="CD36" s="9">
        <v>28</v>
      </c>
      <c r="CE36" s="60" t="s">
        <v>77</v>
      </c>
      <c r="CF36" s="53">
        <v>0</v>
      </c>
      <c r="CG36" s="53"/>
      <c r="CH36" s="53">
        <v>0</v>
      </c>
      <c r="CI36" s="53"/>
      <c r="CJ36" s="53">
        <v>0</v>
      </c>
      <c r="CK36" s="53"/>
      <c r="CL36" s="9"/>
      <c r="CM36" s="60" t="s">
        <v>77</v>
      </c>
      <c r="CN36" s="53">
        <v>0</v>
      </c>
      <c r="CO36" s="53"/>
      <c r="CP36" s="53">
        <v>0</v>
      </c>
      <c r="CQ36" s="53"/>
      <c r="CR36" s="53">
        <v>0</v>
      </c>
      <c r="CS36" s="63"/>
    </row>
    <row r="37" spans="1:109" s="2" customFormat="1" x14ac:dyDescent="0.2">
      <c r="A37" s="9" t="s">
        <v>5</v>
      </c>
      <c r="B37" s="10"/>
      <c r="C37" s="60" t="s">
        <v>77</v>
      </c>
      <c r="D37" s="53"/>
      <c r="E37" s="53"/>
      <c r="F37" s="53"/>
      <c r="G37" s="53"/>
      <c r="H37" s="53"/>
      <c r="I37" s="53"/>
      <c r="J37" s="51"/>
      <c r="K37" s="60" t="s">
        <v>77</v>
      </c>
      <c r="L37" s="53"/>
      <c r="M37" s="53"/>
      <c r="N37" s="53"/>
      <c r="O37" s="53"/>
      <c r="P37" s="53"/>
      <c r="Q37" s="53"/>
      <c r="R37" s="9">
        <v>29</v>
      </c>
      <c r="S37" s="60" t="s">
        <v>44</v>
      </c>
      <c r="T37" s="53">
        <v>0</v>
      </c>
      <c r="U37" s="53"/>
      <c r="V37" s="53">
        <v>0</v>
      </c>
      <c r="W37" s="53"/>
      <c r="X37" s="53">
        <v>0</v>
      </c>
      <c r="Y37" s="53"/>
      <c r="Z37" s="9"/>
      <c r="AA37" s="60" t="s">
        <v>77</v>
      </c>
      <c r="AB37" s="53"/>
      <c r="AC37" s="53"/>
      <c r="AD37" s="53"/>
      <c r="AE37" s="53"/>
      <c r="AF37" s="53">
        <v>0</v>
      </c>
      <c r="AG37" s="53"/>
      <c r="AH37" s="9">
        <v>31</v>
      </c>
      <c r="AI37" s="60" t="s">
        <v>77</v>
      </c>
      <c r="AJ37" s="53">
        <v>0</v>
      </c>
      <c r="AK37" s="53"/>
      <c r="AL37" s="53">
        <v>0</v>
      </c>
      <c r="AM37" s="53"/>
      <c r="AN37" s="53">
        <v>0</v>
      </c>
      <c r="AO37" s="53"/>
      <c r="AP37" s="9">
        <v>28</v>
      </c>
      <c r="AQ37" s="60" t="s">
        <v>65</v>
      </c>
      <c r="AR37" s="53">
        <v>0</v>
      </c>
      <c r="AS37" s="53"/>
      <c r="AT37" s="53">
        <v>0</v>
      </c>
      <c r="AU37" s="53"/>
      <c r="AV37" s="53">
        <v>0</v>
      </c>
      <c r="AW37" s="53"/>
      <c r="AX37" s="9"/>
      <c r="AY37" s="60" t="s">
        <v>77</v>
      </c>
      <c r="AZ37" s="53">
        <v>0</v>
      </c>
      <c r="BA37" s="53"/>
      <c r="BB37" s="53">
        <v>0</v>
      </c>
      <c r="BC37" s="53"/>
      <c r="BD37" s="53">
        <v>0</v>
      </c>
      <c r="BE37" s="53"/>
      <c r="BF37" s="9">
        <v>30</v>
      </c>
      <c r="BG37" s="60" t="s">
        <v>47</v>
      </c>
      <c r="BH37" s="53">
        <v>0</v>
      </c>
      <c r="BI37" s="53"/>
      <c r="BJ37" s="53">
        <v>0</v>
      </c>
      <c r="BK37" s="53"/>
      <c r="BL37" s="53">
        <v>0</v>
      </c>
      <c r="BM37" s="53"/>
      <c r="BN37" s="9"/>
      <c r="BO37" s="60" t="s">
        <v>77</v>
      </c>
      <c r="BP37" s="53"/>
      <c r="BQ37" s="53"/>
      <c r="BR37" s="53"/>
      <c r="BS37" s="53"/>
      <c r="BT37" s="53"/>
      <c r="BU37" s="53"/>
      <c r="BV37" s="9"/>
      <c r="BW37" s="60" t="s">
        <v>77</v>
      </c>
      <c r="BX37" s="53"/>
      <c r="BY37" s="53"/>
      <c r="BZ37" s="53"/>
      <c r="CA37" s="53"/>
      <c r="CB37" s="53"/>
      <c r="CC37" s="53"/>
      <c r="CD37" s="9">
        <v>29</v>
      </c>
      <c r="CE37" s="60" t="s">
        <v>77</v>
      </c>
      <c r="CF37" s="53">
        <v>0</v>
      </c>
      <c r="CG37" s="53"/>
      <c r="CH37" s="53">
        <v>0</v>
      </c>
      <c r="CI37" s="53"/>
      <c r="CJ37" s="53">
        <v>0</v>
      </c>
      <c r="CK37" s="53"/>
      <c r="CL37" s="9"/>
      <c r="CM37" s="60" t="s">
        <v>77</v>
      </c>
      <c r="CN37" s="53">
        <v>0</v>
      </c>
      <c r="CO37" s="53"/>
      <c r="CP37" s="53">
        <v>0</v>
      </c>
      <c r="CQ37" s="53"/>
      <c r="CR37" s="53">
        <v>0</v>
      </c>
      <c r="CS37" s="63"/>
    </row>
    <row r="38" spans="1:109" s="2" customFormat="1" ht="15" customHeight="1" x14ac:dyDescent="0.2">
      <c r="A38" s="6" t="s">
        <v>25</v>
      </c>
      <c r="B38" s="8"/>
      <c r="C38" s="60" t="s">
        <v>77</v>
      </c>
      <c r="D38" s="15"/>
      <c r="E38" s="37"/>
      <c r="F38" s="15"/>
      <c r="G38" s="37"/>
      <c r="H38" s="15"/>
      <c r="I38" s="37"/>
      <c r="J38" s="6"/>
      <c r="K38" s="60" t="s">
        <v>77</v>
      </c>
      <c r="L38" s="15"/>
      <c r="M38" s="37"/>
      <c r="N38" s="15"/>
      <c r="O38" s="37"/>
      <c r="P38" s="15"/>
      <c r="Q38" s="37"/>
      <c r="R38" s="6">
        <v>30</v>
      </c>
      <c r="S38" s="60" t="s">
        <v>77</v>
      </c>
      <c r="T38" s="183">
        <v>14</v>
      </c>
      <c r="U38" s="183"/>
      <c r="V38" s="183"/>
      <c r="W38" s="183"/>
      <c r="X38" s="183"/>
      <c r="Y38" s="184"/>
      <c r="Z38" s="6"/>
      <c r="AA38" s="60" t="s">
        <v>77</v>
      </c>
      <c r="AB38" s="15"/>
      <c r="AC38" s="37"/>
      <c r="AD38" s="14"/>
      <c r="AE38" s="37"/>
      <c r="AF38" s="15">
        <v>0</v>
      </c>
      <c r="AG38" s="37"/>
      <c r="AH38" s="6"/>
      <c r="AI38" s="60" t="s">
        <v>77</v>
      </c>
      <c r="AJ38" s="15"/>
      <c r="AK38" s="37"/>
      <c r="AL38" s="14"/>
      <c r="AM38" s="37"/>
      <c r="AN38" s="15">
        <v>0</v>
      </c>
      <c r="AO38" s="37"/>
      <c r="AP38" s="6">
        <v>29</v>
      </c>
      <c r="AQ38" s="60" t="s">
        <v>77</v>
      </c>
      <c r="AR38" s="183">
        <v>27</v>
      </c>
      <c r="AS38" s="183"/>
      <c r="AT38" s="183"/>
      <c r="AU38" s="183"/>
      <c r="AV38" s="183"/>
      <c r="AW38" s="184"/>
      <c r="AX38" s="6"/>
      <c r="AY38" s="60" t="s">
        <v>77</v>
      </c>
      <c r="AZ38" s="15">
        <v>0</v>
      </c>
      <c r="BA38" s="37"/>
      <c r="BB38" s="14">
        <v>0</v>
      </c>
      <c r="BC38" s="37"/>
      <c r="BD38" s="15">
        <v>0</v>
      </c>
      <c r="BE38" s="37"/>
      <c r="BF38" s="21">
        <v>31</v>
      </c>
      <c r="BG38" s="60" t="s">
        <v>77</v>
      </c>
      <c r="BH38" s="183">
        <v>36</v>
      </c>
      <c r="BI38" s="183"/>
      <c r="BJ38" s="183"/>
      <c r="BK38" s="183"/>
      <c r="BL38" s="183"/>
      <c r="BM38" s="184"/>
      <c r="BN38" s="6"/>
      <c r="BO38" s="60" t="s">
        <v>77</v>
      </c>
      <c r="BP38" s="15"/>
      <c r="BQ38" s="37"/>
      <c r="BR38" s="14"/>
      <c r="BS38" s="37"/>
      <c r="BT38" s="15"/>
      <c r="BU38" s="37"/>
      <c r="BV38" s="6"/>
      <c r="BW38" s="60" t="s">
        <v>77</v>
      </c>
      <c r="BX38" s="15"/>
      <c r="BY38" s="37"/>
      <c r="BZ38" s="14"/>
      <c r="CA38" s="37"/>
      <c r="CB38" s="15"/>
      <c r="CC38" s="37"/>
      <c r="CD38" s="6">
        <v>30</v>
      </c>
      <c r="CE38" s="60" t="s">
        <v>77</v>
      </c>
      <c r="CF38" s="183">
        <v>49</v>
      </c>
      <c r="CG38" s="183"/>
      <c r="CH38" s="183"/>
      <c r="CI38" s="183"/>
      <c r="CJ38" s="183"/>
      <c r="CK38" s="184"/>
      <c r="CL38" s="6"/>
      <c r="CM38" s="60" t="s">
        <v>77</v>
      </c>
      <c r="CN38" s="15">
        <v>0</v>
      </c>
      <c r="CO38" s="37"/>
      <c r="CP38" s="14">
        <v>0</v>
      </c>
      <c r="CQ38" s="37"/>
      <c r="CR38" s="15">
        <v>0</v>
      </c>
      <c r="CS38" s="62"/>
    </row>
    <row r="39" spans="1:109" s="2" customFormat="1" x14ac:dyDescent="0.2">
      <c r="A39" s="6" t="s">
        <v>6</v>
      </c>
      <c r="B39" s="8"/>
      <c r="C39" s="60" t="s">
        <v>77</v>
      </c>
      <c r="D39" s="15"/>
      <c r="E39" s="37"/>
      <c r="F39" s="15"/>
      <c r="G39" s="37"/>
      <c r="H39" s="15"/>
      <c r="I39" s="37"/>
      <c r="J39" s="6"/>
      <c r="K39" s="60" t="s">
        <v>77</v>
      </c>
      <c r="L39" s="15"/>
      <c r="M39" s="37"/>
      <c r="N39" s="15"/>
      <c r="O39" s="37"/>
      <c r="P39" s="15"/>
      <c r="Q39" s="37"/>
      <c r="R39" s="6">
        <v>31</v>
      </c>
      <c r="S39" s="60" t="s">
        <v>77</v>
      </c>
      <c r="T39" s="15">
        <v>0</v>
      </c>
      <c r="U39" s="37"/>
      <c r="V39" s="14">
        <v>0</v>
      </c>
      <c r="W39" s="37"/>
      <c r="X39" s="15">
        <v>0</v>
      </c>
      <c r="Y39" s="37"/>
      <c r="Z39" s="6"/>
      <c r="AA39" s="60" t="s">
        <v>77</v>
      </c>
      <c r="AB39" s="15"/>
      <c r="AC39" s="37"/>
      <c r="AD39" s="14"/>
      <c r="AE39" s="37"/>
      <c r="AF39" s="15">
        <v>0</v>
      </c>
      <c r="AG39" s="37"/>
      <c r="AH39" s="6"/>
      <c r="AI39" s="60" t="s">
        <v>77</v>
      </c>
      <c r="AJ39" s="15"/>
      <c r="AK39" s="37"/>
      <c r="AL39" s="14"/>
      <c r="AM39" s="37"/>
      <c r="AN39" s="15">
        <v>0</v>
      </c>
      <c r="AO39" s="37"/>
      <c r="AP39" s="6">
        <v>30</v>
      </c>
      <c r="AQ39" s="60" t="s">
        <v>77</v>
      </c>
      <c r="AR39" s="15">
        <v>0</v>
      </c>
      <c r="AS39" s="37"/>
      <c r="AT39" s="14">
        <v>0</v>
      </c>
      <c r="AU39" s="37"/>
      <c r="AV39" s="15">
        <v>0</v>
      </c>
      <c r="AW39" s="37"/>
      <c r="AX39" s="6"/>
      <c r="AY39" s="60" t="s">
        <v>77</v>
      </c>
      <c r="AZ39" s="15">
        <v>0</v>
      </c>
      <c r="BA39" s="37"/>
      <c r="BB39" s="14">
        <v>0</v>
      </c>
      <c r="BC39" s="37"/>
      <c r="BD39" s="15">
        <v>0</v>
      </c>
      <c r="BE39" s="37"/>
      <c r="BF39" s="21"/>
      <c r="BG39" s="60" t="s">
        <v>77</v>
      </c>
      <c r="BH39" s="15"/>
      <c r="BI39" s="37"/>
      <c r="BJ39" s="14"/>
      <c r="BK39" s="37"/>
      <c r="BL39" s="15"/>
      <c r="BM39" s="37"/>
      <c r="BN39" s="6"/>
      <c r="BO39" s="60" t="s">
        <v>77</v>
      </c>
      <c r="BP39" s="15"/>
      <c r="BQ39" s="37"/>
      <c r="BR39" s="14"/>
      <c r="BS39" s="37"/>
      <c r="BT39" s="15"/>
      <c r="BU39" s="37"/>
      <c r="BV39" s="6"/>
      <c r="BW39" s="60" t="s">
        <v>77</v>
      </c>
      <c r="BX39" s="15"/>
      <c r="BY39" s="37"/>
      <c r="BZ39" s="14"/>
      <c r="CA39" s="37"/>
      <c r="CB39" s="15"/>
      <c r="CC39" s="37"/>
      <c r="CD39" s="6"/>
      <c r="CE39" s="60" t="s">
        <v>77</v>
      </c>
      <c r="CF39" s="15"/>
      <c r="CG39" s="37"/>
      <c r="CH39" s="14"/>
      <c r="CI39" s="37"/>
      <c r="CJ39" s="15"/>
      <c r="CK39" s="37"/>
      <c r="CL39" s="6"/>
      <c r="CM39" s="60" t="s">
        <v>77</v>
      </c>
      <c r="CN39" s="15"/>
      <c r="CO39" s="37"/>
      <c r="CP39" s="14"/>
      <c r="CQ39" s="37"/>
      <c r="CR39" s="15"/>
      <c r="CS39" s="62"/>
    </row>
    <row r="40" spans="1:109" s="2" customFormat="1" x14ac:dyDescent="0.2">
      <c r="A40" s="6"/>
      <c r="B40" s="8"/>
      <c r="C40" s="60" t="s">
        <v>77</v>
      </c>
      <c r="D40" s="15"/>
      <c r="E40" s="37"/>
      <c r="F40" s="15"/>
      <c r="G40" s="37"/>
      <c r="H40" s="15"/>
      <c r="I40" s="37"/>
      <c r="J40" s="6"/>
      <c r="K40" s="60" t="s">
        <v>77</v>
      </c>
      <c r="L40" s="15"/>
      <c r="M40" s="37"/>
      <c r="N40" s="15"/>
      <c r="O40" s="37"/>
      <c r="P40" s="15"/>
      <c r="Q40" s="37"/>
      <c r="R40" s="6"/>
      <c r="S40" s="60" t="s">
        <v>77</v>
      </c>
      <c r="T40" s="15"/>
      <c r="U40" s="37"/>
      <c r="V40" s="15"/>
      <c r="W40" s="37"/>
      <c r="X40" s="15"/>
      <c r="Y40" s="37"/>
      <c r="Z40" s="6"/>
      <c r="AA40" s="60" t="s">
        <v>77</v>
      </c>
      <c r="AB40" s="15"/>
      <c r="AC40" s="37"/>
      <c r="AD40" s="15"/>
      <c r="AE40" s="37"/>
      <c r="AF40" s="15"/>
      <c r="AG40" s="37"/>
      <c r="AH40" s="6"/>
      <c r="AI40" s="60" t="s">
        <v>77</v>
      </c>
      <c r="AJ40" s="15"/>
      <c r="AK40" s="37"/>
      <c r="AL40" s="15"/>
      <c r="AM40" s="37"/>
      <c r="AN40" s="15"/>
      <c r="AO40" s="37"/>
      <c r="AP40" s="6"/>
      <c r="AQ40" s="77" t="s">
        <v>32</v>
      </c>
      <c r="AR40" s="15"/>
      <c r="AS40" s="37"/>
      <c r="AT40" s="15"/>
      <c r="AU40" s="37"/>
      <c r="AV40" s="15"/>
      <c r="AW40" s="37"/>
      <c r="AX40" s="6"/>
      <c r="AY40" s="60" t="s">
        <v>77</v>
      </c>
      <c r="AZ40" s="15"/>
      <c r="BA40" s="37"/>
      <c r="BB40" s="15"/>
      <c r="BC40" s="37"/>
      <c r="BD40" s="15"/>
      <c r="BE40" s="37"/>
      <c r="BF40" s="21"/>
      <c r="BG40" s="60" t="s">
        <v>77</v>
      </c>
      <c r="BH40" s="15"/>
      <c r="BI40" s="37"/>
      <c r="BJ40" s="15"/>
      <c r="BK40" s="37"/>
      <c r="BL40" s="15"/>
      <c r="BM40" s="37"/>
      <c r="BN40" s="6"/>
      <c r="BO40" s="60" t="s">
        <v>77</v>
      </c>
      <c r="BP40" s="15"/>
      <c r="BQ40" s="37"/>
      <c r="BR40" s="15"/>
      <c r="BS40" s="37"/>
      <c r="BT40" s="15"/>
      <c r="BU40" s="37"/>
      <c r="BV40" s="6"/>
      <c r="BW40" s="60" t="s">
        <v>77</v>
      </c>
      <c r="BX40" s="15"/>
      <c r="BY40" s="37"/>
      <c r="BZ40" s="15"/>
      <c r="CA40" s="37"/>
      <c r="CB40" s="15"/>
      <c r="CC40" s="37"/>
      <c r="CD40" s="6"/>
      <c r="CE40" s="60" t="s">
        <v>77</v>
      </c>
      <c r="CF40" s="15"/>
      <c r="CG40" s="37"/>
      <c r="CH40" s="15"/>
      <c r="CI40" s="37"/>
      <c r="CJ40" s="15"/>
      <c r="CK40" s="37"/>
      <c r="CL40" s="6"/>
      <c r="CM40" s="60" t="s">
        <v>77</v>
      </c>
      <c r="CN40" s="15"/>
      <c r="CO40" s="37"/>
      <c r="CP40" s="15"/>
      <c r="CQ40" s="37"/>
      <c r="CR40" s="15"/>
      <c r="CS40" s="62"/>
    </row>
    <row r="41" spans="1:109" s="2" customFormat="1" x14ac:dyDescent="0.2">
      <c r="A41" s="11"/>
      <c r="B41" s="12"/>
      <c r="C41" s="68" t="s">
        <v>77</v>
      </c>
      <c r="D41" s="16"/>
      <c r="E41" s="43"/>
      <c r="F41" s="16"/>
      <c r="G41" s="43"/>
      <c r="H41" s="16"/>
      <c r="I41" s="43"/>
      <c r="J41" s="11"/>
      <c r="K41" s="68" t="s">
        <v>77</v>
      </c>
      <c r="L41" s="16"/>
      <c r="M41" s="43"/>
      <c r="N41" s="16"/>
      <c r="O41" s="43"/>
      <c r="P41" s="16"/>
      <c r="Q41" s="43"/>
      <c r="R41" s="11"/>
      <c r="S41" s="68" t="s">
        <v>77</v>
      </c>
      <c r="T41" s="16"/>
      <c r="U41" s="43"/>
      <c r="V41" s="16"/>
      <c r="W41" s="43"/>
      <c r="X41" s="16"/>
      <c r="Y41" s="43"/>
      <c r="Z41" s="11"/>
      <c r="AA41" s="68" t="s">
        <v>77</v>
      </c>
      <c r="AB41" s="16"/>
      <c r="AC41" s="43"/>
      <c r="AD41" s="16"/>
      <c r="AE41" s="43"/>
      <c r="AF41" s="16"/>
      <c r="AG41" s="43"/>
      <c r="AH41" s="11"/>
      <c r="AI41" s="68" t="s">
        <v>77</v>
      </c>
      <c r="AJ41" s="16"/>
      <c r="AK41" s="43"/>
      <c r="AL41" s="16"/>
      <c r="AM41" s="43"/>
      <c r="AN41" s="16"/>
      <c r="AO41" s="43"/>
      <c r="AP41" s="11"/>
      <c r="AQ41" s="78" t="s">
        <v>34</v>
      </c>
      <c r="AR41" s="16"/>
      <c r="AS41" s="43"/>
      <c r="AT41" s="16"/>
      <c r="AU41" s="43"/>
      <c r="AV41" s="16"/>
      <c r="AW41" s="43"/>
      <c r="AX41" s="11"/>
      <c r="AY41" s="68" t="s">
        <v>77</v>
      </c>
      <c r="AZ41" s="16"/>
      <c r="BA41" s="43"/>
      <c r="BB41" s="16"/>
      <c r="BC41" s="43"/>
      <c r="BD41" s="16"/>
      <c r="BE41" s="43"/>
      <c r="BF41" s="23"/>
      <c r="BG41" s="68" t="s">
        <v>77</v>
      </c>
      <c r="BH41" s="16"/>
      <c r="BI41" s="43"/>
      <c r="BJ41" s="16"/>
      <c r="BK41" s="43"/>
      <c r="BL41" s="16"/>
      <c r="BM41" s="43"/>
      <c r="BN41" s="11"/>
      <c r="BO41" s="68" t="s">
        <v>77</v>
      </c>
      <c r="BP41" s="16"/>
      <c r="BQ41" s="43"/>
      <c r="BR41" s="16"/>
      <c r="BS41" s="43"/>
      <c r="BT41" s="16"/>
      <c r="BU41" s="43"/>
      <c r="BV41" s="11"/>
      <c r="BW41" s="68" t="s">
        <v>77</v>
      </c>
      <c r="BX41" s="16"/>
      <c r="BY41" s="43"/>
      <c r="BZ41" s="16"/>
      <c r="CA41" s="43"/>
      <c r="CB41" s="16"/>
      <c r="CC41" s="43"/>
      <c r="CD41" s="11"/>
      <c r="CE41" s="68" t="s">
        <v>77</v>
      </c>
      <c r="CF41" s="16"/>
      <c r="CG41" s="43"/>
      <c r="CH41" s="16"/>
      <c r="CI41" s="43"/>
      <c r="CJ41" s="16"/>
      <c r="CK41" s="43"/>
      <c r="CL41" s="11"/>
      <c r="CM41" s="68" t="s">
        <v>77</v>
      </c>
      <c r="CN41" s="16"/>
      <c r="CO41" s="43"/>
      <c r="CP41" s="16"/>
      <c r="CQ41" s="43"/>
      <c r="CR41" s="16"/>
      <c r="CS41" s="65"/>
    </row>
    <row r="42" spans="1:109" x14ac:dyDescent="0.2">
      <c r="BO42" s="75" t="s">
        <v>72</v>
      </c>
    </row>
    <row r="43" spans="1:109" x14ac:dyDescent="0.2">
      <c r="D43" s="1" t="s">
        <v>29</v>
      </c>
      <c r="E43" s="44"/>
      <c r="F43" s="1"/>
      <c r="G43" s="44"/>
      <c r="H43" s="1"/>
      <c r="I43" s="44"/>
      <c r="L43" s="1"/>
      <c r="M43" s="44"/>
      <c r="N43" s="1"/>
      <c r="O43" s="44"/>
      <c r="P43" s="1"/>
      <c r="Q43" s="44"/>
      <c r="S43" s="69"/>
      <c r="T43" s="1"/>
      <c r="U43" s="44"/>
      <c r="V43" s="1"/>
      <c r="W43" s="44"/>
      <c r="X43" s="1"/>
      <c r="Y43" s="44"/>
      <c r="AB43" s="1"/>
      <c r="AC43" s="44"/>
      <c r="AD43" s="1"/>
      <c r="AE43" s="44"/>
      <c r="AF43" s="1"/>
      <c r="AG43" s="44"/>
      <c r="AJ43" s="1"/>
      <c r="AK43" s="44"/>
      <c r="AL43" s="1"/>
      <c r="AM43" s="44"/>
      <c r="AN43" s="1"/>
      <c r="AO43" s="44"/>
      <c r="AR43" s="1"/>
      <c r="AS43" s="44"/>
      <c r="AT43" s="1"/>
      <c r="AU43" s="44"/>
      <c r="AV43" s="1"/>
      <c r="AW43" s="44"/>
      <c r="AZ43" s="1"/>
      <c r="BA43" s="44"/>
      <c r="BB43" s="1"/>
      <c r="BC43" s="44"/>
      <c r="BD43" s="1"/>
      <c r="BE43" s="44"/>
      <c r="BH43" s="1"/>
      <c r="BI43" s="44"/>
      <c r="BJ43" s="1"/>
      <c r="BK43" s="44"/>
      <c r="BL43" s="1"/>
      <c r="BM43" s="44"/>
      <c r="BO43" s="75" t="s">
        <v>73</v>
      </c>
      <c r="BP43" s="1"/>
      <c r="BQ43" s="44"/>
      <c r="BR43" s="1"/>
      <c r="BS43" s="44"/>
      <c r="BT43" s="1"/>
      <c r="BU43" s="44"/>
      <c r="BX43" s="1"/>
      <c r="BY43" s="44"/>
      <c r="BZ43" s="1"/>
      <c r="CA43" s="44"/>
      <c r="CB43" s="1"/>
      <c r="CC43" s="44"/>
      <c r="CF43" s="1"/>
      <c r="CG43" s="44"/>
      <c r="CH43" s="1"/>
      <c r="CI43" s="44"/>
      <c r="CJ43" s="1"/>
      <c r="CK43" s="44"/>
      <c r="CN43" s="1"/>
      <c r="CO43" s="44"/>
      <c r="CP43" s="1"/>
      <c r="CQ43" s="44"/>
      <c r="CR43" s="1"/>
      <c r="CS43" s="66"/>
    </row>
    <row r="44" spans="1:109" x14ac:dyDescent="0.2">
      <c r="D44" s="1" t="s">
        <v>28</v>
      </c>
      <c r="E44" s="44"/>
      <c r="F44" s="1"/>
      <c r="G44" s="44"/>
      <c r="H44" s="1"/>
      <c r="I44" s="44"/>
      <c r="L44" s="1"/>
      <c r="M44" s="44"/>
      <c r="N44" s="1"/>
      <c r="O44" s="44"/>
      <c r="P44" s="1"/>
      <c r="Q44" s="44"/>
      <c r="S44" s="69"/>
      <c r="T44" s="1"/>
      <c r="U44" s="44"/>
      <c r="V44" s="1"/>
      <c r="W44" s="44"/>
      <c r="X44" s="1"/>
      <c r="Y44" s="44"/>
      <c r="AB44" s="1"/>
      <c r="AC44" s="44"/>
      <c r="AD44" s="1"/>
      <c r="AE44" s="44"/>
      <c r="AF44" s="1"/>
      <c r="AG44" s="44"/>
      <c r="AJ44" s="1"/>
      <c r="AK44" s="44"/>
      <c r="AL44" s="1"/>
      <c r="AM44" s="44"/>
      <c r="AN44" s="1"/>
      <c r="AO44" s="44"/>
      <c r="AR44" s="1"/>
      <c r="AS44" s="44"/>
      <c r="AT44" s="1"/>
      <c r="AU44" s="44"/>
      <c r="AV44" s="1"/>
      <c r="AW44" s="44"/>
      <c r="AZ44" s="1"/>
      <c r="BA44" s="44"/>
      <c r="BB44" s="1"/>
      <c r="BC44" s="44"/>
      <c r="BD44" s="1"/>
      <c r="BE44" s="44"/>
      <c r="BH44" s="1"/>
      <c r="BI44" s="44"/>
      <c r="BJ44" s="1"/>
      <c r="BK44" s="44"/>
      <c r="BL44" s="1"/>
      <c r="BM44" s="44"/>
      <c r="BO44" s="75" t="s">
        <v>74</v>
      </c>
      <c r="BP44" s="1"/>
      <c r="BQ44" s="44"/>
      <c r="BR44" s="1"/>
      <c r="BS44" s="44"/>
      <c r="BT44" s="1"/>
      <c r="BU44" s="44"/>
      <c r="BX44" s="1"/>
      <c r="BY44" s="44"/>
      <c r="BZ44" s="1"/>
      <c r="CA44" s="44"/>
      <c r="CB44" s="1"/>
      <c r="CC44" s="44"/>
      <c r="CF44" s="1"/>
      <c r="CG44" s="44"/>
      <c r="CH44" s="1"/>
      <c r="CI44" s="44"/>
      <c r="CJ44" s="1"/>
      <c r="CK44" s="44"/>
      <c r="CN44" s="1"/>
      <c r="CO44" s="44"/>
      <c r="CP44" s="1"/>
      <c r="CQ44" s="44"/>
      <c r="CR44" s="1"/>
      <c r="CS44" s="66"/>
    </row>
    <row r="45" spans="1:109" x14ac:dyDescent="0.2">
      <c r="D45" s="1" t="s">
        <v>30</v>
      </c>
      <c r="E45" s="44"/>
      <c r="F45" s="1"/>
      <c r="G45" s="44"/>
      <c r="H45" s="1"/>
      <c r="I45" s="44"/>
      <c r="L45" s="1"/>
      <c r="M45" s="44"/>
      <c r="N45" s="1"/>
      <c r="O45" s="44"/>
      <c r="P45" s="1"/>
      <c r="Q45" s="44"/>
      <c r="S45" s="69"/>
      <c r="T45" s="1"/>
      <c r="U45" s="44"/>
      <c r="V45" s="1"/>
      <c r="W45" s="44"/>
      <c r="X45" s="1"/>
      <c r="Y45" s="44"/>
      <c r="AB45" s="1"/>
      <c r="AC45" s="44"/>
      <c r="AD45" s="1"/>
      <c r="AE45" s="44"/>
      <c r="AF45" s="1"/>
      <c r="AG45" s="44"/>
      <c r="AJ45" s="1"/>
      <c r="AK45" s="44"/>
      <c r="AL45" s="1"/>
      <c r="AM45" s="44"/>
      <c r="AN45" s="1"/>
      <c r="AO45" s="44"/>
      <c r="AR45" s="1"/>
      <c r="AS45" s="44"/>
      <c r="AT45" s="1"/>
      <c r="AU45" s="44"/>
      <c r="AV45" s="1"/>
      <c r="AW45" s="44"/>
      <c r="AZ45" s="1"/>
      <c r="BA45" s="44"/>
      <c r="BB45" s="1"/>
      <c r="BC45" s="44"/>
      <c r="BD45" s="1"/>
      <c r="BE45" s="44"/>
      <c r="BH45" s="1"/>
      <c r="BI45" s="44"/>
      <c r="BJ45" s="1"/>
      <c r="BK45" s="44"/>
      <c r="BL45" s="1"/>
      <c r="BM45" s="44"/>
      <c r="BP45" s="1"/>
      <c r="BQ45" s="44"/>
      <c r="BR45" s="1"/>
      <c r="BS45" s="44"/>
      <c r="BT45" s="1"/>
      <c r="BU45" s="44"/>
      <c r="BX45" s="1"/>
      <c r="BY45" s="44"/>
      <c r="BZ45" s="1"/>
      <c r="CA45" s="44"/>
      <c r="CB45" s="1"/>
      <c r="CC45" s="44"/>
      <c r="CF45" s="1"/>
      <c r="CG45" s="44"/>
      <c r="CH45" s="1"/>
      <c r="CI45" s="44"/>
      <c r="CJ45" s="1"/>
      <c r="CK45" s="44"/>
      <c r="CN45" s="1"/>
      <c r="CO45" s="44"/>
      <c r="CP45" s="1"/>
      <c r="CQ45" s="44"/>
      <c r="CR45" s="1"/>
      <c r="CS45" s="66"/>
    </row>
    <row r="46" spans="1:109" x14ac:dyDescent="0.2">
      <c r="S46" s="69"/>
      <c r="BF46" s="25"/>
      <c r="BO46" s="75" t="s">
        <v>75</v>
      </c>
    </row>
    <row r="47" spans="1:109" x14ac:dyDescent="0.2">
      <c r="S47" s="69"/>
      <c r="BF47" s="25"/>
      <c r="BO47" s="74" t="s">
        <v>76</v>
      </c>
    </row>
    <row r="48" spans="1:109" x14ac:dyDescent="0.2">
      <c r="A48" s="34"/>
      <c r="B48" s="34"/>
      <c r="C48" s="74"/>
      <c r="J48" s="34"/>
      <c r="K48" s="74"/>
      <c r="R48" s="34"/>
      <c r="S48" s="70"/>
      <c r="Z48" s="34"/>
      <c r="AA48" s="74"/>
      <c r="AH48" s="34"/>
      <c r="AI48" s="74"/>
      <c r="AP48" s="34"/>
      <c r="AQ48" s="74"/>
      <c r="AX48" s="34"/>
      <c r="AY48" s="74"/>
      <c r="BF48" s="32"/>
      <c r="BG48" s="81"/>
      <c r="BN48" s="34"/>
      <c r="BV48" s="34"/>
      <c r="BW48" s="74"/>
      <c r="CD48" s="34"/>
      <c r="CE48" s="74"/>
      <c r="CL48" s="34"/>
      <c r="CM48" s="7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</row>
    <row r="49" spans="1:109" x14ac:dyDescent="0.2">
      <c r="A49" s="32"/>
      <c r="B49" s="32"/>
      <c r="C49" s="71"/>
      <c r="D49" s="26"/>
      <c r="E49" s="46"/>
      <c r="F49" s="26"/>
      <c r="G49" s="46"/>
      <c r="H49" s="26"/>
      <c r="I49" s="46"/>
      <c r="J49" s="32"/>
      <c r="K49" s="70"/>
      <c r="L49" s="26"/>
      <c r="M49" s="46"/>
      <c r="N49" s="26"/>
      <c r="O49" s="46"/>
      <c r="P49" s="26"/>
      <c r="Q49" s="46"/>
      <c r="R49" s="32"/>
      <c r="S49" s="70"/>
      <c r="T49" s="26"/>
      <c r="U49" s="46"/>
      <c r="V49" s="26"/>
      <c r="W49" s="46"/>
      <c r="X49" s="26"/>
      <c r="Y49" s="46"/>
      <c r="Z49" s="32"/>
      <c r="AA49" s="70"/>
      <c r="AB49" s="26"/>
      <c r="AC49" s="46"/>
      <c r="AD49" s="26"/>
      <c r="AE49" s="46"/>
      <c r="AF49" s="26"/>
      <c r="AG49" s="46"/>
      <c r="AH49" s="34"/>
      <c r="AI49" s="74"/>
      <c r="AJ49" s="26"/>
      <c r="AK49" s="46"/>
      <c r="AL49" s="26"/>
      <c r="AM49" s="46"/>
      <c r="AN49" s="26"/>
      <c r="AO49" s="46"/>
      <c r="AP49" s="32"/>
      <c r="AQ49" s="71"/>
      <c r="AR49" s="26"/>
      <c r="AS49" s="46"/>
      <c r="AT49" s="26"/>
      <c r="AU49" s="46"/>
      <c r="AV49" s="26"/>
      <c r="AW49" s="46"/>
      <c r="AX49" s="32"/>
      <c r="AY49" s="70"/>
      <c r="AZ49" s="26"/>
      <c r="BA49" s="46"/>
      <c r="BB49" s="26"/>
      <c r="BC49" s="46"/>
      <c r="BD49" s="26"/>
      <c r="BE49" s="46"/>
      <c r="BF49" s="32"/>
      <c r="BG49" s="70"/>
      <c r="BH49" s="26"/>
      <c r="BI49" s="46"/>
      <c r="BJ49" s="26"/>
      <c r="BK49" s="46"/>
      <c r="BL49" s="26"/>
      <c r="BM49" s="46"/>
      <c r="BN49" s="32"/>
      <c r="BO49" s="70"/>
      <c r="BP49" s="26"/>
      <c r="BQ49" s="46"/>
      <c r="BR49" s="26"/>
      <c r="BS49" s="46"/>
      <c r="BT49" s="26"/>
      <c r="BU49" s="46"/>
      <c r="BV49" s="34"/>
      <c r="BW49" s="74"/>
      <c r="BX49" s="26"/>
      <c r="BY49" s="46"/>
      <c r="BZ49" s="26"/>
      <c r="CA49" s="46"/>
      <c r="CB49" s="26"/>
      <c r="CC49" s="46"/>
      <c r="CD49" s="34"/>
      <c r="CE49" s="74"/>
      <c r="CF49" s="26"/>
      <c r="CG49" s="46"/>
      <c r="CH49" s="26"/>
      <c r="CI49" s="46"/>
      <c r="CJ49" s="26"/>
      <c r="CK49" s="46"/>
      <c r="CL49" s="34"/>
      <c r="CM49" s="74"/>
      <c r="CN49" s="26"/>
      <c r="CO49" s="46"/>
      <c r="CP49" s="26"/>
      <c r="CQ49" s="46"/>
      <c r="CR49" s="26"/>
      <c r="CS49" s="46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</row>
    <row r="50" spans="1:109" x14ac:dyDescent="0.2">
      <c r="A50" s="32"/>
      <c r="B50" s="32"/>
      <c r="C50" s="70"/>
      <c r="D50" s="26"/>
      <c r="E50" s="46"/>
      <c r="F50" s="26"/>
      <c r="G50" s="46"/>
      <c r="H50" s="26"/>
      <c r="I50" s="46"/>
      <c r="J50" s="32"/>
      <c r="K50" s="70"/>
      <c r="L50" s="26"/>
      <c r="M50" s="46"/>
      <c r="N50" s="26"/>
      <c r="O50" s="46"/>
      <c r="P50" s="26"/>
      <c r="Q50" s="46"/>
      <c r="R50" s="32"/>
      <c r="S50" s="70"/>
      <c r="T50" s="26"/>
      <c r="U50" s="46"/>
      <c r="V50" s="26"/>
      <c r="W50" s="46"/>
      <c r="X50" s="26"/>
      <c r="Y50" s="46"/>
      <c r="Z50" s="32"/>
      <c r="AA50" s="70"/>
      <c r="AB50" s="26"/>
      <c r="AC50" s="46"/>
      <c r="AD50" s="26"/>
      <c r="AE50" s="46"/>
      <c r="AF50" s="26"/>
      <c r="AG50" s="46"/>
      <c r="AH50" s="34"/>
      <c r="AI50" s="74"/>
      <c r="AJ50" s="26"/>
      <c r="AK50" s="46"/>
      <c r="AL50" s="26"/>
      <c r="AM50" s="46"/>
      <c r="AN50" s="26"/>
      <c r="AO50" s="46"/>
      <c r="AP50" s="32"/>
      <c r="AQ50" s="70"/>
      <c r="AR50" s="26"/>
      <c r="AS50" s="46"/>
      <c r="AT50" s="26"/>
      <c r="AU50" s="46"/>
      <c r="AV50" s="26"/>
      <c r="AW50" s="46"/>
      <c r="AX50" s="32"/>
      <c r="AY50" s="70"/>
      <c r="AZ50" s="26"/>
      <c r="BA50" s="46"/>
      <c r="BB50" s="26"/>
      <c r="BC50" s="46"/>
      <c r="BD50" s="26"/>
      <c r="BE50" s="46"/>
      <c r="BF50" s="32"/>
      <c r="BG50" s="70"/>
      <c r="BH50" s="26"/>
      <c r="BI50" s="46"/>
      <c r="BJ50" s="26"/>
      <c r="BK50" s="46"/>
      <c r="BL50" s="26"/>
      <c r="BM50" s="46"/>
      <c r="BN50" s="32"/>
      <c r="BO50" s="70"/>
      <c r="BP50" s="26"/>
      <c r="BQ50" s="46"/>
      <c r="BR50" s="26"/>
      <c r="BS50" s="46"/>
      <c r="BT50" s="26"/>
      <c r="BU50" s="46"/>
      <c r="BV50" s="34"/>
      <c r="BW50" s="74"/>
      <c r="BX50" s="26"/>
      <c r="BY50" s="46"/>
      <c r="BZ50" s="26"/>
      <c r="CA50" s="46"/>
      <c r="CB50" s="26"/>
      <c r="CC50" s="46"/>
      <c r="CD50" s="34"/>
      <c r="CE50" s="74"/>
      <c r="CF50" s="26"/>
      <c r="CG50" s="46"/>
      <c r="CH50" s="26"/>
      <c r="CI50" s="46"/>
      <c r="CJ50" s="26"/>
      <c r="CK50" s="46"/>
      <c r="CL50" s="34"/>
      <c r="CM50" s="74"/>
      <c r="CN50" s="26"/>
      <c r="CO50" s="46"/>
      <c r="CP50" s="26"/>
      <c r="CQ50" s="46"/>
      <c r="CR50" s="26"/>
      <c r="CS50" s="46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</row>
    <row r="51" spans="1:109" ht="15" customHeight="1" x14ac:dyDescent="0.2">
      <c r="A51" s="32"/>
      <c r="B51" s="32"/>
      <c r="C51" s="71"/>
      <c r="D51" s="27"/>
      <c r="E51" s="47"/>
      <c r="F51" s="27"/>
      <c r="G51" s="47"/>
      <c r="H51" s="27"/>
      <c r="I51" s="47"/>
      <c r="J51" s="33"/>
      <c r="K51" s="71"/>
      <c r="L51" s="27"/>
      <c r="M51" s="47"/>
      <c r="N51" s="27"/>
      <c r="O51" s="47"/>
      <c r="P51" s="27"/>
      <c r="Q51" s="47"/>
      <c r="R51" s="33"/>
      <c r="S51" s="71"/>
      <c r="T51" s="27"/>
      <c r="U51" s="47"/>
      <c r="V51" s="27"/>
      <c r="W51" s="47"/>
      <c r="X51" s="27"/>
      <c r="Y51" s="47"/>
      <c r="Z51" s="33"/>
      <c r="AA51" s="71"/>
      <c r="AB51" s="27"/>
      <c r="AC51" s="47"/>
      <c r="AD51" s="27"/>
      <c r="AE51" s="47"/>
      <c r="AF51" s="27"/>
      <c r="AG51" s="47"/>
      <c r="AH51" s="34"/>
      <c r="AI51" s="74"/>
      <c r="AJ51" s="27"/>
      <c r="AK51" s="47"/>
      <c r="AL51" s="27"/>
      <c r="AM51" s="47"/>
      <c r="AN51" s="27"/>
      <c r="AO51" s="47"/>
      <c r="AP51" s="32"/>
      <c r="AQ51" s="71"/>
      <c r="AR51" s="27"/>
      <c r="AS51" s="47"/>
      <c r="AT51" s="27"/>
      <c r="AU51" s="47"/>
      <c r="AV51" s="27"/>
      <c r="AW51" s="47"/>
      <c r="AX51" s="33"/>
      <c r="AY51" s="71"/>
      <c r="AZ51" s="27"/>
      <c r="BA51" s="47"/>
      <c r="BB51" s="27"/>
      <c r="BC51" s="47"/>
      <c r="BD51" s="27"/>
      <c r="BE51" s="47"/>
      <c r="BF51" s="33"/>
      <c r="BG51" s="71"/>
      <c r="BH51" s="27"/>
      <c r="BI51" s="47"/>
      <c r="BJ51" s="27"/>
      <c r="BK51" s="47"/>
      <c r="BL51" s="27"/>
      <c r="BM51" s="47"/>
      <c r="BN51" s="33"/>
      <c r="BO51" s="71"/>
      <c r="BP51" s="27"/>
      <c r="BQ51" s="47"/>
      <c r="BR51" s="27"/>
      <c r="BS51" s="47"/>
      <c r="BT51" s="27"/>
      <c r="BU51" s="47"/>
      <c r="BV51" s="34"/>
      <c r="BW51" s="74"/>
      <c r="BX51" s="27"/>
      <c r="BY51" s="47"/>
      <c r="BZ51" s="27"/>
      <c r="CA51" s="47"/>
      <c r="CB51" s="27"/>
      <c r="CC51" s="47"/>
      <c r="CD51" s="34"/>
      <c r="CE51" s="74"/>
      <c r="CF51" s="27"/>
      <c r="CG51" s="47"/>
      <c r="CH51" s="27"/>
      <c r="CI51" s="47"/>
      <c r="CJ51" s="27"/>
      <c r="CK51" s="47"/>
      <c r="CL51" s="34"/>
      <c r="CM51" s="74"/>
      <c r="CN51" s="27"/>
      <c r="CO51" s="47"/>
      <c r="CP51" s="27"/>
      <c r="CQ51" s="47"/>
      <c r="CR51" s="27"/>
      <c r="CS51" s="47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</row>
    <row r="52" spans="1:109" x14ac:dyDescent="0.2">
      <c r="A52" s="32"/>
      <c r="B52" s="32"/>
      <c r="C52" s="70"/>
      <c r="D52" s="26"/>
      <c r="E52" s="46"/>
      <c r="F52" s="26"/>
      <c r="G52" s="46"/>
      <c r="H52" s="26"/>
      <c r="I52" s="46"/>
      <c r="J52" s="32"/>
      <c r="K52" s="70"/>
      <c r="L52" s="26"/>
      <c r="M52" s="46"/>
      <c r="N52" s="26"/>
      <c r="O52" s="46"/>
      <c r="P52" s="26"/>
      <c r="Q52" s="46"/>
      <c r="R52" s="32"/>
      <c r="S52" s="70"/>
      <c r="T52" s="26"/>
      <c r="U52" s="46"/>
      <c r="V52" s="26"/>
      <c r="W52" s="46"/>
      <c r="X52" s="26"/>
      <c r="Y52" s="46"/>
      <c r="Z52" s="32"/>
      <c r="AA52" s="70"/>
      <c r="AB52" s="26"/>
      <c r="AC52" s="46"/>
      <c r="AD52" s="26"/>
      <c r="AE52" s="46"/>
      <c r="AF52" s="26"/>
      <c r="AG52" s="46"/>
      <c r="AH52" s="34"/>
      <c r="AI52" s="74"/>
      <c r="AJ52" s="26"/>
      <c r="AK52" s="46"/>
      <c r="AL52" s="26"/>
      <c r="AM52" s="46"/>
      <c r="AN52" s="26"/>
      <c r="AO52" s="46"/>
      <c r="AP52" s="32"/>
      <c r="AQ52" s="70"/>
      <c r="AR52" s="26"/>
      <c r="AS52" s="46"/>
      <c r="AT52" s="26"/>
      <c r="AU52" s="46"/>
      <c r="AV52" s="26"/>
      <c r="AW52" s="46"/>
      <c r="AX52" s="32"/>
      <c r="AY52" s="70"/>
      <c r="AZ52" s="26"/>
      <c r="BA52" s="46"/>
      <c r="BB52" s="26"/>
      <c r="BC52" s="46"/>
      <c r="BD52" s="26"/>
      <c r="BE52" s="46"/>
      <c r="BF52" s="32"/>
      <c r="BG52" s="70"/>
      <c r="BH52" s="26"/>
      <c r="BI52" s="46"/>
      <c r="BJ52" s="26"/>
      <c r="BK52" s="46"/>
      <c r="BL52" s="26"/>
      <c r="BM52" s="46"/>
      <c r="BN52" s="32"/>
      <c r="BO52" s="70"/>
      <c r="BP52" s="26"/>
      <c r="BQ52" s="46"/>
      <c r="BR52" s="26"/>
      <c r="BS52" s="46"/>
      <c r="BT52" s="26"/>
      <c r="BU52" s="46"/>
      <c r="BV52" s="34"/>
      <c r="BW52" s="74"/>
      <c r="BX52" s="26"/>
      <c r="BY52" s="46"/>
      <c r="BZ52" s="26"/>
      <c r="CA52" s="46"/>
      <c r="CB52" s="26"/>
      <c r="CC52" s="46"/>
      <c r="CD52" s="34"/>
      <c r="CE52" s="74"/>
      <c r="CF52" s="26"/>
      <c r="CG52" s="46"/>
      <c r="CH52" s="26"/>
      <c r="CI52" s="46"/>
      <c r="CJ52" s="26"/>
      <c r="CK52" s="46"/>
      <c r="CL52" s="34"/>
      <c r="CM52" s="74"/>
      <c r="CN52" s="26"/>
      <c r="CO52" s="46"/>
      <c r="CP52" s="26"/>
      <c r="CQ52" s="46"/>
      <c r="CR52" s="26"/>
      <c r="CS52" s="46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</row>
    <row r="53" spans="1:109" x14ac:dyDescent="0.2">
      <c r="A53" s="32"/>
      <c r="B53" s="32"/>
      <c r="C53" s="72"/>
      <c r="D53" s="28"/>
      <c r="E53" s="48"/>
      <c r="F53" s="28"/>
      <c r="G53" s="48"/>
      <c r="H53" s="28"/>
      <c r="I53" s="48"/>
      <c r="J53" s="28"/>
      <c r="K53" s="72"/>
      <c r="L53" s="28"/>
      <c r="M53" s="48"/>
      <c r="N53" s="28"/>
      <c r="O53" s="48"/>
      <c r="P53" s="28"/>
      <c r="Q53" s="48"/>
      <c r="R53" s="28"/>
      <c r="S53" s="72"/>
      <c r="T53" s="28"/>
      <c r="U53" s="48"/>
      <c r="V53" s="28"/>
      <c r="W53" s="48"/>
      <c r="X53" s="28"/>
      <c r="Y53" s="48"/>
      <c r="Z53" s="28"/>
      <c r="AA53" s="72"/>
      <c r="AB53" s="28"/>
      <c r="AC53" s="48"/>
      <c r="AD53" s="28"/>
      <c r="AE53" s="48"/>
      <c r="AF53" s="28"/>
      <c r="AG53" s="48"/>
      <c r="AH53" s="34"/>
      <c r="AI53" s="74"/>
      <c r="AJ53" s="28"/>
      <c r="AK53" s="48"/>
      <c r="AL53" s="28"/>
      <c r="AM53" s="48"/>
      <c r="AN53" s="28"/>
      <c r="AO53" s="48"/>
      <c r="AP53" s="32"/>
      <c r="AQ53" s="76"/>
      <c r="AR53" s="28"/>
      <c r="AS53" s="48"/>
      <c r="AT53" s="28"/>
      <c r="AU53" s="48"/>
      <c r="AV53" s="28"/>
      <c r="AW53" s="48"/>
      <c r="AX53" s="30"/>
      <c r="AY53" s="76"/>
      <c r="AZ53" s="28"/>
      <c r="BA53" s="48"/>
      <c r="BB53" s="28"/>
      <c r="BC53" s="48"/>
      <c r="BD53" s="28"/>
      <c r="BE53" s="48"/>
      <c r="BF53" s="30"/>
      <c r="BG53" s="76"/>
      <c r="BH53" s="28"/>
      <c r="BI53" s="48"/>
      <c r="BJ53" s="28"/>
      <c r="BK53" s="48"/>
      <c r="BL53" s="28"/>
      <c r="BM53" s="48"/>
      <c r="BN53" s="30"/>
      <c r="BO53" s="76"/>
      <c r="BP53" s="28"/>
      <c r="BQ53" s="48"/>
      <c r="BR53" s="28"/>
      <c r="BS53" s="48"/>
      <c r="BT53" s="28"/>
      <c r="BU53" s="48"/>
      <c r="BV53" s="30"/>
      <c r="BW53" s="74"/>
      <c r="BX53" s="28"/>
      <c r="BY53" s="48"/>
      <c r="BZ53" s="28"/>
      <c r="CA53" s="48"/>
      <c r="CB53" s="28"/>
      <c r="CC53" s="48"/>
      <c r="CD53" s="34"/>
      <c r="CE53" s="74"/>
      <c r="CF53" s="28"/>
      <c r="CG53" s="48"/>
      <c r="CH53" s="28"/>
      <c r="CI53" s="48"/>
      <c r="CJ53" s="28"/>
      <c r="CK53" s="48"/>
      <c r="CL53" s="34"/>
      <c r="CM53" s="74"/>
      <c r="CN53" s="28"/>
      <c r="CO53" s="48"/>
      <c r="CP53" s="28"/>
      <c r="CQ53" s="48"/>
      <c r="CR53" s="28"/>
      <c r="CS53" s="48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</row>
    <row r="54" spans="1:109" ht="12.75" customHeight="1" x14ac:dyDescent="0.2">
      <c r="A54" s="32"/>
      <c r="B54" s="32"/>
      <c r="C54" s="72"/>
      <c r="D54" s="28"/>
      <c r="E54" s="48"/>
      <c r="F54" s="28"/>
      <c r="G54" s="48"/>
      <c r="H54" s="28"/>
      <c r="I54" s="48"/>
      <c r="J54" s="28"/>
      <c r="K54" s="72"/>
      <c r="L54" s="28"/>
      <c r="M54" s="48"/>
      <c r="N54" s="28"/>
      <c r="O54" s="48"/>
      <c r="P54" s="28"/>
      <c r="Q54" s="48"/>
      <c r="R54" s="28"/>
      <c r="S54" s="72"/>
      <c r="T54" s="28"/>
      <c r="U54" s="48"/>
      <c r="V54" s="28"/>
      <c r="W54" s="48"/>
      <c r="X54" s="28"/>
      <c r="Y54" s="48"/>
      <c r="Z54" s="28"/>
      <c r="AA54" s="72"/>
      <c r="AB54" s="28"/>
      <c r="AC54" s="48"/>
      <c r="AD54" s="28"/>
      <c r="AE54" s="48"/>
      <c r="AF54" s="28"/>
      <c r="AG54" s="48"/>
      <c r="AH54" s="34"/>
      <c r="AI54" s="74"/>
      <c r="AJ54" s="28"/>
      <c r="AK54" s="48"/>
      <c r="AL54" s="28"/>
      <c r="AM54" s="48"/>
      <c r="AN54" s="28"/>
      <c r="AO54" s="48"/>
      <c r="AP54" s="32"/>
      <c r="AQ54" s="76"/>
      <c r="AR54" s="28"/>
      <c r="AS54" s="48"/>
      <c r="AT54" s="28"/>
      <c r="AU54" s="48"/>
      <c r="AV54" s="28"/>
      <c r="AW54" s="48"/>
      <c r="AX54" s="30"/>
      <c r="AY54" s="76"/>
      <c r="AZ54" s="28"/>
      <c r="BA54" s="48"/>
      <c r="BB54" s="28"/>
      <c r="BC54" s="48"/>
      <c r="BD54" s="28"/>
      <c r="BE54" s="48"/>
      <c r="BF54" s="30"/>
      <c r="BG54" s="76"/>
      <c r="BH54" s="28"/>
      <c r="BI54" s="48"/>
      <c r="BJ54" s="28"/>
      <c r="BK54" s="48"/>
      <c r="BL54" s="28"/>
      <c r="BM54" s="48"/>
      <c r="BN54" s="30"/>
      <c r="BO54" s="76"/>
      <c r="BP54" s="28"/>
      <c r="BQ54" s="48"/>
      <c r="BR54" s="28"/>
      <c r="BS54" s="48"/>
      <c r="BT54" s="28"/>
      <c r="BU54" s="48"/>
      <c r="BV54" s="30"/>
      <c r="BW54" s="74"/>
      <c r="BX54" s="28"/>
      <c r="BY54" s="48"/>
      <c r="BZ54" s="28"/>
      <c r="CA54" s="48"/>
      <c r="CB54" s="28"/>
      <c r="CC54" s="48"/>
      <c r="CD54" s="34"/>
      <c r="CE54" s="74"/>
      <c r="CF54" s="28"/>
      <c r="CG54" s="48"/>
      <c r="CH54" s="28"/>
      <c r="CI54" s="48"/>
      <c r="CJ54" s="28"/>
      <c r="CK54" s="48"/>
      <c r="CL54" s="34"/>
      <c r="CM54" s="74"/>
      <c r="CN54" s="28"/>
      <c r="CO54" s="48"/>
      <c r="CP54" s="28"/>
      <c r="CQ54" s="48"/>
      <c r="CR54" s="28"/>
      <c r="CS54" s="48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</row>
    <row r="55" spans="1:109" x14ac:dyDescent="0.2">
      <c r="A55" s="32"/>
      <c r="B55" s="32"/>
      <c r="C55" s="72"/>
      <c r="D55" s="28"/>
      <c r="E55" s="48"/>
      <c r="F55" s="28"/>
      <c r="G55" s="48"/>
      <c r="H55" s="28"/>
      <c r="I55" s="48"/>
      <c r="J55" s="28"/>
      <c r="K55" s="72"/>
      <c r="L55" s="28"/>
      <c r="M55" s="48"/>
      <c r="N55" s="28"/>
      <c r="O55" s="48"/>
      <c r="P55" s="28"/>
      <c r="Q55" s="48"/>
      <c r="R55" s="28"/>
      <c r="S55" s="72"/>
      <c r="T55" s="28"/>
      <c r="U55" s="48"/>
      <c r="V55" s="28"/>
      <c r="W55" s="48"/>
      <c r="X55" s="28"/>
      <c r="Y55" s="48"/>
      <c r="Z55" s="28"/>
      <c r="AA55" s="72"/>
      <c r="AB55" s="28"/>
      <c r="AC55" s="48"/>
      <c r="AD55" s="28"/>
      <c r="AE55" s="48"/>
      <c r="AF55" s="28"/>
      <c r="AG55" s="48"/>
      <c r="AH55" s="34"/>
      <c r="AI55" s="74"/>
      <c r="AJ55" s="28"/>
      <c r="AK55" s="48"/>
      <c r="AL55" s="28"/>
      <c r="AM55" s="48"/>
      <c r="AN55" s="28"/>
      <c r="AO55" s="48"/>
      <c r="AP55" s="34"/>
      <c r="AQ55" s="76"/>
      <c r="AR55" s="28"/>
      <c r="AS55" s="48"/>
      <c r="AT55" s="28"/>
      <c r="AU55" s="48"/>
      <c r="AV55" s="28"/>
      <c r="AW55" s="48"/>
      <c r="AX55" s="30"/>
      <c r="AY55" s="76"/>
      <c r="AZ55" s="28"/>
      <c r="BA55" s="48"/>
      <c r="BB55" s="28"/>
      <c r="BC55" s="48"/>
      <c r="BD55" s="28"/>
      <c r="BE55" s="48"/>
      <c r="BF55" s="31"/>
      <c r="BG55" s="73"/>
      <c r="BH55" s="28"/>
      <c r="BI55" s="48"/>
      <c r="BJ55" s="28"/>
      <c r="BK55" s="48"/>
      <c r="BL55" s="28"/>
      <c r="BM55" s="48"/>
      <c r="BN55" s="30"/>
      <c r="BO55" s="76"/>
      <c r="BP55" s="28"/>
      <c r="BQ55" s="48"/>
      <c r="BR55" s="28"/>
      <c r="BS55" s="48"/>
      <c r="BT55" s="28"/>
      <c r="BU55" s="48"/>
      <c r="BV55" s="30"/>
      <c r="BW55" s="74"/>
      <c r="BX55" s="28"/>
      <c r="BY55" s="48"/>
      <c r="BZ55" s="28"/>
      <c r="CA55" s="48"/>
      <c r="CB55" s="28"/>
      <c r="CC55" s="48"/>
      <c r="CD55" s="34"/>
      <c r="CE55" s="74"/>
      <c r="CF55" s="28"/>
      <c r="CG55" s="48"/>
      <c r="CH55" s="28"/>
      <c r="CI55" s="48"/>
      <c r="CJ55" s="28"/>
      <c r="CK55" s="48"/>
      <c r="CL55" s="34"/>
      <c r="CM55" s="74"/>
      <c r="CN55" s="28"/>
      <c r="CO55" s="48"/>
      <c r="CP55" s="28"/>
      <c r="CQ55" s="48"/>
      <c r="CR55" s="28"/>
      <c r="CS55" s="48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</row>
    <row r="56" spans="1:109" x14ac:dyDescent="0.2">
      <c r="A56" s="32"/>
      <c r="B56" s="32"/>
      <c r="C56" s="72"/>
      <c r="D56" s="28"/>
      <c r="E56" s="48"/>
      <c r="F56" s="28"/>
      <c r="G56" s="48"/>
      <c r="H56" s="28"/>
      <c r="I56" s="48"/>
      <c r="J56" s="28"/>
      <c r="K56" s="72"/>
      <c r="L56" s="28"/>
      <c r="M56" s="48"/>
      <c r="N56" s="28"/>
      <c r="O56" s="48"/>
      <c r="P56" s="28"/>
      <c r="Q56" s="48"/>
      <c r="R56" s="28"/>
      <c r="S56" s="72"/>
      <c r="T56" s="28"/>
      <c r="U56" s="48"/>
      <c r="V56" s="28"/>
      <c r="W56" s="48"/>
      <c r="X56" s="28"/>
      <c r="Y56" s="48"/>
      <c r="Z56" s="28"/>
      <c r="AA56" s="72"/>
      <c r="AB56" s="28"/>
      <c r="AC56" s="48"/>
      <c r="AD56" s="28"/>
      <c r="AE56" s="48"/>
      <c r="AF56" s="28"/>
      <c r="AG56" s="48"/>
      <c r="AH56" s="34"/>
      <c r="AI56" s="74"/>
      <c r="AJ56" s="28"/>
      <c r="AK56" s="48"/>
      <c r="AL56" s="28"/>
      <c r="AM56" s="48"/>
      <c r="AN56" s="28"/>
      <c r="AO56" s="48"/>
      <c r="AP56" s="34"/>
      <c r="AQ56" s="76"/>
      <c r="AR56" s="28"/>
      <c r="AS56" s="48"/>
      <c r="AT56" s="28"/>
      <c r="AU56" s="48"/>
      <c r="AV56" s="28"/>
      <c r="AW56" s="48"/>
      <c r="AX56" s="30"/>
      <c r="AY56" s="76"/>
      <c r="AZ56" s="28"/>
      <c r="BA56" s="48"/>
      <c r="BB56" s="28"/>
      <c r="BC56" s="48"/>
      <c r="BD56" s="28"/>
      <c r="BE56" s="48"/>
      <c r="BF56" s="31"/>
      <c r="BG56" s="73"/>
      <c r="BH56" s="28"/>
      <c r="BI56" s="48"/>
      <c r="BJ56" s="28"/>
      <c r="BK56" s="48"/>
      <c r="BL56" s="28"/>
      <c r="BM56" s="48"/>
      <c r="BN56" s="30"/>
      <c r="BO56" s="76"/>
      <c r="BP56" s="28"/>
      <c r="BQ56" s="48"/>
      <c r="BR56" s="28"/>
      <c r="BS56" s="48"/>
      <c r="BT56" s="28"/>
      <c r="BU56" s="48"/>
      <c r="BV56" s="30"/>
      <c r="BW56" s="74"/>
      <c r="BX56" s="28"/>
      <c r="BY56" s="48"/>
      <c r="BZ56" s="28"/>
      <c r="CA56" s="48"/>
      <c r="CB56" s="28"/>
      <c r="CC56" s="48"/>
      <c r="CD56" s="34"/>
      <c r="CE56" s="74"/>
      <c r="CF56" s="28"/>
      <c r="CG56" s="48"/>
      <c r="CH56" s="28"/>
      <c r="CI56" s="48"/>
      <c r="CJ56" s="28"/>
      <c r="CK56" s="48"/>
      <c r="CL56" s="34"/>
      <c r="CM56" s="74"/>
      <c r="CN56" s="28"/>
      <c r="CO56" s="48"/>
      <c r="CP56" s="28"/>
      <c r="CQ56" s="48"/>
      <c r="CR56" s="28"/>
      <c r="CS56" s="48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</row>
    <row r="57" spans="1:109" x14ac:dyDescent="0.2">
      <c r="A57" s="33"/>
      <c r="B57" s="33"/>
      <c r="C57" s="72"/>
      <c r="D57" s="29"/>
      <c r="E57" s="49"/>
      <c r="F57" s="29"/>
      <c r="G57" s="49"/>
      <c r="H57" s="29"/>
      <c r="I57" s="49"/>
      <c r="J57" s="28"/>
      <c r="K57" s="72"/>
      <c r="L57" s="29"/>
      <c r="M57" s="49"/>
      <c r="N57" s="29"/>
      <c r="O57" s="49"/>
      <c r="P57" s="29"/>
      <c r="Q57" s="49"/>
      <c r="R57" s="28"/>
      <c r="S57" s="72"/>
      <c r="T57" s="29"/>
      <c r="U57" s="49"/>
      <c r="V57" s="29"/>
      <c r="W57" s="49"/>
      <c r="X57" s="29"/>
      <c r="Y57" s="49"/>
      <c r="Z57" s="28"/>
      <c r="AA57" s="72"/>
      <c r="AB57" s="29"/>
      <c r="AC57" s="49"/>
      <c r="AD57" s="29"/>
      <c r="AE57" s="49"/>
      <c r="AF57" s="29"/>
      <c r="AG57" s="49"/>
      <c r="AH57" s="34"/>
      <c r="AI57" s="74"/>
      <c r="AJ57" s="29"/>
      <c r="AK57" s="49"/>
      <c r="AL57" s="29"/>
      <c r="AM57" s="49"/>
      <c r="AN57" s="29"/>
      <c r="AO57" s="49"/>
      <c r="AP57" s="34"/>
      <c r="AQ57" s="76"/>
      <c r="AR57" s="29"/>
      <c r="AS57" s="49"/>
      <c r="AT57" s="29"/>
      <c r="AU57" s="49"/>
      <c r="AV57" s="29"/>
      <c r="AW57" s="49"/>
      <c r="AX57" s="30"/>
      <c r="AY57" s="76"/>
      <c r="AZ57" s="29"/>
      <c r="BA57" s="49"/>
      <c r="BB57" s="29"/>
      <c r="BC57" s="49"/>
      <c r="BD57" s="29"/>
      <c r="BE57" s="49"/>
      <c r="BF57" s="31"/>
      <c r="BG57" s="73"/>
      <c r="BH57" s="29"/>
      <c r="BI57" s="49"/>
      <c r="BJ57" s="29"/>
      <c r="BK57" s="49"/>
      <c r="BL57" s="29"/>
      <c r="BM57" s="49"/>
      <c r="BN57" s="30"/>
      <c r="BO57" s="76"/>
      <c r="BP57" s="29"/>
      <c r="BQ57" s="49"/>
      <c r="BR57" s="29"/>
      <c r="BS57" s="49"/>
      <c r="BT57" s="29"/>
      <c r="BU57" s="49"/>
      <c r="BV57" s="30"/>
      <c r="BW57" s="74"/>
      <c r="BX57" s="29"/>
      <c r="BY57" s="49"/>
      <c r="BZ57" s="29"/>
      <c r="CA57" s="49"/>
      <c r="CB57" s="29"/>
      <c r="CC57" s="49"/>
      <c r="CD57" s="34"/>
      <c r="CE57" s="74"/>
      <c r="CF57" s="29"/>
      <c r="CG57" s="49"/>
      <c r="CH57" s="29"/>
      <c r="CI57" s="49"/>
      <c r="CJ57" s="29"/>
      <c r="CK57" s="49"/>
      <c r="CL57" s="34"/>
      <c r="CM57" s="74"/>
      <c r="CN57" s="29"/>
      <c r="CO57" s="49"/>
      <c r="CP57" s="29"/>
      <c r="CQ57" s="49"/>
      <c r="CR57" s="29"/>
      <c r="CS57" s="49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</row>
    <row r="58" spans="1:109" x14ac:dyDescent="0.2">
      <c r="A58" s="32"/>
      <c r="B58" s="32"/>
      <c r="C58" s="72"/>
      <c r="D58" s="28"/>
      <c r="E58" s="48"/>
      <c r="F58" s="28"/>
      <c r="G58" s="48"/>
      <c r="H58" s="28"/>
      <c r="I58" s="48"/>
      <c r="J58" s="28"/>
      <c r="K58" s="72"/>
      <c r="L58" s="28"/>
      <c r="M58" s="48"/>
      <c r="N58" s="28"/>
      <c r="O58" s="48"/>
      <c r="P58" s="28"/>
      <c r="Q58" s="48"/>
      <c r="R58" s="28"/>
      <c r="S58" s="72"/>
      <c r="T58" s="28"/>
      <c r="U58" s="48"/>
      <c r="V58" s="28"/>
      <c r="W58" s="48"/>
      <c r="X58" s="28"/>
      <c r="Y58" s="48"/>
      <c r="Z58" s="28"/>
      <c r="AA58" s="72"/>
      <c r="AB58" s="28"/>
      <c r="AC58" s="48"/>
      <c r="AD58" s="28"/>
      <c r="AE58" s="48"/>
      <c r="AF58" s="28"/>
      <c r="AG58" s="48"/>
      <c r="AH58" s="34"/>
      <c r="AI58" s="74"/>
      <c r="AJ58" s="28"/>
      <c r="AK58" s="48"/>
      <c r="AL58" s="28"/>
      <c r="AM58" s="48"/>
      <c r="AN58" s="28"/>
      <c r="AO58" s="48"/>
      <c r="AP58" s="34"/>
      <c r="AQ58" s="76"/>
      <c r="AR58" s="28"/>
      <c r="AS58" s="48"/>
      <c r="AT58" s="28"/>
      <c r="AU58" s="48"/>
      <c r="AV58" s="28"/>
      <c r="AW58" s="48"/>
      <c r="AX58" s="30"/>
      <c r="AY58" s="76"/>
      <c r="AZ58" s="28"/>
      <c r="BA58" s="48"/>
      <c r="BB58" s="28"/>
      <c r="BC58" s="48"/>
      <c r="BD58" s="28"/>
      <c r="BE58" s="48"/>
      <c r="BF58" s="31"/>
      <c r="BG58" s="73"/>
      <c r="BH58" s="28"/>
      <c r="BI58" s="48"/>
      <c r="BJ58" s="28"/>
      <c r="BK58" s="48"/>
      <c r="BL58" s="28"/>
      <c r="BM58" s="48"/>
      <c r="BN58" s="30"/>
      <c r="BO58" s="76"/>
      <c r="BP58" s="28"/>
      <c r="BQ58" s="48"/>
      <c r="BR58" s="28"/>
      <c r="BS58" s="48"/>
      <c r="BT58" s="28"/>
      <c r="BU58" s="48"/>
      <c r="BV58" s="30"/>
      <c r="BW58" s="74"/>
      <c r="BX58" s="28"/>
      <c r="BY58" s="48"/>
      <c r="BZ58" s="28"/>
      <c r="CA58" s="48"/>
      <c r="CB58" s="28"/>
      <c r="CC58" s="48"/>
      <c r="CD58" s="34"/>
      <c r="CE58" s="74"/>
      <c r="CF58" s="28"/>
      <c r="CG58" s="48"/>
      <c r="CH58" s="28"/>
      <c r="CI58" s="48"/>
      <c r="CJ58" s="28"/>
      <c r="CK58" s="48"/>
      <c r="CL58" s="34"/>
      <c r="CM58" s="74"/>
      <c r="CN58" s="28"/>
      <c r="CO58" s="48"/>
      <c r="CP58" s="28"/>
      <c r="CQ58" s="48"/>
      <c r="CR58" s="28"/>
      <c r="CS58" s="48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</row>
    <row r="59" spans="1:109" x14ac:dyDescent="0.2">
      <c r="A59" s="32"/>
      <c r="B59" s="32"/>
      <c r="C59" s="72"/>
      <c r="D59" s="28"/>
      <c r="E59" s="48"/>
      <c r="F59" s="28"/>
      <c r="G59" s="48"/>
      <c r="H59" s="28"/>
      <c r="I59" s="48"/>
      <c r="J59" s="28"/>
      <c r="K59" s="72"/>
      <c r="L59" s="28"/>
      <c r="M59" s="48"/>
      <c r="N59" s="28"/>
      <c r="O59" s="48"/>
      <c r="P59" s="28"/>
      <c r="Q59" s="48"/>
      <c r="R59" s="28"/>
      <c r="S59" s="72"/>
      <c r="T59" s="28"/>
      <c r="U59" s="48"/>
      <c r="V59" s="28"/>
      <c r="W59" s="48"/>
      <c r="X59" s="28"/>
      <c r="Y59" s="48"/>
      <c r="Z59" s="28"/>
      <c r="AA59" s="72"/>
      <c r="AB59" s="28"/>
      <c r="AC59" s="48"/>
      <c r="AD59" s="28"/>
      <c r="AE59" s="48"/>
      <c r="AF59" s="28"/>
      <c r="AG59" s="48"/>
      <c r="AH59" s="34"/>
      <c r="AI59" s="74"/>
      <c r="AJ59" s="28"/>
      <c r="AK59" s="48"/>
      <c r="AL59" s="28"/>
      <c r="AM59" s="48"/>
      <c r="AN59" s="28"/>
      <c r="AO59" s="48"/>
      <c r="AP59" s="34"/>
      <c r="AQ59" s="79"/>
      <c r="AR59" s="28"/>
      <c r="AS59" s="48"/>
      <c r="AT59" s="28"/>
      <c r="AU59" s="48"/>
      <c r="AV59" s="28"/>
      <c r="AW59" s="48"/>
      <c r="AX59" s="30"/>
      <c r="AY59" s="76"/>
      <c r="AZ59" s="28"/>
      <c r="BA59" s="48"/>
      <c r="BB59" s="28"/>
      <c r="BC59" s="48"/>
      <c r="BD59" s="28"/>
      <c r="BE59" s="48"/>
      <c r="BF59" s="67"/>
      <c r="BG59" s="73"/>
      <c r="BH59" s="28"/>
      <c r="BI59" s="48"/>
      <c r="BJ59" s="28"/>
      <c r="BK59" s="48"/>
      <c r="BL59" s="28"/>
      <c r="BM59" s="48"/>
      <c r="BN59" s="30"/>
      <c r="BO59" s="76"/>
      <c r="BP59" s="28"/>
      <c r="BQ59" s="48"/>
      <c r="BR59" s="28"/>
      <c r="BS59" s="48"/>
      <c r="BT59" s="28"/>
      <c r="BU59" s="48"/>
      <c r="BV59" s="30"/>
      <c r="BW59" s="74"/>
      <c r="BX59" s="28"/>
      <c r="BY59" s="48"/>
      <c r="BZ59" s="28"/>
      <c r="CA59" s="48"/>
      <c r="CB59" s="28"/>
      <c r="CC59" s="48"/>
      <c r="CD59" s="34"/>
      <c r="CE59" s="74"/>
      <c r="CF59" s="28"/>
      <c r="CG59" s="48"/>
      <c r="CH59" s="28"/>
      <c r="CI59" s="48"/>
      <c r="CJ59" s="28"/>
      <c r="CK59" s="48"/>
      <c r="CL59" s="34"/>
      <c r="CM59" s="74"/>
      <c r="CN59" s="28"/>
      <c r="CO59" s="48"/>
      <c r="CP59" s="28"/>
      <c r="CQ59" s="48"/>
      <c r="CR59" s="28"/>
      <c r="CS59" s="48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</row>
    <row r="60" spans="1:109" x14ac:dyDescent="0.2">
      <c r="A60" s="34"/>
      <c r="B60" s="34"/>
      <c r="C60" s="76"/>
      <c r="D60" s="30"/>
      <c r="E60" s="50"/>
      <c r="F60" s="30"/>
      <c r="G60" s="50"/>
      <c r="H60" s="30"/>
      <c r="I60" s="50"/>
      <c r="J60" s="30"/>
      <c r="K60" s="76"/>
      <c r="L60" s="30"/>
      <c r="M60" s="50"/>
      <c r="N60" s="30"/>
      <c r="O60" s="50"/>
      <c r="P60" s="30"/>
      <c r="Q60" s="50"/>
      <c r="R60" s="31"/>
      <c r="S60" s="73"/>
      <c r="T60" s="30"/>
      <c r="U60" s="50"/>
      <c r="V60" s="30"/>
      <c r="W60" s="50"/>
      <c r="X60" s="30"/>
      <c r="Y60" s="50"/>
      <c r="Z60" s="34"/>
      <c r="AA60" s="74"/>
      <c r="AB60" s="30"/>
      <c r="AC60" s="50"/>
      <c r="AD60" s="30"/>
      <c r="AE60" s="50"/>
      <c r="AF60" s="30"/>
      <c r="AG60" s="50"/>
      <c r="AH60" s="34"/>
      <c r="AI60" s="74"/>
      <c r="AJ60" s="30"/>
      <c r="AK60" s="50"/>
      <c r="AL60" s="30"/>
      <c r="AM60" s="50"/>
      <c r="AN60" s="30"/>
      <c r="AO60" s="50"/>
      <c r="AP60" s="34"/>
      <c r="AQ60" s="74"/>
      <c r="AR60" s="30"/>
      <c r="AS60" s="50"/>
      <c r="AT60" s="30"/>
      <c r="AU60" s="50"/>
      <c r="AV60" s="30"/>
      <c r="AW60" s="50"/>
      <c r="AX60" s="34"/>
      <c r="AY60" s="74"/>
      <c r="AZ60" s="30"/>
      <c r="BA60" s="50"/>
      <c r="BB60" s="30"/>
      <c r="BC60" s="50"/>
      <c r="BD60" s="30"/>
      <c r="BE60" s="50"/>
      <c r="BF60" s="35"/>
      <c r="BG60" s="81"/>
      <c r="BH60" s="30"/>
      <c r="BI60" s="50"/>
      <c r="BJ60" s="30"/>
      <c r="BK60" s="50"/>
      <c r="BL60" s="30"/>
      <c r="BM60" s="50"/>
      <c r="BN60" s="34"/>
      <c r="BO60" s="74"/>
      <c r="BP60" s="30"/>
      <c r="BQ60" s="50"/>
      <c r="BR60" s="30"/>
      <c r="BS60" s="50"/>
      <c r="BT60" s="30"/>
      <c r="BU60" s="50"/>
      <c r="BV60" s="34"/>
      <c r="BW60" s="74"/>
      <c r="BX60" s="30"/>
      <c r="BY60" s="50"/>
      <c r="BZ60" s="30"/>
      <c r="CA60" s="50"/>
      <c r="CB60" s="30"/>
      <c r="CC60" s="50"/>
      <c r="CD60" s="34"/>
      <c r="CE60" s="74"/>
      <c r="CF60" s="30"/>
      <c r="CG60" s="50"/>
      <c r="CH60" s="30"/>
      <c r="CI60" s="50"/>
      <c r="CJ60" s="30"/>
      <c r="CK60" s="50"/>
      <c r="CL60" s="34"/>
      <c r="CM60" s="74"/>
      <c r="CN60" s="30"/>
      <c r="CO60" s="50"/>
      <c r="CP60" s="30"/>
      <c r="CQ60" s="50"/>
      <c r="CR60" s="30"/>
      <c r="CS60" s="50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</row>
    <row r="61" spans="1:109" x14ac:dyDescent="0.2">
      <c r="A61" s="34"/>
      <c r="B61" s="34"/>
      <c r="C61" s="76"/>
      <c r="D61" s="30"/>
      <c r="E61" s="50"/>
      <c r="F61" s="30"/>
      <c r="G61" s="50"/>
      <c r="H61" s="30"/>
      <c r="I61" s="50"/>
      <c r="J61" s="30"/>
      <c r="K61" s="76"/>
      <c r="L61" s="30"/>
      <c r="M61" s="50"/>
      <c r="N61" s="30"/>
      <c r="O61" s="50"/>
      <c r="P61" s="30"/>
      <c r="Q61" s="50"/>
      <c r="R61" s="31"/>
      <c r="S61" s="73"/>
      <c r="T61" s="30"/>
      <c r="U61" s="50"/>
      <c r="V61" s="30"/>
      <c r="W61" s="50"/>
      <c r="X61" s="30"/>
      <c r="Y61" s="50"/>
      <c r="Z61" s="34"/>
      <c r="AA61" s="74"/>
      <c r="AB61" s="30"/>
      <c r="AC61" s="50"/>
      <c r="AD61" s="30"/>
      <c r="AE61" s="50"/>
      <c r="AF61" s="30"/>
      <c r="AG61" s="50"/>
      <c r="AH61" s="34"/>
      <c r="AI61" s="74"/>
      <c r="AJ61" s="30"/>
      <c r="AK61" s="50"/>
      <c r="AL61" s="30"/>
      <c r="AM61" s="50"/>
      <c r="AN61" s="30"/>
      <c r="AO61" s="50"/>
      <c r="AP61" s="34"/>
      <c r="AQ61" s="76"/>
      <c r="AR61" s="30"/>
      <c r="AS61" s="50"/>
      <c r="AT61" s="30"/>
      <c r="AU61" s="50"/>
      <c r="AV61" s="30"/>
      <c r="AW61" s="50"/>
      <c r="AX61" s="30"/>
      <c r="AY61" s="76"/>
      <c r="AZ61" s="30"/>
      <c r="BA61" s="50"/>
      <c r="BB61" s="30"/>
      <c r="BC61" s="50"/>
      <c r="BD61" s="30"/>
      <c r="BE61" s="50"/>
      <c r="BF61" s="31"/>
      <c r="BG61" s="73"/>
      <c r="BH61" s="30"/>
      <c r="BI61" s="50"/>
      <c r="BJ61" s="30"/>
      <c r="BK61" s="50"/>
      <c r="BL61" s="30"/>
      <c r="BM61" s="50"/>
      <c r="BN61" s="30"/>
      <c r="BO61" s="76"/>
      <c r="BP61" s="30"/>
      <c r="BQ61" s="50"/>
      <c r="BR61" s="30"/>
      <c r="BS61" s="50"/>
      <c r="BT61" s="30"/>
      <c r="BU61" s="50"/>
      <c r="BV61" s="34"/>
      <c r="BW61" s="74"/>
      <c r="BX61" s="30"/>
      <c r="BY61" s="50"/>
      <c r="BZ61" s="30"/>
      <c r="CA61" s="50"/>
      <c r="CB61" s="30"/>
      <c r="CC61" s="50"/>
      <c r="CD61" s="34"/>
      <c r="CE61" s="74"/>
      <c r="CF61" s="30"/>
      <c r="CG61" s="50"/>
      <c r="CH61" s="30"/>
      <c r="CI61" s="50"/>
      <c r="CJ61" s="30"/>
      <c r="CK61" s="50"/>
      <c r="CL61" s="34"/>
      <c r="CM61" s="74"/>
      <c r="CN61" s="30"/>
      <c r="CO61" s="50"/>
      <c r="CP61" s="30"/>
      <c r="CQ61" s="50"/>
      <c r="CR61" s="30"/>
      <c r="CS61" s="50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</row>
    <row r="62" spans="1:109" x14ac:dyDescent="0.2">
      <c r="A62" s="34"/>
      <c r="B62" s="34"/>
      <c r="C62" s="74"/>
      <c r="J62" s="34"/>
      <c r="K62" s="74"/>
      <c r="R62" s="34"/>
      <c r="S62" s="74"/>
      <c r="Z62" s="34"/>
      <c r="AA62" s="74"/>
      <c r="AH62" s="34"/>
      <c r="AI62" s="74"/>
      <c r="AP62" s="34"/>
      <c r="AQ62" s="76"/>
      <c r="AX62" s="30"/>
      <c r="AY62" s="76"/>
      <c r="BF62" s="31"/>
      <c r="BG62" s="73"/>
      <c r="BN62" s="30"/>
      <c r="BO62" s="76"/>
      <c r="BV62" s="34"/>
      <c r="BW62" s="74"/>
      <c r="CD62" s="34"/>
      <c r="CE62" s="74"/>
      <c r="CL62" s="34"/>
      <c r="CM62" s="7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</row>
    <row r="63" spans="1:109" x14ac:dyDescent="0.2">
      <c r="A63" s="34"/>
      <c r="B63" s="34"/>
      <c r="C63" s="74"/>
      <c r="J63" s="34"/>
      <c r="K63" s="74"/>
      <c r="R63" s="34"/>
      <c r="S63" s="74"/>
      <c r="Z63" s="34"/>
      <c r="AA63" s="74"/>
      <c r="AH63" s="34"/>
      <c r="AI63" s="74"/>
      <c r="AP63" s="34"/>
      <c r="AQ63" s="76"/>
      <c r="AX63" s="30"/>
      <c r="AY63" s="76"/>
      <c r="BF63" s="31"/>
      <c r="BG63" s="73"/>
      <c r="BN63" s="30"/>
      <c r="BO63" s="76"/>
      <c r="BV63" s="34"/>
      <c r="BW63" s="74"/>
      <c r="CD63" s="34"/>
      <c r="CE63" s="74"/>
      <c r="CL63" s="34"/>
      <c r="CM63" s="7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</row>
    <row r="64" spans="1:109" x14ac:dyDescent="0.2">
      <c r="A64" s="34"/>
      <c r="B64" s="34"/>
      <c r="C64" s="74"/>
      <c r="J64" s="34"/>
      <c r="K64" s="74"/>
      <c r="R64" s="34"/>
      <c r="S64" s="74"/>
      <c r="Z64" s="34"/>
      <c r="AA64" s="74"/>
      <c r="AH64" s="34"/>
      <c r="AI64" s="74"/>
      <c r="AP64" s="34"/>
      <c r="AQ64" s="76"/>
      <c r="AX64" s="30"/>
      <c r="AY64" s="76"/>
      <c r="BF64" s="31"/>
      <c r="BG64" s="73"/>
      <c r="BN64" s="30"/>
      <c r="BO64" s="76"/>
      <c r="BV64" s="34"/>
      <c r="BW64" s="74"/>
      <c r="CD64" s="34"/>
      <c r="CE64" s="74"/>
      <c r="CL64" s="34"/>
      <c r="CM64" s="7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</row>
    <row r="65" spans="1:109" x14ac:dyDescent="0.2">
      <c r="A65" s="34"/>
      <c r="B65" s="34"/>
      <c r="C65" s="74"/>
      <c r="J65" s="34"/>
      <c r="K65" s="74"/>
      <c r="R65" s="34"/>
      <c r="S65" s="74"/>
      <c r="Z65" s="34"/>
      <c r="AA65" s="74"/>
      <c r="AH65" s="34"/>
      <c r="AI65" s="74"/>
      <c r="AP65" s="34"/>
      <c r="AQ65" s="76"/>
      <c r="AX65" s="30"/>
      <c r="AY65" s="76"/>
      <c r="BF65" s="31"/>
      <c r="BG65" s="73"/>
      <c r="BN65" s="30"/>
      <c r="BO65" s="76"/>
      <c r="BV65" s="34"/>
      <c r="BW65" s="74"/>
      <c r="CD65" s="34"/>
      <c r="CE65" s="74"/>
      <c r="CL65" s="34"/>
      <c r="CM65" s="7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</row>
    <row r="66" spans="1:109" x14ac:dyDescent="0.2">
      <c r="A66" s="34"/>
      <c r="B66" s="34"/>
      <c r="C66" s="74"/>
      <c r="J66" s="34"/>
      <c r="K66" s="74"/>
      <c r="R66" s="34"/>
      <c r="S66" s="74"/>
      <c r="Z66" s="34"/>
      <c r="AA66" s="74"/>
      <c r="AH66" s="34"/>
      <c r="AI66" s="74"/>
      <c r="AP66" s="34"/>
      <c r="AQ66" s="76"/>
      <c r="AX66" s="30"/>
      <c r="AY66" s="76"/>
      <c r="BF66" s="31"/>
      <c r="BG66" s="73"/>
      <c r="BN66" s="30"/>
      <c r="BO66" s="76"/>
      <c r="BV66" s="34"/>
      <c r="BW66" s="74"/>
      <c r="CD66" s="34"/>
      <c r="CE66" s="74"/>
      <c r="CL66" s="34"/>
      <c r="CM66" s="7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</row>
    <row r="67" spans="1:109" x14ac:dyDescent="0.2">
      <c r="A67" s="34"/>
      <c r="B67" s="34"/>
      <c r="C67" s="74"/>
      <c r="J67" s="34"/>
      <c r="K67" s="74"/>
      <c r="R67" s="34"/>
      <c r="S67" s="74"/>
      <c r="Z67" s="34"/>
      <c r="AA67" s="74"/>
      <c r="AH67" s="34"/>
      <c r="AI67" s="74"/>
      <c r="AP67" s="34"/>
      <c r="AQ67" s="76"/>
      <c r="AX67" s="30"/>
      <c r="AY67" s="76"/>
      <c r="BF67" s="31"/>
      <c r="BG67" s="73"/>
      <c r="BN67" s="30"/>
      <c r="BO67" s="76"/>
      <c r="BV67" s="34"/>
      <c r="BW67" s="74"/>
      <c r="CD67" s="34"/>
      <c r="CE67" s="74"/>
      <c r="CL67" s="34"/>
      <c r="CM67" s="7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</row>
    <row r="68" spans="1:109" x14ac:dyDescent="0.2">
      <c r="A68" s="34"/>
      <c r="B68" s="34"/>
      <c r="C68" s="74"/>
      <c r="J68" s="34"/>
      <c r="K68" s="74"/>
      <c r="R68" s="34"/>
      <c r="S68" s="74"/>
      <c r="Z68" s="34"/>
      <c r="AA68" s="74"/>
      <c r="AH68" s="34"/>
      <c r="AI68" s="74"/>
      <c r="AP68" s="34"/>
      <c r="AQ68" s="74"/>
      <c r="AX68" s="34"/>
      <c r="AY68" s="74"/>
      <c r="BF68" s="35"/>
      <c r="BG68" s="81"/>
      <c r="BN68" s="34"/>
      <c r="BO68" s="74"/>
      <c r="BV68" s="34"/>
      <c r="BW68" s="74"/>
      <c r="CD68" s="34"/>
      <c r="CE68" s="74"/>
      <c r="CL68" s="34"/>
      <c r="CM68" s="7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</row>
    <row r="69" spans="1:109" x14ac:dyDescent="0.2">
      <c r="A69" s="34"/>
      <c r="B69" s="34"/>
      <c r="C69" s="74"/>
      <c r="J69" s="34"/>
      <c r="K69" s="74"/>
      <c r="R69" s="34"/>
      <c r="S69" s="74"/>
      <c r="Z69" s="34"/>
      <c r="AA69" s="74"/>
      <c r="AH69" s="34"/>
      <c r="AI69" s="74"/>
      <c r="AP69" s="34"/>
      <c r="AQ69" s="74"/>
      <c r="AX69" s="34"/>
      <c r="AY69" s="74"/>
      <c r="BF69" s="35"/>
      <c r="BG69" s="81"/>
      <c r="BN69" s="34"/>
      <c r="BO69" s="74"/>
      <c r="BV69" s="34"/>
      <c r="BW69" s="74"/>
      <c r="CD69" s="34"/>
      <c r="CE69" s="74"/>
      <c r="CL69" s="34"/>
      <c r="CM69" s="7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</row>
    <row r="70" spans="1:109" x14ac:dyDescent="0.2">
      <c r="A70" s="34"/>
      <c r="B70" s="34"/>
      <c r="C70" s="74"/>
      <c r="J70" s="34"/>
      <c r="K70" s="74"/>
      <c r="R70" s="34"/>
      <c r="S70" s="74"/>
      <c r="Z70" s="34"/>
      <c r="AA70" s="74"/>
      <c r="AH70" s="34"/>
      <c r="AI70" s="74"/>
      <c r="AP70" s="34"/>
      <c r="AQ70" s="74"/>
      <c r="AX70" s="34"/>
      <c r="AY70" s="74"/>
      <c r="BF70" s="35"/>
      <c r="BG70" s="81"/>
      <c r="BN70" s="34"/>
      <c r="BO70" s="74"/>
      <c r="BV70" s="34"/>
      <c r="BW70" s="74"/>
      <c r="CD70" s="34"/>
      <c r="CE70" s="74"/>
      <c r="CL70" s="34"/>
      <c r="CM70" s="7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</row>
    <row r="71" spans="1:109" x14ac:dyDescent="0.2">
      <c r="A71" s="34"/>
      <c r="B71" s="34"/>
      <c r="C71" s="74"/>
      <c r="J71" s="34"/>
      <c r="K71" s="74"/>
      <c r="R71" s="34"/>
      <c r="S71" s="74"/>
      <c r="Z71" s="34"/>
      <c r="AA71" s="74"/>
      <c r="AH71" s="34"/>
      <c r="AI71" s="74"/>
      <c r="AP71" s="34"/>
      <c r="AQ71" s="74"/>
      <c r="AX71" s="34"/>
      <c r="AY71" s="74"/>
      <c r="BF71" s="35"/>
      <c r="BG71" s="81"/>
      <c r="BN71" s="34"/>
      <c r="BO71" s="74"/>
      <c r="BV71" s="34"/>
      <c r="BW71" s="74"/>
      <c r="CD71" s="34"/>
      <c r="CE71" s="74"/>
      <c r="CL71" s="34"/>
      <c r="CM71" s="7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</row>
    <row r="72" spans="1:109" x14ac:dyDescent="0.2">
      <c r="A72" s="34"/>
      <c r="B72" s="34"/>
      <c r="C72" s="74"/>
      <c r="J72" s="34"/>
      <c r="K72" s="74"/>
      <c r="R72" s="34"/>
      <c r="S72" s="74"/>
      <c r="Z72" s="34"/>
      <c r="AA72" s="74"/>
      <c r="AH72" s="34"/>
      <c r="AI72" s="74"/>
      <c r="AP72" s="34"/>
      <c r="AQ72" s="74"/>
      <c r="AX72" s="34"/>
      <c r="AY72" s="74"/>
      <c r="BF72" s="35"/>
      <c r="BG72" s="81"/>
      <c r="BN72" s="34"/>
      <c r="BO72" s="74"/>
      <c r="BV72" s="34"/>
      <c r="BW72" s="74"/>
      <c r="CD72" s="34"/>
      <c r="CE72" s="74"/>
      <c r="CL72" s="34"/>
      <c r="CM72" s="7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</row>
  </sheetData>
  <mergeCells count="56">
    <mergeCell ref="CL2:CM2"/>
    <mergeCell ref="B2:C2"/>
    <mergeCell ref="J2:K2"/>
    <mergeCell ref="R2:S2"/>
    <mergeCell ref="Z2:AA2"/>
    <mergeCell ref="AH2:AI2"/>
    <mergeCell ref="AP2:AQ2"/>
    <mergeCell ref="AX2:AY2"/>
    <mergeCell ref="BF2:BG2"/>
    <mergeCell ref="BN2:BO2"/>
    <mergeCell ref="BV2:BW2"/>
    <mergeCell ref="CD2:CE2"/>
    <mergeCell ref="BP17:BU17"/>
    <mergeCell ref="BY17:CC17"/>
    <mergeCell ref="D3:I3"/>
    <mergeCell ref="D10:I10"/>
    <mergeCell ref="T10:Y10"/>
    <mergeCell ref="AJ10:AO10"/>
    <mergeCell ref="AR10:AW10"/>
    <mergeCell ref="BP10:BU10"/>
    <mergeCell ref="D17:I17"/>
    <mergeCell ref="M17:Q17"/>
    <mergeCell ref="T17:Y17"/>
    <mergeCell ref="AJ17:AO17"/>
    <mergeCell ref="AR17:AW17"/>
    <mergeCell ref="S9:Y9"/>
    <mergeCell ref="CO24:CS24"/>
    <mergeCell ref="AR31:AW31"/>
    <mergeCell ref="BH31:BM31"/>
    <mergeCell ref="BX31:CC31"/>
    <mergeCell ref="D31:I31"/>
    <mergeCell ref="L31:Q31"/>
    <mergeCell ref="T31:Y31"/>
    <mergeCell ref="AC31:AG31"/>
    <mergeCell ref="AJ31:AO31"/>
    <mergeCell ref="D24:I24"/>
    <mergeCell ref="M24:Q24"/>
    <mergeCell ref="T24:Y24"/>
    <mergeCell ref="AC24:AG24"/>
    <mergeCell ref="AJ24:AO24"/>
    <mergeCell ref="CF10:CK10"/>
    <mergeCell ref="CN10:CS10"/>
    <mergeCell ref="BI17:BM17"/>
    <mergeCell ref="CF31:CK31"/>
    <mergeCell ref="T38:Y38"/>
    <mergeCell ref="AR38:AW38"/>
    <mergeCell ref="BH38:BM38"/>
    <mergeCell ref="CF38:CK38"/>
    <mergeCell ref="CF17:CK17"/>
    <mergeCell ref="CN17:CS17"/>
    <mergeCell ref="AR24:AW24"/>
    <mergeCell ref="BH24:BM24"/>
    <mergeCell ref="BX24:CC24"/>
    <mergeCell ref="AQ36:AW36"/>
    <mergeCell ref="CE23:CK23"/>
    <mergeCell ref="CF24:CK24"/>
  </mergeCells>
  <conditionalFormatting sqref="F6:F9 F36 F25:F30 F18:F23 F11:F16">
    <cfRule type="cellIs" dxfId="5522" priority="1561" operator="equal">
      <formula>"x"</formula>
    </cfRule>
  </conditionalFormatting>
  <conditionalFormatting sqref="D6:D30 D32:D36">
    <cfRule type="cellIs" dxfId="5521" priority="1560" operator="equal">
      <formula>"x"</formula>
    </cfRule>
  </conditionalFormatting>
  <conditionalFormatting sqref="D8:D9 D15:D16 D22:D23 D29:D30 D36:D37">
    <cfRule type="cellIs" dxfId="5520" priority="1559" operator="notEqual">
      <formula>"x"</formula>
    </cfRule>
  </conditionalFormatting>
  <conditionalFormatting sqref="F8:F9 F15:F16 F22:F23 F29:F30 F36:F37">
    <cfRule type="cellIs" dxfId="5519" priority="1558" operator="notEqual">
      <formula>"x"</formula>
    </cfRule>
  </conditionalFormatting>
  <conditionalFormatting sqref="H6:H9 H32:H36 H25:H30 H18:H23 H11:H16">
    <cfRule type="cellIs" dxfId="5518" priority="1557" operator="equal">
      <formula>"x"</formula>
    </cfRule>
  </conditionalFormatting>
  <conditionalFormatting sqref="H8:H9 H15:H16 H22:H23 H29:H30 H36:H37">
    <cfRule type="cellIs" dxfId="5517" priority="1556" operator="notEqual">
      <formula>"x"</formula>
    </cfRule>
  </conditionalFormatting>
  <conditionalFormatting sqref="N6:N8 N32:N36 N25:N30 N18:N23 N12:N16">
    <cfRule type="cellIs" dxfId="5516" priority="1555" operator="equal">
      <formula>"x"</formula>
    </cfRule>
  </conditionalFormatting>
  <conditionalFormatting sqref="L6:L8 L12:L16 L18:L23 L25:L30 L32:L36">
    <cfRule type="cellIs" dxfId="5515" priority="1554" operator="equal">
      <formula>"x"</formula>
    </cfRule>
  </conditionalFormatting>
  <conditionalFormatting sqref="L8 L15:L16 L22:L23 L29:L30 L36:L37">
    <cfRule type="cellIs" dxfId="5514" priority="1553" operator="notEqual">
      <formula>"x"</formula>
    </cfRule>
  </conditionalFormatting>
  <conditionalFormatting sqref="N8 N15:N16 N22:N23 N29:N30 N36:N37">
    <cfRule type="cellIs" dxfId="5513" priority="1552" operator="notEqual">
      <formula>"x"</formula>
    </cfRule>
  </conditionalFormatting>
  <conditionalFormatting sqref="P6:P8 P32:P36 P25:P30 P18:P23 P12:P16">
    <cfRule type="cellIs" dxfId="5512" priority="1551" operator="equal">
      <formula>"x"</formula>
    </cfRule>
  </conditionalFormatting>
  <conditionalFormatting sqref="P8 P15:P16 P22:P23 P29:P30 P36:P37">
    <cfRule type="cellIs" dxfId="5511" priority="1550" operator="notEqual">
      <formula>"x"</formula>
    </cfRule>
  </conditionalFormatting>
  <conditionalFormatting sqref="L11">
    <cfRule type="cellIs" dxfId="5510" priority="1549" operator="equal">
      <formula>"x"</formula>
    </cfRule>
  </conditionalFormatting>
  <conditionalFormatting sqref="P11">
    <cfRule type="cellIs" dxfId="5509" priority="1548" operator="equal">
      <formula>"x"</formula>
    </cfRule>
  </conditionalFormatting>
  <conditionalFormatting sqref="N9">
    <cfRule type="cellIs" dxfId="5508" priority="1547" operator="equal">
      <formula>"x"</formula>
    </cfRule>
  </conditionalFormatting>
  <conditionalFormatting sqref="L9">
    <cfRule type="cellIs" dxfId="5507" priority="1546" operator="equal">
      <formula>"x"</formula>
    </cfRule>
  </conditionalFormatting>
  <conditionalFormatting sqref="L9">
    <cfRule type="cellIs" dxfId="5506" priority="1545" operator="notEqual">
      <formula>"x"</formula>
    </cfRule>
  </conditionalFormatting>
  <conditionalFormatting sqref="N9">
    <cfRule type="cellIs" dxfId="5505" priority="1544" operator="notEqual">
      <formula>"x"</formula>
    </cfRule>
  </conditionalFormatting>
  <conditionalFormatting sqref="P9">
    <cfRule type="cellIs" dxfId="5504" priority="1543" operator="equal">
      <formula>"x"</formula>
    </cfRule>
  </conditionalFormatting>
  <conditionalFormatting sqref="P9">
    <cfRule type="cellIs" dxfId="5503" priority="1542" operator="notEqual">
      <formula>"x"</formula>
    </cfRule>
  </conditionalFormatting>
  <conditionalFormatting sqref="M17">
    <cfRule type="cellIs" dxfId="5502" priority="1541" operator="equal">
      <formula>"x"</formula>
    </cfRule>
  </conditionalFormatting>
  <conditionalFormatting sqref="L17">
    <cfRule type="cellIs" dxfId="5501" priority="1540" operator="equal">
      <formula>"x"</formula>
    </cfRule>
  </conditionalFormatting>
  <conditionalFormatting sqref="M24">
    <cfRule type="cellIs" dxfId="5500" priority="1539" operator="equal">
      <formula>"x"</formula>
    </cfRule>
  </conditionalFormatting>
  <conditionalFormatting sqref="L24">
    <cfRule type="cellIs" dxfId="5499" priority="1538" operator="equal">
      <formula>"x"</formula>
    </cfRule>
  </conditionalFormatting>
  <conditionalFormatting sqref="L31">
    <cfRule type="cellIs" dxfId="5498" priority="1537" operator="equal">
      <formula>"x"</formula>
    </cfRule>
  </conditionalFormatting>
  <conditionalFormatting sqref="V6:V7 V32:V36 V25:V30 V18:V21 V12:V15 V23">
    <cfRule type="cellIs" dxfId="5497" priority="1536" operator="equal">
      <formula>"x"</formula>
    </cfRule>
  </conditionalFormatting>
  <conditionalFormatting sqref="T6:T7 T12:T15 T18:T21 T25:T30 T32:T36 T23">
    <cfRule type="cellIs" dxfId="5496" priority="1535" operator="equal">
      <formula>"x"</formula>
    </cfRule>
  </conditionalFormatting>
  <conditionalFormatting sqref="T15 T23 T29:T30 T36">
    <cfRule type="cellIs" dxfId="5495" priority="1534" operator="notEqual">
      <formula>"x"</formula>
    </cfRule>
  </conditionalFormatting>
  <conditionalFormatting sqref="V15 V23 V29:V30 V36">
    <cfRule type="cellIs" dxfId="5494" priority="1533" operator="notEqual">
      <formula>"x"</formula>
    </cfRule>
  </conditionalFormatting>
  <conditionalFormatting sqref="X6:X7 X32:X36 X25:X30 X18:X21 X12:X15 X23">
    <cfRule type="cellIs" dxfId="5493" priority="1532" operator="equal">
      <formula>"x"</formula>
    </cfRule>
  </conditionalFormatting>
  <conditionalFormatting sqref="X15 X23 X29:X30 X36">
    <cfRule type="cellIs" dxfId="5492" priority="1531" operator="notEqual">
      <formula>"x"</formula>
    </cfRule>
  </conditionalFormatting>
  <conditionalFormatting sqref="V11">
    <cfRule type="cellIs" dxfId="5491" priority="1530" operator="equal">
      <formula>"x"</formula>
    </cfRule>
  </conditionalFormatting>
  <conditionalFormatting sqref="T11">
    <cfRule type="cellIs" dxfId="5490" priority="1529" operator="equal">
      <formula>"x"</formula>
    </cfRule>
  </conditionalFormatting>
  <conditionalFormatting sqref="X11">
    <cfRule type="cellIs" dxfId="5489" priority="1528" operator="equal">
      <formula>"x"</formula>
    </cfRule>
  </conditionalFormatting>
  <conditionalFormatting sqref="T10">
    <cfRule type="cellIs" dxfId="5488" priority="1527" operator="equal">
      <formula>"x"</formula>
    </cfRule>
  </conditionalFormatting>
  <conditionalFormatting sqref="X22">
    <cfRule type="cellIs" dxfId="5487" priority="1500" operator="notEqual">
      <formula>"x"</formula>
    </cfRule>
  </conditionalFormatting>
  <conditionalFormatting sqref="T37">
    <cfRule type="cellIs" dxfId="5486" priority="1497" operator="notEqual">
      <formula>"x"</formula>
    </cfRule>
  </conditionalFormatting>
  <conditionalFormatting sqref="T17">
    <cfRule type="cellIs" dxfId="5485" priority="1526" operator="equal">
      <formula>"x"</formula>
    </cfRule>
  </conditionalFormatting>
  <conditionalFormatting sqref="T24">
    <cfRule type="cellIs" dxfId="5484" priority="1525" operator="equal">
      <formula>"x"</formula>
    </cfRule>
  </conditionalFormatting>
  <conditionalFormatting sqref="T31">
    <cfRule type="cellIs" dxfId="5483" priority="1524" operator="equal">
      <formula>"x"</formula>
    </cfRule>
  </conditionalFormatting>
  <conditionalFormatting sqref="V8">
    <cfRule type="cellIs" dxfId="5482" priority="1517" operator="equal">
      <formula>"x"</formula>
    </cfRule>
  </conditionalFormatting>
  <conditionalFormatting sqref="T8">
    <cfRule type="cellIs" dxfId="5481" priority="1516" operator="equal">
      <formula>"x"</formula>
    </cfRule>
  </conditionalFormatting>
  <conditionalFormatting sqref="T8">
    <cfRule type="cellIs" dxfId="5480" priority="1515" operator="notEqual">
      <formula>"x"</formula>
    </cfRule>
  </conditionalFormatting>
  <conditionalFormatting sqref="V8">
    <cfRule type="cellIs" dxfId="5479" priority="1514" operator="notEqual">
      <formula>"x"</formula>
    </cfRule>
  </conditionalFormatting>
  <conditionalFormatting sqref="X8">
    <cfRule type="cellIs" dxfId="5478" priority="1513" operator="equal">
      <formula>"x"</formula>
    </cfRule>
  </conditionalFormatting>
  <conditionalFormatting sqref="X8">
    <cfRule type="cellIs" dxfId="5477" priority="1512" operator="notEqual">
      <formula>"x"</formula>
    </cfRule>
  </conditionalFormatting>
  <conditionalFormatting sqref="V16">
    <cfRule type="cellIs" dxfId="5476" priority="1511" operator="equal">
      <formula>"x"</formula>
    </cfRule>
  </conditionalFormatting>
  <conditionalFormatting sqref="T16">
    <cfRule type="cellIs" dxfId="5475" priority="1510" operator="equal">
      <formula>"x"</formula>
    </cfRule>
  </conditionalFormatting>
  <conditionalFormatting sqref="T16">
    <cfRule type="cellIs" dxfId="5474" priority="1509" operator="notEqual">
      <formula>"x"</formula>
    </cfRule>
  </conditionalFormatting>
  <conditionalFormatting sqref="V16">
    <cfRule type="cellIs" dxfId="5473" priority="1508" operator="notEqual">
      <formula>"x"</formula>
    </cfRule>
  </conditionalFormatting>
  <conditionalFormatting sqref="X16">
    <cfRule type="cellIs" dxfId="5472" priority="1507" operator="equal">
      <formula>"x"</formula>
    </cfRule>
  </conditionalFormatting>
  <conditionalFormatting sqref="X16">
    <cfRule type="cellIs" dxfId="5471" priority="1506" operator="notEqual">
      <formula>"x"</formula>
    </cfRule>
  </conditionalFormatting>
  <conditionalFormatting sqref="V22">
    <cfRule type="cellIs" dxfId="5470" priority="1505" operator="equal">
      <formula>"x"</formula>
    </cfRule>
  </conditionalFormatting>
  <conditionalFormatting sqref="T22">
    <cfRule type="cellIs" dxfId="5469" priority="1504" operator="equal">
      <formula>"x"</formula>
    </cfRule>
  </conditionalFormatting>
  <conditionalFormatting sqref="T22">
    <cfRule type="cellIs" dxfId="5468" priority="1503" operator="notEqual">
      <formula>"x"</formula>
    </cfRule>
  </conditionalFormatting>
  <conditionalFormatting sqref="V22">
    <cfRule type="cellIs" dxfId="5467" priority="1502" operator="notEqual">
      <formula>"x"</formula>
    </cfRule>
  </conditionalFormatting>
  <conditionalFormatting sqref="X22">
    <cfRule type="cellIs" dxfId="5466" priority="1501" operator="equal">
      <formula>"x"</formula>
    </cfRule>
  </conditionalFormatting>
  <conditionalFormatting sqref="AF22">
    <cfRule type="cellIs" dxfId="5465" priority="1447" operator="notEqual">
      <formula>"x"</formula>
    </cfRule>
  </conditionalFormatting>
  <conditionalFormatting sqref="V37">
    <cfRule type="cellIs" dxfId="5464" priority="1499" operator="equal">
      <formula>"x"</formula>
    </cfRule>
  </conditionalFormatting>
  <conditionalFormatting sqref="T37">
    <cfRule type="cellIs" dxfId="5463" priority="1498" operator="equal">
      <formula>"x"</formula>
    </cfRule>
  </conditionalFormatting>
  <conditionalFormatting sqref="AB37">
    <cfRule type="cellIs" dxfId="5462" priority="1444" operator="notEqual">
      <formula>"x"</formula>
    </cfRule>
  </conditionalFormatting>
  <conditionalFormatting sqref="V37">
    <cfRule type="cellIs" dxfId="5461" priority="1496" operator="notEqual">
      <formula>"x"</formula>
    </cfRule>
  </conditionalFormatting>
  <conditionalFormatting sqref="X37">
    <cfRule type="cellIs" dxfId="5460" priority="1495" operator="equal">
      <formula>"x"</formula>
    </cfRule>
  </conditionalFormatting>
  <conditionalFormatting sqref="X37">
    <cfRule type="cellIs" dxfId="5459" priority="1494" operator="notEqual">
      <formula>"x"</formula>
    </cfRule>
  </conditionalFormatting>
  <conditionalFormatting sqref="T38">
    <cfRule type="cellIs" dxfId="5458" priority="1493" operator="equal">
      <formula>"x"</formula>
    </cfRule>
  </conditionalFormatting>
  <conditionalFormatting sqref="V39">
    <cfRule type="cellIs" dxfId="5457" priority="1492" operator="equal">
      <formula>"x"</formula>
    </cfRule>
  </conditionalFormatting>
  <conditionalFormatting sqref="T39">
    <cfRule type="cellIs" dxfId="5456" priority="1491" operator="equal">
      <formula>"x"</formula>
    </cfRule>
  </conditionalFormatting>
  <conditionalFormatting sqref="X39">
    <cfRule type="cellIs" dxfId="5455" priority="1490" operator="equal">
      <formula>"x"</formula>
    </cfRule>
  </conditionalFormatting>
  <conditionalFormatting sqref="AD32:AD36 AD25:AD30 AD18:AD19 AD12:AD15 AD23 AD6:AD7">
    <cfRule type="cellIs" dxfId="5454" priority="1489" operator="equal">
      <formula>"x"</formula>
    </cfRule>
  </conditionalFormatting>
  <conditionalFormatting sqref="AB6:AB7 AB12:AB15 AB18:AB19 AB25:AB30 AB32:AB36 AB23">
    <cfRule type="cellIs" dxfId="5453" priority="1488" operator="equal">
      <formula>"x"</formula>
    </cfRule>
  </conditionalFormatting>
  <conditionalFormatting sqref="AB15 AB23 AB29:AB30 AB36">
    <cfRule type="cellIs" dxfId="5452" priority="1487" operator="notEqual">
      <formula>"x"</formula>
    </cfRule>
  </conditionalFormatting>
  <conditionalFormatting sqref="AD15 AD23 AD29:AD30 AD36">
    <cfRule type="cellIs" dxfId="5451" priority="1486" operator="notEqual">
      <formula>"x"</formula>
    </cfRule>
  </conditionalFormatting>
  <conditionalFormatting sqref="AF6:AF7 AF32:AF36 AF25:AF30 AF18:AF19 AF12:AF15 AF23">
    <cfRule type="cellIs" dxfId="5450" priority="1485" operator="equal">
      <formula>"x"</formula>
    </cfRule>
  </conditionalFormatting>
  <conditionalFormatting sqref="AF15 AF23 AF29:AF30 AF36">
    <cfRule type="cellIs" dxfId="5449" priority="1484" operator="notEqual">
      <formula>"x"</formula>
    </cfRule>
  </conditionalFormatting>
  <conditionalFormatting sqref="AD11">
    <cfRule type="cellIs" dxfId="5448" priority="1483" operator="equal">
      <formula>"x"</formula>
    </cfRule>
  </conditionalFormatting>
  <conditionalFormatting sqref="AB11">
    <cfRule type="cellIs" dxfId="5447" priority="1482" operator="equal">
      <formula>"x"</formula>
    </cfRule>
  </conditionalFormatting>
  <conditionalFormatting sqref="AF11">
    <cfRule type="cellIs" dxfId="5446" priority="1481" operator="equal">
      <formula>"x"</formula>
    </cfRule>
  </conditionalFormatting>
  <conditionalFormatting sqref="AD10">
    <cfRule type="cellIs" dxfId="5445" priority="1480" operator="equal">
      <formula>"x"</formula>
    </cfRule>
  </conditionalFormatting>
  <conditionalFormatting sqref="AB10">
    <cfRule type="cellIs" dxfId="5444" priority="1479" operator="equal">
      <formula>"x"</formula>
    </cfRule>
  </conditionalFormatting>
  <conditionalFormatting sqref="AF10">
    <cfRule type="cellIs" dxfId="5443" priority="1478" operator="equal">
      <formula>"x"</formula>
    </cfRule>
  </conditionalFormatting>
  <conditionalFormatting sqref="AF37">
    <cfRule type="cellIs" dxfId="5442" priority="1441" operator="notEqual">
      <formula>"x"</formula>
    </cfRule>
  </conditionalFormatting>
  <conditionalFormatting sqref="AD17">
    <cfRule type="cellIs" dxfId="5441" priority="1477" operator="equal">
      <formula>"x"</formula>
    </cfRule>
  </conditionalFormatting>
  <conditionalFormatting sqref="AB17">
    <cfRule type="cellIs" dxfId="5440" priority="1476" operator="equal">
      <formula>"x"</formula>
    </cfRule>
  </conditionalFormatting>
  <conditionalFormatting sqref="AF17">
    <cfRule type="cellIs" dxfId="5439" priority="1475" operator="equal">
      <formula>"x"</formula>
    </cfRule>
  </conditionalFormatting>
  <conditionalFormatting sqref="AC24">
    <cfRule type="cellIs" dxfId="5438" priority="1474" operator="equal">
      <formula>"x"</formula>
    </cfRule>
  </conditionalFormatting>
  <conditionalFormatting sqref="AB24">
    <cfRule type="cellIs" dxfId="5437" priority="1473" operator="equal">
      <formula>"x"</formula>
    </cfRule>
  </conditionalFormatting>
  <conditionalFormatting sqref="AC31">
    <cfRule type="cellIs" dxfId="5436" priority="1472" operator="equal">
      <formula>"x"</formula>
    </cfRule>
  </conditionalFormatting>
  <conditionalFormatting sqref="AB31">
    <cfRule type="cellIs" dxfId="5435" priority="1471" operator="equal">
      <formula>"x"</formula>
    </cfRule>
  </conditionalFormatting>
  <conditionalFormatting sqref="AD9">
    <cfRule type="cellIs" dxfId="5434" priority="1470" operator="equal">
      <formula>"x"</formula>
    </cfRule>
  </conditionalFormatting>
  <conditionalFormatting sqref="AB9">
    <cfRule type="cellIs" dxfId="5433" priority="1469" operator="equal">
      <formula>"x"</formula>
    </cfRule>
  </conditionalFormatting>
  <conditionalFormatting sqref="AB9">
    <cfRule type="cellIs" dxfId="5432" priority="1468" operator="notEqual">
      <formula>"x"</formula>
    </cfRule>
  </conditionalFormatting>
  <conditionalFormatting sqref="AD9">
    <cfRule type="cellIs" dxfId="5431" priority="1467" operator="notEqual">
      <formula>"x"</formula>
    </cfRule>
  </conditionalFormatting>
  <conditionalFormatting sqref="AF9">
    <cfRule type="cellIs" dxfId="5430" priority="1466" operator="equal">
      <formula>"x"</formula>
    </cfRule>
  </conditionalFormatting>
  <conditionalFormatting sqref="AF9">
    <cfRule type="cellIs" dxfId="5429" priority="1465" operator="notEqual">
      <formula>"x"</formula>
    </cfRule>
  </conditionalFormatting>
  <conditionalFormatting sqref="AD8">
    <cfRule type="cellIs" dxfId="5428" priority="1464" operator="equal">
      <formula>"x"</formula>
    </cfRule>
  </conditionalFormatting>
  <conditionalFormatting sqref="AB8">
    <cfRule type="cellIs" dxfId="5427" priority="1463" operator="equal">
      <formula>"x"</formula>
    </cfRule>
  </conditionalFormatting>
  <conditionalFormatting sqref="AB8">
    <cfRule type="cellIs" dxfId="5426" priority="1462" operator="notEqual">
      <formula>"x"</formula>
    </cfRule>
  </conditionalFormatting>
  <conditionalFormatting sqref="AD8">
    <cfRule type="cellIs" dxfId="5425" priority="1461" operator="notEqual">
      <formula>"x"</formula>
    </cfRule>
  </conditionalFormatting>
  <conditionalFormatting sqref="AF8">
    <cfRule type="cellIs" dxfId="5424" priority="1460" operator="equal">
      <formula>"x"</formula>
    </cfRule>
  </conditionalFormatting>
  <conditionalFormatting sqref="AF8">
    <cfRule type="cellIs" dxfId="5423" priority="1459" operator="notEqual">
      <formula>"x"</formula>
    </cfRule>
  </conditionalFormatting>
  <conditionalFormatting sqref="AD16">
    <cfRule type="cellIs" dxfId="5422" priority="1458" operator="equal">
      <formula>"x"</formula>
    </cfRule>
  </conditionalFormatting>
  <conditionalFormatting sqref="AB16">
    <cfRule type="cellIs" dxfId="5421" priority="1457" operator="equal">
      <formula>"x"</formula>
    </cfRule>
  </conditionalFormatting>
  <conditionalFormatting sqref="AB16">
    <cfRule type="cellIs" dxfId="5420" priority="1456" operator="notEqual">
      <formula>"x"</formula>
    </cfRule>
  </conditionalFormatting>
  <conditionalFormatting sqref="AD16">
    <cfRule type="cellIs" dxfId="5419" priority="1455" operator="notEqual">
      <formula>"x"</formula>
    </cfRule>
  </conditionalFormatting>
  <conditionalFormatting sqref="AF16">
    <cfRule type="cellIs" dxfId="5418" priority="1454" operator="equal">
      <formula>"x"</formula>
    </cfRule>
  </conditionalFormatting>
  <conditionalFormatting sqref="AF16">
    <cfRule type="cellIs" dxfId="5417" priority="1453" operator="notEqual">
      <formula>"x"</formula>
    </cfRule>
  </conditionalFormatting>
  <conditionalFormatting sqref="AD22">
    <cfRule type="cellIs" dxfId="5416" priority="1452" operator="equal">
      <formula>"x"</formula>
    </cfRule>
  </conditionalFormatting>
  <conditionalFormatting sqref="AB22">
    <cfRule type="cellIs" dxfId="5415" priority="1451" operator="equal">
      <formula>"x"</formula>
    </cfRule>
  </conditionalFormatting>
  <conditionalFormatting sqref="AB22">
    <cfRule type="cellIs" dxfId="5414" priority="1450" operator="notEqual">
      <formula>"x"</formula>
    </cfRule>
  </conditionalFormatting>
  <conditionalFormatting sqref="AD22">
    <cfRule type="cellIs" dxfId="5413" priority="1449" operator="notEqual">
      <formula>"x"</formula>
    </cfRule>
  </conditionalFormatting>
  <conditionalFormatting sqref="AF22">
    <cfRule type="cellIs" dxfId="5412" priority="1448" operator="equal">
      <formula>"x"</formula>
    </cfRule>
  </conditionalFormatting>
  <conditionalFormatting sqref="AD37">
    <cfRule type="cellIs" dxfId="5411" priority="1446" operator="equal">
      <formula>"x"</formula>
    </cfRule>
  </conditionalFormatting>
  <conditionalFormatting sqref="AB37">
    <cfRule type="cellIs" dxfId="5410" priority="1445" operator="equal">
      <formula>"x"</formula>
    </cfRule>
  </conditionalFormatting>
  <conditionalFormatting sqref="AD37">
    <cfRule type="cellIs" dxfId="5409" priority="1443" operator="notEqual">
      <formula>"x"</formula>
    </cfRule>
  </conditionalFormatting>
  <conditionalFormatting sqref="AF37">
    <cfRule type="cellIs" dxfId="5408" priority="1442" operator="equal">
      <formula>"x"</formula>
    </cfRule>
  </conditionalFormatting>
  <conditionalFormatting sqref="AD38">
    <cfRule type="cellIs" dxfId="5407" priority="1440" operator="equal">
      <formula>"x"</formula>
    </cfRule>
  </conditionalFormatting>
  <conditionalFormatting sqref="AB38">
    <cfRule type="cellIs" dxfId="5406" priority="1439" operator="equal">
      <formula>"x"</formula>
    </cfRule>
  </conditionalFormatting>
  <conditionalFormatting sqref="AF38">
    <cfRule type="cellIs" dxfId="5405" priority="1438" operator="equal">
      <formula>"x"</formula>
    </cfRule>
  </conditionalFormatting>
  <conditionalFormatting sqref="AD39">
    <cfRule type="cellIs" dxfId="5404" priority="1437" operator="equal">
      <formula>"x"</formula>
    </cfRule>
  </conditionalFormatting>
  <conditionalFormatting sqref="AB39">
    <cfRule type="cellIs" dxfId="5403" priority="1436" operator="equal">
      <formula>"x"</formula>
    </cfRule>
  </conditionalFormatting>
  <conditionalFormatting sqref="AF39">
    <cfRule type="cellIs" dxfId="5402" priority="1435" operator="equal">
      <formula>"x"</formula>
    </cfRule>
  </conditionalFormatting>
  <conditionalFormatting sqref="AD20">
    <cfRule type="cellIs" dxfId="5401" priority="1434" operator="equal">
      <formula>"x"</formula>
    </cfRule>
  </conditionalFormatting>
  <conditionalFormatting sqref="AB20">
    <cfRule type="cellIs" dxfId="5400" priority="1433" operator="equal">
      <formula>"x"</formula>
    </cfRule>
  </conditionalFormatting>
  <conditionalFormatting sqref="AF20">
    <cfRule type="cellIs" dxfId="5399" priority="1432" operator="equal">
      <formula>"x"</formula>
    </cfRule>
  </conditionalFormatting>
  <conditionalFormatting sqref="AD21">
    <cfRule type="cellIs" dxfId="5398" priority="1431" operator="equal">
      <formula>"x"</formula>
    </cfRule>
  </conditionalFormatting>
  <conditionalFormatting sqref="AB21">
    <cfRule type="cellIs" dxfId="5397" priority="1430" operator="equal">
      <formula>"x"</formula>
    </cfRule>
  </conditionalFormatting>
  <conditionalFormatting sqref="AF21">
    <cfRule type="cellIs" dxfId="5396" priority="1429" operator="equal">
      <formula>"x"</formula>
    </cfRule>
  </conditionalFormatting>
  <conditionalFormatting sqref="AN22">
    <cfRule type="cellIs" dxfId="5395" priority="1392" operator="notEqual">
      <formula>"x"</formula>
    </cfRule>
  </conditionalFormatting>
  <conditionalFormatting sqref="AJ37">
    <cfRule type="cellIs" dxfId="5394" priority="1389" operator="notEqual">
      <formula>"x"</formula>
    </cfRule>
  </conditionalFormatting>
  <conditionalFormatting sqref="AL32:AL36 AL25:AL30 AL18:AL19 AL12:AL15 AL23">
    <cfRule type="cellIs" dxfId="5393" priority="1428" operator="equal">
      <formula>"x"</formula>
    </cfRule>
  </conditionalFormatting>
  <conditionalFormatting sqref="AJ12:AJ15 AJ18:AJ19 AJ25:AJ30 AJ32:AJ36 AJ23">
    <cfRule type="cellIs" dxfId="5392" priority="1427" operator="equal">
      <formula>"x"</formula>
    </cfRule>
  </conditionalFormatting>
  <conditionalFormatting sqref="AJ15 AJ23 AJ29:AJ30 AJ36">
    <cfRule type="cellIs" dxfId="5391" priority="1426" operator="notEqual">
      <formula>"x"</formula>
    </cfRule>
  </conditionalFormatting>
  <conditionalFormatting sqref="AL15 AL23 AL29:AL30 AL36">
    <cfRule type="cellIs" dxfId="5390" priority="1425" operator="notEqual">
      <formula>"x"</formula>
    </cfRule>
  </conditionalFormatting>
  <conditionalFormatting sqref="AN32:AN36 AN25:AN30 AN18:AN19 AN12:AN15 AN23">
    <cfRule type="cellIs" dxfId="5389" priority="1424" operator="equal">
      <formula>"x"</formula>
    </cfRule>
  </conditionalFormatting>
  <conditionalFormatting sqref="AN15 AN23 AN29:AN30 AN36">
    <cfRule type="cellIs" dxfId="5388" priority="1423" operator="notEqual">
      <formula>"x"</formula>
    </cfRule>
  </conditionalFormatting>
  <conditionalFormatting sqref="AL11">
    <cfRule type="cellIs" dxfId="5387" priority="1422" operator="equal">
      <formula>"x"</formula>
    </cfRule>
  </conditionalFormatting>
  <conditionalFormatting sqref="AJ11">
    <cfRule type="cellIs" dxfId="5386" priority="1421" operator="equal">
      <formula>"x"</formula>
    </cfRule>
  </conditionalFormatting>
  <conditionalFormatting sqref="AN11">
    <cfRule type="cellIs" dxfId="5385" priority="1420" operator="equal">
      <formula>"x"</formula>
    </cfRule>
  </conditionalFormatting>
  <conditionalFormatting sqref="AJ10">
    <cfRule type="cellIs" dxfId="5384" priority="1419" operator="equal">
      <formula>"x"</formula>
    </cfRule>
  </conditionalFormatting>
  <conditionalFormatting sqref="AN37">
    <cfRule type="cellIs" dxfId="5383" priority="1386" operator="notEqual">
      <formula>"x"</formula>
    </cfRule>
  </conditionalFormatting>
  <conditionalFormatting sqref="AJ17">
    <cfRule type="cellIs" dxfId="5382" priority="1418" operator="equal">
      <formula>"x"</formula>
    </cfRule>
  </conditionalFormatting>
  <conditionalFormatting sqref="AJ24">
    <cfRule type="cellIs" dxfId="5381" priority="1417" operator="equal">
      <formula>"x"</formula>
    </cfRule>
  </conditionalFormatting>
  <conditionalFormatting sqref="AJ31">
    <cfRule type="cellIs" dxfId="5380" priority="1416" operator="equal">
      <formula>"x"</formula>
    </cfRule>
  </conditionalFormatting>
  <conditionalFormatting sqref="AL9">
    <cfRule type="cellIs" dxfId="5379" priority="1415" operator="equal">
      <formula>"x"</formula>
    </cfRule>
  </conditionalFormatting>
  <conditionalFormatting sqref="AJ9">
    <cfRule type="cellIs" dxfId="5378" priority="1414" operator="equal">
      <formula>"x"</formula>
    </cfRule>
  </conditionalFormatting>
  <conditionalFormatting sqref="AJ9">
    <cfRule type="cellIs" dxfId="5377" priority="1413" operator="notEqual">
      <formula>"x"</formula>
    </cfRule>
  </conditionalFormatting>
  <conditionalFormatting sqref="AL9">
    <cfRule type="cellIs" dxfId="5376" priority="1412" operator="notEqual">
      <formula>"x"</formula>
    </cfRule>
  </conditionalFormatting>
  <conditionalFormatting sqref="AN9">
    <cfRule type="cellIs" dxfId="5375" priority="1411" operator="equal">
      <formula>"x"</formula>
    </cfRule>
  </conditionalFormatting>
  <conditionalFormatting sqref="AN9">
    <cfRule type="cellIs" dxfId="5374" priority="1410" operator="notEqual">
      <formula>"x"</formula>
    </cfRule>
  </conditionalFormatting>
  <conditionalFormatting sqref="AL8">
    <cfRule type="cellIs" dxfId="5373" priority="1409" operator="equal">
      <formula>"x"</formula>
    </cfRule>
  </conditionalFormatting>
  <conditionalFormatting sqref="AJ8">
    <cfRule type="cellIs" dxfId="5372" priority="1408" operator="equal">
      <formula>"x"</formula>
    </cfRule>
  </conditionalFormatting>
  <conditionalFormatting sqref="AJ8">
    <cfRule type="cellIs" dxfId="5371" priority="1407" operator="notEqual">
      <formula>"x"</formula>
    </cfRule>
  </conditionalFormatting>
  <conditionalFormatting sqref="AL8">
    <cfRule type="cellIs" dxfId="5370" priority="1406" operator="notEqual">
      <formula>"x"</formula>
    </cfRule>
  </conditionalFormatting>
  <conditionalFormatting sqref="AN8">
    <cfRule type="cellIs" dxfId="5369" priority="1405" operator="equal">
      <formula>"x"</formula>
    </cfRule>
  </conditionalFormatting>
  <conditionalFormatting sqref="AN8">
    <cfRule type="cellIs" dxfId="5368" priority="1404" operator="notEqual">
      <formula>"x"</formula>
    </cfRule>
  </conditionalFormatting>
  <conditionalFormatting sqref="AL16">
    <cfRule type="cellIs" dxfId="5367" priority="1403" operator="equal">
      <formula>"x"</formula>
    </cfRule>
  </conditionalFormatting>
  <conditionalFormatting sqref="AJ16">
    <cfRule type="cellIs" dxfId="5366" priority="1402" operator="equal">
      <formula>"x"</formula>
    </cfRule>
  </conditionalFormatting>
  <conditionalFormatting sqref="AJ16">
    <cfRule type="cellIs" dxfId="5365" priority="1401" operator="notEqual">
      <formula>"x"</formula>
    </cfRule>
  </conditionalFormatting>
  <conditionalFormatting sqref="AL16">
    <cfRule type="cellIs" dxfId="5364" priority="1400" operator="notEqual">
      <formula>"x"</formula>
    </cfRule>
  </conditionalFormatting>
  <conditionalFormatting sqref="AN16">
    <cfRule type="cellIs" dxfId="5363" priority="1399" operator="equal">
      <formula>"x"</formula>
    </cfRule>
  </conditionalFormatting>
  <conditionalFormatting sqref="AN16">
    <cfRule type="cellIs" dxfId="5362" priority="1398" operator="notEqual">
      <formula>"x"</formula>
    </cfRule>
  </conditionalFormatting>
  <conditionalFormatting sqref="AL22">
    <cfRule type="cellIs" dxfId="5361" priority="1397" operator="equal">
      <formula>"x"</formula>
    </cfRule>
  </conditionalFormatting>
  <conditionalFormatting sqref="AJ22">
    <cfRule type="cellIs" dxfId="5360" priority="1396" operator="equal">
      <formula>"x"</formula>
    </cfRule>
  </conditionalFormatting>
  <conditionalFormatting sqref="AJ22">
    <cfRule type="cellIs" dxfId="5359" priority="1395" operator="notEqual">
      <formula>"x"</formula>
    </cfRule>
  </conditionalFormatting>
  <conditionalFormatting sqref="AL22">
    <cfRule type="cellIs" dxfId="5358" priority="1394" operator="notEqual">
      <formula>"x"</formula>
    </cfRule>
  </conditionalFormatting>
  <conditionalFormatting sqref="AN22">
    <cfRule type="cellIs" dxfId="5357" priority="1393" operator="equal">
      <formula>"x"</formula>
    </cfRule>
  </conditionalFormatting>
  <conditionalFormatting sqref="AL37">
    <cfRule type="cellIs" dxfId="5356" priority="1391" operator="equal">
      <formula>"x"</formula>
    </cfRule>
  </conditionalFormatting>
  <conditionalFormatting sqref="AJ37">
    <cfRule type="cellIs" dxfId="5355" priority="1390" operator="equal">
      <formula>"x"</formula>
    </cfRule>
  </conditionalFormatting>
  <conditionalFormatting sqref="AL37">
    <cfRule type="cellIs" dxfId="5354" priority="1388" operator="notEqual">
      <formula>"x"</formula>
    </cfRule>
  </conditionalFormatting>
  <conditionalFormatting sqref="AN37">
    <cfRule type="cellIs" dxfId="5353" priority="1387" operator="equal">
      <formula>"x"</formula>
    </cfRule>
  </conditionalFormatting>
  <conditionalFormatting sqref="AL38">
    <cfRule type="cellIs" dxfId="5352" priority="1385" operator="equal">
      <formula>"x"</formula>
    </cfRule>
  </conditionalFormatting>
  <conditionalFormatting sqref="AJ38">
    <cfRule type="cellIs" dxfId="5351" priority="1384" operator="equal">
      <formula>"x"</formula>
    </cfRule>
  </conditionalFormatting>
  <conditionalFormatting sqref="AN38">
    <cfRule type="cellIs" dxfId="5350" priority="1383" operator="equal">
      <formula>"x"</formula>
    </cfRule>
  </conditionalFormatting>
  <conditionalFormatting sqref="AL39">
    <cfRule type="cellIs" dxfId="5349" priority="1382" operator="equal">
      <formula>"x"</formula>
    </cfRule>
  </conditionalFormatting>
  <conditionalFormatting sqref="AJ39">
    <cfRule type="cellIs" dxfId="5348" priority="1381" operator="equal">
      <formula>"x"</formula>
    </cfRule>
  </conditionalFormatting>
  <conditionalFormatting sqref="AN39">
    <cfRule type="cellIs" dxfId="5347" priority="1380" operator="equal">
      <formula>"x"</formula>
    </cfRule>
  </conditionalFormatting>
  <conditionalFormatting sqref="AL20">
    <cfRule type="cellIs" dxfId="5346" priority="1379" operator="equal">
      <formula>"x"</formula>
    </cfRule>
  </conditionalFormatting>
  <conditionalFormatting sqref="AJ20">
    <cfRule type="cellIs" dxfId="5345" priority="1378" operator="equal">
      <formula>"x"</formula>
    </cfRule>
  </conditionalFormatting>
  <conditionalFormatting sqref="AN20">
    <cfRule type="cellIs" dxfId="5344" priority="1377" operator="equal">
      <formula>"x"</formula>
    </cfRule>
  </conditionalFormatting>
  <conditionalFormatting sqref="AL21">
    <cfRule type="cellIs" dxfId="5343" priority="1376" operator="equal">
      <formula>"x"</formula>
    </cfRule>
  </conditionalFormatting>
  <conditionalFormatting sqref="AJ21">
    <cfRule type="cellIs" dxfId="5342" priority="1375" operator="equal">
      <formula>"x"</formula>
    </cfRule>
  </conditionalFormatting>
  <conditionalFormatting sqref="AN21">
    <cfRule type="cellIs" dxfId="5341" priority="1374" operator="equal">
      <formula>"x"</formula>
    </cfRule>
  </conditionalFormatting>
  <conditionalFormatting sqref="AL6:AL7">
    <cfRule type="cellIs" dxfId="5340" priority="1373" operator="equal">
      <formula>"x"</formula>
    </cfRule>
  </conditionalFormatting>
  <conditionalFormatting sqref="AJ6:AJ7">
    <cfRule type="cellIs" dxfId="5339" priority="1372" operator="equal">
      <formula>"x"</formula>
    </cfRule>
  </conditionalFormatting>
  <conditionalFormatting sqref="AN6:AN7">
    <cfRule type="cellIs" dxfId="5338" priority="1371" operator="equal">
      <formula>"x"</formula>
    </cfRule>
  </conditionalFormatting>
  <conditionalFormatting sqref="AV22">
    <cfRule type="cellIs" dxfId="5337" priority="1334" operator="notEqual">
      <formula>"x"</formula>
    </cfRule>
  </conditionalFormatting>
  <conditionalFormatting sqref="AR37">
    <cfRule type="cellIs" dxfId="5336" priority="1331" operator="notEqual">
      <formula>"x"</formula>
    </cfRule>
  </conditionalFormatting>
  <conditionalFormatting sqref="AT32:AT35 AT25:AT30 AT18:AT19 AT12:AT15 AT23">
    <cfRule type="cellIs" dxfId="5335" priority="1370" operator="equal">
      <formula>"x"</formula>
    </cfRule>
  </conditionalFormatting>
  <conditionalFormatting sqref="AR12:AR15 AR18:AR19 AR25:AR30 AR32:AR35 AR23">
    <cfRule type="cellIs" dxfId="5334" priority="1369" operator="equal">
      <formula>"x"</formula>
    </cfRule>
  </conditionalFormatting>
  <conditionalFormatting sqref="AR15 AR23 AR29:AR30">
    <cfRule type="cellIs" dxfId="5333" priority="1368" operator="notEqual">
      <formula>"x"</formula>
    </cfRule>
  </conditionalFormatting>
  <conditionalFormatting sqref="AT15 AT23 AT29:AT30">
    <cfRule type="cellIs" dxfId="5332" priority="1367" operator="notEqual">
      <formula>"x"</formula>
    </cfRule>
  </conditionalFormatting>
  <conditionalFormatting sqref="AV32:AV35 AV25:AV30 AV18:AV19 AV12:AV15 AV23">
    <cfRule type="cellIs" dxfId="5331" priority="1366" operator="equal">
      <formula>"x"</formula>
    </cfRule>
  </conditionalFormatting>
  <conditionalFormatting sqref="AV15 AV23 AV29:AV30">
    <cfRule type="cellIs" dxfId="5330" priority="1365" operator="notEqual">
      <formula>"x"</formula>
    </cfRule>
  </conditionalFormatting>
  <conditionalFormatting sqref="AT11">
    <cfRule type="cellIs" dxfId="5329" priority="1364" operator="equal">
      <formula>"x"</formula>
    </cfRule>
  </conditionalFormatting>
  <conditionalFormatting sqref="AR11">
    <cfRule type="cellIs" dxfId="5328" priority="1363" operator="equal">
      <formula>"x"</formula>
    </cfRule>
  </conditionalFormatting>
  <conditionalFormatting sqref="AV11">
    <cfRule type="cellIs" dxfId="5327" priority="1362" operator="equal">
      <formula>"x"</formula>
    </cfRule>
  </conditionalFormatting>
  <conditionalFormatting sqref="AR10">
    <cfRule type="cellIs" dxfId="5326" priority="1361" operator="equal">
      <formula>"x"</formula>
    </cfRule>
  </conditionalFormatting>
  <conditionalFormatting sqref="AV37">
    <cfRule type="cellIs" dxfId="5325" priority="1328" operator="notEqual">
      <formula>"x"</formula>
    </cfRule>
  </conditionalFormatting>
  <conditionalFormatting sqref="AR17">
    <cfRule type="cellIs" dxfId="5324" priority="1360" operator="equal">
      <formula>"x"</formula>
    </cfRule>
  </conditionalFormatting>
  <conditionalFormatting sqref="AR24">
    <cfRule type="cellIs" dxfId="5323" priority="1359" operator="equal">
      <formula>"x"</formula>
    </cfRule>
  </conditionalFormatting>
  <conditionalFormatting sqref="AR31">
    <cfRule type="cellIs" dxfId="5322" priority="1358" operator="equal">
      <formula>"x"</formula>
    </cfRule>
  </conditionalFormatting>
  <conditionalFormatting sqref="AT9">
    <cfRule type="cellIs" dxfId="5321" priority="1357" operator="equal">
      <formula>"x"</formula>
    </cfRule>
  </conditionalFormatting>
  <conditionalFormatting sqref="AR9">
    <cfRule type="cellIs" dxfId="5320" priority="1356" operator="equal">
      <formula>"x"</formula>
    </cfRule>
  </conditionalFormatting>
  <conditionalFormatting sqref="AR9">
    <cfRule type="cellIs" dxfId="5319" priority="1355" operator="notEqual">
      <formula>"x"</formula>
    </cfRule>
  </conditionalFormatting>
  <conditionalFormatting sqref="AT9">
    <cfRule type="cellIs" dxfId="5318" priority="1354" operator="notEqual">
      <formula>"x"</formula>
    </cfRule>
  </conditionalFormatting>
  <conditionalFormatting sqref="AV9">
    <cfRule type="cellIs" dxfId="5317" priority="1353" operator="equal">
      <formula>"x"</formula>
    </cfRule>
  </conditionalFormatting>
  <conditionalFormatting sqref="AV9">
    <cfRule type="cellIs" dxfId="5316" priority="1352" operator="notEqual">
      <formula>"x"</formula>
    </cfRule>
  </conditionalFormatting>
  <conditionalFormatting sqref="AT8">
    <cfRule type="cellIs" dxfId="5315" priority="1351" operator="equal">
      <formula>"x"</formula>
    </cfRule>
  </conditionalFormatting>
  <conditionalFormatting sqref="AR8">
    <cfRule type="cellIs" dxfId="5314" priority="1350" operator="equal">
      <formula>"x"</formula>
    </cfRule>
  </conditionalFormatting>
  <conditionalFormatting sqref="AR8">
    <cfRule type="cellIs" dxfId="5313" priority="1349" operator="notEqual">
      <formula>"x"</formula>
    </cfRule>
  </conditionalFormatting>
  <conditionalFormatting sqref="AT8">
    <cfRule type="cellIs" dxfId="5312" priority="1348" operator="notEqual">
      <formula>"x"</formula>
    </cfRule>
  </conditionalFormatting>
  <conditionalFormatting sqref="AV8">
    <cfRule type="cellIs" dxfId="5311" priority="1347" operator="equal">
      <formula>"x"</formula>
    </cfRule>
  </conditionalFormatting>
  <conditionalFormatting sqref="AV8">
    <cfRule type="cellIs" dxfId="5310" priority="1346" operator="notEqual">
      <formula>"x"</formula>
    </cfRule>
  </conditionalFormatting>
  <conditionalFormatting sqref="AT16">
    <cfRule type="cellIs" dxfId="5309" priority="1345" operator="equal">
      <formula>"x"</formula>
    </cfRule>
  </conditionalFormatting>
  <conditionalFormatting sqref="AR16">
    <cfRule type="cellIs" dxfId="5308" priority="1344" operator="equal">
      <formula>"x"</formula>
    </cfRule>
  </conditionalFormatting>
  <conditionalFormatting sqref="AR16">
    <cfRule type="cellIs" dxfId="5307" priority="1343" operator="notEqual">
      <formula>"x"</formula>
    </cfRule>
  </conditionalFormatting>
  <conditionalFormatting sqref="AT16">
    <cfRule type="cellIs" dxfId="5306" priority="1342" operator="notEqual">
      <formula>"x"</formula>
    </cfRule>
  </conditionalFormatting>
  <conditionalFormatting sqref="AV16">
    <cfRule type="cellIs" dxfId="5305" priority="1341" operator="equal">
      <formula>"x"</formula>
    </cfRule>
  </conditionalFormatting>
  <conditionalFormatting sqref="AV16">
    <cfRule type="cellIs" dxfId="5304" priority="1340" operator="notEqual">
      <formula>"x"</formula>
    </cfRule>
  </conditionalFormatting>
  <conditionalFormatting sqref="AT22">
    <cfRule type="cellIs" dxfId="5303" priority="1339" operator="equal">
      <formula>"x"</formula>
    </cfRule>
  </conditionalFormatting>
  <conditionalFormatting sqref="AR22">
    <cfRule type="cellIs" dxfId="5302" priority="1338" operator="equal">
      <formula>"x"</formula>
    </cfRule>
  </conditionalFormatting>
  <conditionalFormatting sqref="AR22">
    <cfRule type="cellIs" dxfId="5301" priority="1337" operator="notEqual">
      <formula>"x"</formula>
    </cfRule>
  </conditionalFormatting>
  <conditionalFormatting sqref="AT22">
    <cfRule type="cellIs" dxfId="5300" priority="1336" operator="notEqual">
      <formula>"x"</formula>
    </cfRule>
  </conditionalFormatting>
  <conditionalFormatting sqref="AV22">
    <cfRule type="cellIs" dxfId="5299" priority="1335" operator="equal">
      <formula>"x"</formula>
    </cfRule>
  </conditionalFormatting>
  <conditionalFormatting sqref="AT37">
    <cfRule type="cellIs" dxfId="5298" priority="1333" operator="equal">
      <formula>"x"</formula>
    </cfRule>
  </conditionalFormatting>
  <conditionalFormatting sqref="AR37">
    <cfRule type="cellIs" dxfId="5297" priority="1332" operator="equal">
      <formula>"x"</formula>
    </cfRule>
  </conditionalFormatting>
  <conditionalFormatting sqref="AT37">
    <cfRule type="cellIs" dxfId="5296" priority="1330" operator="notEqual">
      <formula>"x"</formula>
    </cfRule>
  </conditionalFormatting>
  <conditionalFormatting sqref="AV37">
    <cfRule type="cellIs" dxfId="5295" priority="1329" operator="equal">
      <formula>"x"</formula>
    </cfRule>
  </conditionalFormatting>
  <conditionalFormatting sqref="AR38">
    <cfRule type="cellIs" dxfId="5294" priority="1327" operator="equal">
      <formula>"x"</formula>
    </cfRule>
  </conditionalFormatting>
  <conditionalFormatting sqref="AT39">
    <cfRule type="cellIs" dxfId="5293" priority="1326" operator="equal">
      <formula>"x"</formula>
    </cfRule>
  </conditionalFormatting>
  <conditionalFormatting sqref="AR39">
    <cfRule type="cellIs" dxfId="5292" priority="1325" operator="equal">
      <formula>"x"</formula>
    </cfRule>
  </conditionalFormatting>
  <conditionalFormatting sqref="AV39">
    <cfRule type="cellIs" dxfId="5291" priority="1324" operator="equal">
      <formula>"x"</formula>
    </cfRule>
  </conditionalFormatting>
  <conditionalFormatting sqref="AT20">
    <cfRule type="cellIs" dxfId="5290" priority="1323" operator="equal">
      <formula>"x"</formula>
    </cfRule>
  </conditionalFormatting>
  <conditionalFormatting sqref="AR20">
    <cfRule type="cellIs" dxfId="5289" priority="1322" operator="equal">
      <formula>"x"</formula>
    </cfRule>
  </conditionalFormatting>
  <conditionalFormatting sqref="AV20">
    <cfRule type="cellIs" dxfId="5288" priority="1321" operator="equal">
      <formula>"x"</formula>
    </cfRule>
  </conditionalFormatting>
  <conditionalFormatting sqref="AT21">
    <cfRule type="cellIs" dxfId="5287" priority="1320" operator="equal">
      <formula>"x"</formula>
    </cfRule>
  </conditionalFormatting>
  <conditionalFormatting sqref="AR21">
    <cfRule type="cellIs" dxfId="5286" priority="1319" operator="equal">
      <formula>"x"</formula>
    </cfRule>
  </conditionalFormatting>
  <conditionalFormatting sqref="AV21">
    <cfRule type="cellIs" dxfId="5285" priority="1318" operator="equal">
      <formula>"x"</formula>
    </cfRule>
  </conditionalFormatting>
  <conditionalFormatting sqref="AT6:AT7">
    <cfRule type="cellIs" dxfId="5284" priority="1317" operator="equal">
      <formula>"x"</formula>
    </cfRule>
  </conditionalFormatting>
  <conditionalFormatting sqref="AR6:AR7">
    <cfRule type="cellIs" dxfId="5283" priority="1316" operator="equal">
      <formula>"x"</formula>
    </cfRule>
  </conditionalFormatting>
  <conditionalFormatting sqref="AV6:AV7">
    <cfRule type="cellIs" dxfId="5282" priority="1315" operator="equal">
      <formula>"x"</formula>
    </cfRule>
  </conditionalFormatting>
  <conditionalFormatting sqref="BD22">
    <cfRule type="cellIs" dxfId="5281" priority="1270" operator="notEqual">
      <formula>"x"</formula>
    </cfRule>
  </conditionalFormatting>
  <conditionalFormatting sqref="AZ37">
    <cfRule type="cellIs" dxfId="5280" priority="1267" operator="notEqual">
      <formula>"x"</formula>
    </cfRule>
  </conditionalFormatting>
  <conditionalFormatting sqref="BB32:BB36 BB25:BB30 BB18:BB19 BB12:BB15 BB23">
    <cfRule type="cellIs" dxfId="5279" priority="1314" operator="equal">
      <formula>"x"</formula>
    </cfRule>
  </conditionalFormatting>
  <conditionalFormatting sqref="AZ12:AZ15 AZ18:AZ19 AZ25:AZ30 AZ32:AZ36 AZ23">
    <cfRule type="cellIs" dxfId="5278" priority="1313" operator="equal">
      <formula>"x"</formula>
    </cfRule>
  </conditionalFormatting>
  <conditionalFormatting sqref="AZ15 AZ23 AZ29:AZ30 AZ36">
    <cfRule type="cellIs" dxfId="5277" priority="1312" operator="notEqual">
      <formula>"x"</formula>
    </cfRule>
  </conditionalFormatting>
  <conditionalFormatting sqref="BB15 BB23 BB29:BB30 BB36">
    <cfRule type="cellIs" dxfId="5276" priority="1311" operator="notEqual">
      <formula>"x"</formula>
    </cfRule>
  </conditionalFormatting>
  <conditionalFormatting sqref="BD32:BD36 BD25:BD30 BD18:BD19 BD12:BD15 BD23">
    <cfRule type="cellIs" dxfId="5275" priority="1310" operator="equal">
      <formula>"x"</formula>
    </cfRule>
  </conditionalFormatting>
  <conditionalFormatting sqref="BD15 BD23 BD29:BD30 BD36">
    <cfRule type="cellIs" dxfId="5274" priority="1309" operator="notEqual">
      <formula>"x"</formula>
    </cfRule>
  </conditionalFormatting>
  <conditionalFormatting sqref="BB11">
    <cfRule type="cellIs" dxfId="5273" priority="1308" operator="equal">
      <formula>"x"</formula>
    </cfRule>
  </conditionalFormatting>
  <conditionalFormatting sqref="AZ11">
    <cfRule type="cellIs" dxfId="5272" priority="1307" operator="equal">
      <formula>"x"</formula>
    </cfRule>
  </conditionalFormatting>
  <conditionalFormatting sqref="BD11">
    <cfRule type="cellIs" dxfId="5271" priority="1306" operator="equal">
      <formula>"x"</formula>
    </cfRule>
  </conditionalFormatting>
  <conditionalFormatting sqref="BB10">
    <cfRule type="cellIs" dxfId="5270" priority="1305" operator="equal">
      <formula>"x"</formula>
    </cfRule>
  </conditionalFormatting>
  <conditionalFormatting sqref="AZ10">
    <cfRule type="cellIs" dxfId="5269" priority="1304" operator="equal">
      <formula>"x"</formula>
    </cfRule>
  </conditionalFormatting>
  <conditionalFormatting sqref="BD10">
    <cfRule type="cellIs" dxfId="5268" priority="1303" operator="equal">
      <formula>"x"</formula>
    </cfRule>
  </conditionalFormatting>
  <conditionalFormatting sqref="BD37">
    <cfRule type="cellIs" dxfId="5267" priority="1264" operator="notEqual">
      <formula>"x"</formula>
    </cfRule>
  </conditionalFormatting>
  <conditionalFormatting sqref="BB17">
    <cfRule type="cellIs" dxfId="5266" priority="1302" operator="equal">
      <formula>"x"</formula>
    </cfRule>
  </conditionalFormatting>
  <conditionalFormatting sqref="AZ17">
    <cfRule type="cellIs" dxfId="5265" priority="1301" operator="equal">
      <formula>"x"</formula>
    </cfRule>
  </conditionalFormatting>
  <conditionalFormatting sqref="BD17">
    <cfRule type="cellIs" dxfId="5264" priority="1300" operator="equal">
      <formula>"x"</formula>
    </cfRule>
  </conditionalFormatting>
  <conditionalFormatting sqref="BB24">
    <cfRule type="cellIs" dxfId="5263" priority="1299" operator="equal">
      <formula>"x"</formula>
    </cfRule>
  </conditionalFormatting>
  <conditionalFormatting sqref="AZ24">
    <cfRule type="cellIs" dxfId="5262" priority="1298" operator="equal">
      <formula>"x"</formula>
    </cfRule>
  </conditionalFormatting>
  <conditionalFormatting sqref="BD24">
    <cfRule type="cellIs" dxfId="5261" priority="1297" operator="equal">
      <formula>"x"</formula>
    </cfRule>
  </conditionalFormatting>
  <conditionalFormatting sqref="BB31">
    <cfRule type="cellIs" dxfId="5260" priority="1296" operator="equal">
      <formula>"x"</formula>
    </cfRule>
  </conditionalFormatting>
  <conditionalFormatting sqref="AZ31">
    <cfRule type="cellIs" dxfId="5259" priority="1295" operator="equal">
      <formula>"x"</formula>
    </cfRule>
  </conditionalFormatting>
  <conditionalFormatting sqref="BD31">
    <cfRule type="cellIs" dxfId="5258" priority="1294" operator="equal">
      <formula>"x"</formula>
    </cfRule>
  </conditionalFormatting>
  <conditionalFormatting sqref="BB9">
    <cfRule type="cellIs" dxfId="5257" priority="1293" operator="equal">
      <formula>"x"</formula>
    </cfRule>
  </conditionalFormatting>
  <conditionalFormatting sqref="AZ9">
    <cfRule type="cellIs" dxfId="5256" priority="1292" operator="equal">
      <formula>"x"</formula>
    </cfRule>
  </conditionalFormatting>
  <conditionalFormatting sqref="AZ9">
    <cfRule type="cellIs" dxfId="5255" priority="1291" operator="notEqual">
      <formula>"x"</formula>
    </cfRule>
  </conditionalFormatting>
  <conditionalFormatting sqref="BB9">
    <cfRule type="cellIs" dxfId="5254" priority="1290" operator="notEqual">
      <formula>"x"</formula>
    </cfRule>
  </conditionalFormatting>
  <conditionalFormatting sqref="BD9">
    <cfRule type="cellIs" dxfId="5253" priority="1289" operator="equal">
      <formula>"x"</formula>
    </cfRule>
  </conditionalFormatting>
  <conditionalFormatting sqref="BD9">
    <cfRule type="cellIs" dxfId="5252" priority="1288" operator="notEqual">
      <formula>"x"</formula>
    </cfRule>
  </conditionalFormatting>
  <conditionalFormatting sqref="BB8">
    <cfRule type="cellIs" dxfId="5251" priority="1287" operator="equal">
      <formula>"x"</formula>
    </cfRule>
  </conditionalFormatting>
  <conditionalFormatting sqref="AZ8">
    <cfRule type="cellIs" dxfId="5250" priority="1286" operator="equal">
      <formula>"x"</formula>
    </cfRule>
  </conditionalFormatting>
  <conditionalFormatting sqref="AZ8">
    <cfRule type="cellIs" dxfId="5249" priority="1285" operator="notEqual">
      <formula>"x"</formula>
    </cfRule>
  </conditionalFormatting>
  <conditionalFormatting sqref="BB8">
    <cfRule type="cellIs" dxfId="5248" priority="1284" operator="notEqual">
      <formula>"x"</formula>
    </cfRule>
  </conditionalFormatting>
  <conditionalFormatting sqref="BD8">
    <cfRule type="cellIs" dxfId="5247" priority="1283" operator="equal">
      <formula>"x"</formula>
    </cfRule>
  </conditionalFormatting>
  <conditionalFormatting sqref="BD8">
    <cfRule type="cellIs" dxfId="5246" priority="1282" operator="notEqual">
      <formula>"x"</formula>
    </cfRule>
  </conditionalFormatting>
  <conditionalFormatting sqref="BB16">
    <cfRule type="cellIs" dxfId="5245" priority="1281" operator="equal">
      <formula>"x"</formula>
    </cfRule>
  </conditionalFormatting>
  <conditionalFormatting sqref="AZ16">
    <cfRule type="cellIs" dxfId="5244" priority="1280" operator="equal">
      <formula>"x"</formula>
    </cfRule>
  </conditionalFormatting>
  <conditionalFormatting sqref="AZ16">
    <cfRule type="cellIs" dxfId="5243" priority="1279" operator="notEqual">
      <formula>"x"</formula>
    </cfRule>
  </conditionalFormatting>
  <conditionalFormatting sqref="BB16">
    <cfRule type="cellIs" dxfId="5242" priority="1278" operator="notEqual">
      <formula>"x"</formula>
    </cfRule>
  </conditionalFormatting>
  <conditionalFormatting sqref="BD16">
    <cfRule type="cellIs" dxfId="5241" priority="1277" operator="equal">
      <formula>"x"</formula>
    </cfRule>
  </conditionalFormatting>
  <conditionalFormatting sqref="BD16">
    <cfRule type="cellIs" dxfId="5240" priority="1276" operator="notEqual">
      <formula>"x"</formula>
    </cfRule>
  </conditionalFormatting>
  <conditionalFormatting sqref="BB22">
    <cfRule type="cellIs" dxfId="5239" priority="1275" operator="equal">
      <formula>"x"</formula>
    </cfRule>
  </conditionalFormatting>
  <conditionalFormatting sqref="AZ22">
    <cfRule type="cellIs" dxfId="5238" priority="1274" operator="equal">
      <formula>"x"</formula>
    </cfRule>
  </conditionalFormatting>
  <conditionalFormatting sqref="AZ22">
    <cfRule type="cellIs" dxfId="5237" priority="1273" operator="notEqual">
      <formula>"x"</formula>
    </cfRule>
  </conditionalFormatting>
  <conditionalFormatting sqref="BB22">
    <cfRule type="cellIs" dxfId="5236" priority="1272" operator="notEqual">
      <formula>"x"</formula>
    </cfRule>
  </conditionalFormatting>
  <conditionalFormatting sqref="BD22">
    <cfRule type="cellIs" dxfId="5235" priority="1271" operator="equal">
      <formula>"x"</formula>
    </cfRule>
  </conditionalFormatting>
  <conditionalFormatting sqref="BB37">
    <cfRule type="cellIs" dxfId="5234" priority="1269" operator="equal">
      <formula>"x"</formula>
    </cfRule>
  </conditionalFormatting>
  <conditionalFormatting sqref="AZ37">
    <cfRule type="cellIs" dxfId="5233" priority="1268" operator="equal">
      <formula>"x"</formula>
    </cfRule>
  </conditionalFormatting>
  <conditionalFormatting sqref="BB37">
    <cfRule type="cellIs" dxfId="5232" priority="1266" operator="notEqual">
      <formula>"x"</formula>
    </cfRule>
  </conditionalFormatting>
  <conditionalFormatting sqref="BD37">
    <cfRule type="cellIs" dxfId="5231" priority="1265" operator="equal">
      <formula>"x"</formula>
    </cfRule>
  </conditionalFormatting>
  <conditionalFormatting sqref="BB38">
    <cfRule type="cellIs" dxfId="5230" priority="1263" operator="equal">
      <formula>"x"</formula>
    </cfRule>
  </conditionalFormatting>
  <conditionalFormatting sqref="AZ38">
    <cfRule type="cellIs" dxfId="5229" priority="1262" operator="equal">
      <formula>"x"</formula>
    </cfRule>
  </conditionalFormatting>
  <conditionalFormatting sqref="BD38">
    <cfRule type="cellIs" dxfId="5228" priority="1261" operator="equal">
      <formula>"x"</formula>
    </cfRule>
  </conditionalFormatting>
  <conditionalFormatting sqref="BB39">
    <cfRule type="cellIs" dxfId="5227" priority="1260" operator="equal">
      <formula>"x"</formula>
    </cfRule>
  </conditionalFormatting>
  <conditionalFormatting sqref="AZ39">
    <cfRule type="cellIs" dxfId="5226" priority="1259" operator="equal">
      <formula>"x"</formula>
    </cfRule>
  </conditionalFormatting>
  <conditionalFormatting sqref="BD39">
    <cfRule type="cellIs" dxfId="5225" priority="1258" operator="equal">
      <formula>"x"</formula>
    </cfRule>
  </conditionalFormatting>
  <conditionalFormatting sqref="BB20">
    <cfRule type="cellIs" dxfId="5224" priority="1257" operator="equal">
      <formula>"x"</formula>
    </cfRule>
  </conditionalFormatting>
  <conditionalFormatting sqref="AZ20">
    <cfRule type="cellIs" dxfId="5223" priority="1256" operator="equal">
      <formula>"x"</formula>
    </cfRule>
  </conditionalFormatting>
  <conditionalFormatting sqref="BD20">
    <cfRule type="cellIs" dxfId="5222" priority="1255" operator="equal">
      <formula>"x"</formula>
    </cfRule>
  </conditionalFormatting>
  <conditionalFormatting sqref="BB21">
    <cfRule type="cellIs" dxfId="5221" priority="1254" operator="equal">
      <formula>"x"</formula>
    </cfRule>
  </conditionalFormatting>
  <conditionalFormatting sqref="AZ21">
    <cfRule type="cellIs" dxfId="5220" priority="1253" operator="equal">
      <formula>"x"</formula>
    </cfRule>
  </conditionalFormatting>
  <conditionalFormatting sqref="BD21">
    <cfRule type="cellIs" dxfId="5219" priority="1252" operator="equal">
      <formula>"x"</formula>
    </cfRule>
  </conditionalFormatting>
  <conditionalFormatting sqref="BB6:BB7">
    <cfRule type="cellIs" dxfId="5218" priority="1251" operator="equal">
      <formula>"x"</formula>
    </cfRule>
  </conditionalFormatting>
  <conditionalFormatting sqref="AZ6:AZ7">
    <cfRule type="cellIs" dxfId="5217" priority="1250" operator="equal">
      <formula>"x"</formula>
    </cfRule>
  </conditionalFormatting>
  <conditionalFormatting sqref="BD6:BD7">
    <cfRule type="cellIs" dxfId="5216" priority="1249" operator="equal">
      <formula>"x"</formula>
    </cfRule>
  </conditionalFormatting>
  <conditionalFormatting sqref="AZ5">
    <cfRule type="cellIs" dxfId="5215" priority="1248" operator="equal">
      <formula>"x"</formula>
    </cfRule>
  </conditionalFormatting>
  <conditionalFormatting sqref="BB5">
    <cfRule type="cellIs" dxfId="5214" priority="1247" operator="equal">
      <formula>"x"</formula>
    </cfRule>
  </conditionalFormatting>
  <conditionalFormatting sqref="BD5">
    <cfRule type="cellIs" dxfId="5213" priority="1246" operator="equal">
      <formula>"x"</formula>
    </cfRule>
  </conditionalFormatting>
  <conditionalFormatting sqref="BL22">
    <cfRule type="cellIs" dxfId="5212" priority="1206" operator="notEqual">
      <formula>"x"</formula>
    </cfRule>
  </conditionalFormatting>
  <conditionalFormatting sqref="BH37">
    <cfRule type="cellIs" dxfId="5211" priority="1203" operator="notEqual">
      <formula>"x"</formula>
    </cfRule>
  </conditionalFormatting>
  <conditionalFormatting sqref="BJ32:BJ36 BJ25:BJ30 BJ18:BJ19 BJ12:BJ15 BJ23">
    <cfRule type="cellIs" dxfId="5210" priority="1245" operator="equal">
      <formula>"x"</formula>
    </cfRule>
  </conditionalFormatting>
  <conditionalFormatting sqref="BH12:BH15 BH18:BH19 BH25:BH30 BH32:BH36 BH23">
    <cfRule type="cellIs" dxfId="5209" priority="1244" operator="equal">
      <formula>"x"</formula>
    </cfRule>
  </conditionalFormatting>
  <conditionalFormatting sqref="BH15 BH23 BH29:BH30 BH36">
    <cfRule type="cellIs" dxfId="5208" priority="1243" operator="notEqual">
      <formula>"x"</formula>
    </cfRule>
  </conditionalFormatting>
  <conditionalFormatting sqref="BJ15 BJ23 BJ29:BJ30 BJ36">
    <cfRule type="cellIs" dxfId="5207" priority="1242" operator="notEqual">
      <formula>"x"</formula>
    </cfRule>
  </conditionalFormatting>
  <conditionalFormatting sqref="BL32:BL36 BL25:BL30 BL18:BL19 BL12:BL15 BL23">
    <cfRule type="cellIs" dxfId="5206" priority="1241" operator="equal">
      <formula>"x"</formula>
    </cfRule>
  </conditionalFormatting>
  <conditionalFormatting sqref="BL15 BL23 BL29:BL30 BL36">
    <cfRule type="cellIs" dxfId="5205" priority="1240" operator="notEqual">
      <formula>"x"</formula>
    </cfRule>
  </conditionalFormatting>
  <conditionalFormatting sqref="BJ11">
    <cfRule type="cellIs" dxfId="5204" priority="1239" operator="equal">
      <formula>"x"</formula>
    </cfRule>
  </conditionalFormatting>
  <conditionalFormatting sqref="BH11">
    <cfRule type="cellIs" dxfId="5203" priority="1238" operator="equal">
      <formula>"x"</formula>
    </cfRule>
  </conditionalFormatting>
  <conditionalFormatting sqref="BL11">
    <cfRule type="cellIs" dxfId="5202" priority="1237" operator="equal">
      <formula>"x"</formula>
    </cfRule>
  </conditionalFormatting>
  <conditionalFormatting sqref="BJ10">
    <cfRule type="cellIs" dxfId="5201" priority="1236" operator="equal">
      <formula>"x"</formula>
    </cfRule>
  </conditionalFormatting>
  <conditionalFormatting sqref="BH10">
    <cfRule type="cellIs" dxfId="5200" priority="1235" operator="equal">
      <formula>"x"</formula>
    </cfRule>
  </conditionalFormatting>
  <conditionalFormatting sqref="BL10">
    <cfRule type="cellIs" dxfId="5199" priority="1234" operator="equal">
      <formula>"x"</formula>
    </cfRule>
  </conditionalFormatting>
  <conditionalFormatting sqref="BL37">
    <cfRule type="cellIs" dxfId="5198" priority="1200" operator="notEqual">
      <formula>"x"</formula>
    </cfRule>
  </conditionalFormatting>
  <conditionalFormatting sqref="BI17">
    <cfRule type="cellIs" dxfId="5197" priority="1233" operator="equal">
      <formula>"x"</formula>
    </cfRule>
  </conditionalFormatting>
  <conditionalFormatting sqref="BH17">
    <cfRule type="cellIs" dxfId="5196" priority="1232" operator="equal">
      <formula>"x"</formula>
    </cfRule>
  </conditionalFormatting>
  <conditionalFormatting sqref="BH24">
    <cfRule type="cellIs" dxfId="5195" priority="1231" operator="equal">
      <formula>"x"</formula>
    </cfRule>
  </conditionalFormatting>
  <conditionalFormatting sqref="BH31">
    <cfRule type="cellIs" dxfId="5194" priority="1230" operator="equal">
      <formula>"x"</formula>
    </cfRule>
  </conditionalFormatting>
  <conditionalFormatting sqref="BJ9">
    <cfRule type="cellIs" dxfId="5193" priority="1229" operator="equal">
      <formula>"x"</formula>
    </cfRule>
  </conditionalFormatting>
  <conditionalFormatting sqref="BH9">
    <cfRule type="cellIs" dxfId="5192" priority="1228" operator="equal">
      <formula>"x"</formula>
    </cfRule>
  </conditionalFormatting>
  <conditionalFormatting sqref="BH9">
    <cfRule type="cellIs" dxfId="5191" priority="1227" operator="notEqual">
      <formula>"x"</formula>
    </cfRule>
  </conditionalFormatting>
  <conditionalFormatting sqref="BJ9">
    <cfRule type="cellIs" dxfId="5190" priority="1226" operator="notEqual">
      <formula>"x"</formula>
    </cfRule>
  </conditionalFormatting>
  <conditionalFormatting sqref="BL9">
    <cfRule type="cellIs" dxfId="5189" priority="1225" operator="equal">
      <formula>"x"</formula>
    </cfRule>
  </conditionalFormatting>
  <conditionalFormatting sqref="BL9">
    <cfRule type="cellIs" dxfId="5188" priority="1224" operator="notEqual">
      <formula>"x"</formula>
    </cfRule>
  </conditionalFormatting>
  <conditionalFormatting sqref="BJ8">
    <cfRule type="cellIs" dxfId="5187" priority="1223" operator="equal">
      <formula>"x"</formula>
    </cfRule>
  </conditionalFormatting>
  <conditionalFormatting sqref="BH8">
    <cfRule type="cellIs" dxfId="5186" priority="1222" operator="equal">
      <formula>"x"</formula>
    </cfRule>
  </conditionalFormatting>
  <conditionalFormatting sqref="BH8">
    <cfRule type="cellIs" dxfId="5185" priority="1221" operator="notEqual">
      <formula>"x"</formula>
    </cfRule>
  </conditionalFormatting>
  <conditionalFormatting sqref="BJ8">
    <cfRule type="cellIs" dxfId="5184" priority="1220" operator="notEqual">
      <formula>"x"</formula>
    </cfRule>
  </conditionalFormatting>
  <conditionalFormatting sqref="BL8">
    <cfRule type="cellIs" dxfId="5183" priority="1219" operator="equal">
      <formula>"x"</formula>
    </cfRule>
  </conditionalFormatting>
  <conditionalFormatting sqref="BL8">
    <cfRule type="cellIs" dxfId="5182" priority="1218" operator="notEqual">
      <formula>"x"</formula>
    </cfRule>
  </conditionalFormatting>
  <conditionalFormatting sqref="BJ16">
    <cfRule type="cellIs" dxfId="5181" priority="1217" operator="equal">
      <formula>"x"</formula>
    </cfRule>
  </conditionalFormatting>
  <conditionalFormatting sqref="BH16">
    <cfRule type="cellIs" dxfId="5180" priority="1216" operator="equal">
      <formula>"x"</formula>
    </cfRule>
  </conditionalFormatting>
  <conditionalFormatting sqref="BH16">
    <cfRule type="cellIs" dxfId="5179" priority="1215" operator="notEqual">
      <formula>"x"</formula>
    </cfRule>
  </conditionalFormatting>
  <conditionalFormatting sqref="BJ16">
    <cfRule type="cellIs" dxfId="5178" priority="1214" operator="notEqual">
      <formula>"x"</formula>
    </cfRule>
  </conditionalFormatting>
  <conditionalFormatting sqref="BL16">
    <cfRule type="cellIs" dxfId="5177" priority="1213" operator="equal">
      <formula>"x"</formula>
    </cfRule>
  </conditionalFormatting>
  <conditionalFormatting sqref="BL16">
    <cfRule type="cellIs" dxfId="5176" priority="1212" operator="notEqual">
      <formula>"x"</formula>
    </cfRule>
  </conditionalFormatting>
  <conditionalFormatting sqref="BJ22">
    <cfRule type="cellIs" dxfId="5175" priority="1211" operator="equal">
      <formula>"x"</formula>
    </cfRule>
  </conditionalFormatting>
  <conditionalFormatting sqref="BH22">
    <cfRule type="cellIs" dxfId="5174" priority="1210" operator="equal">
      <formula>"x"</formula>
    </cfRule>
  </conditionalFormatting>
  <conditionalFormatting sqref="BH22">
    <cfRule type="cellIs" dxfId="5173" priority="1209" operator="notEqual">
      <formula>"x"</formula>
    </cfRule>
  </conditionalFormatting>
  <conditionalFormatting sqref="BJ22">
    <cfRule type="cellIs" dxfId="5172" priority="1208" operator="notEqual">
      <formula>"x"</formula>
    </cfRule>
  </conditionalFormatting>
  <conditionalFormatting sqref="BL22">
    <cfRule type="cellIs" dxfId="5171" priority="1207" operator="equal">
      <formula>"x"</formula>
    </cfRule>
  </conditionalFormatting>
  <conditionalFormatting sqref="BJ37">
    <cfRule type="cellIs" dxfId="5170" priority="1205" operator="equal">
      <formula>"x"</formula>
    </cfRule>
  </conditionalFormatting>
  <conditionalFormatting sqref="BH37">
    <cfRule type="cellIs" dxfId="5169" priority="1204" operator="equal">
      <formula>"x"</formula>
    </cfRule>
  </conditionalFormatting>
  <conditionalFormatting sqref="BJ37">
    <cfRule type="cellIs" dxfId="5168" priority="1202" operator="notEqual">
      <formula>"x"</formula>
    </cfRule>
  </conditionalFormatting>
  <conditionalFormatting sqref="BL37">
    <cfRule type="cellIs" dxfId="5167" priority="1201" operator="equal">
      <formula>"x"</formula>
    </cfRule>
  </conditionalFormatting>
  <conditionalFormatting sqref="BH38">
    <cfRule type="cellIs" dxfId="5166" priority="1199" operator="equal">
      <formula>"x"</formula>
    </cfRule>
  </conditionalFormatting>
  <conditionalFormatting sqref="BJ39">
    <cfRule type="cellIs" dxfId="5165" priority="1198" operator="equal">
      <formula>"x"</formula>
    </cfRule>
  </conditionalFormatting>
  <conditionalFormatting sqref="BH39">
    <cfRule type="cellIs" dxfId="5164" priority="1197" operator="equal">
      <formula>"x"</formula>
    </cfRule>
  </conditionalFormatting>
  <conditionalFormatting sqref="BL39">
    <cfRule type="cellIs" dxfId="5163" priority="1196" operator="equal">
      <formula>"x"</formula>
    </cfRule>
  </conditionalFormatting>
  <conditionalFormatting sqref="BJ20">
    <cfRule type="cellIs" dxfId="5162" priority="1195" operator="equal">
      <formula>"x"</formula>
    </cfRule>
  </conditionalFormatting>
  <conditionalFormatting sqref="BH20">
    <cfRule type="cellIs" dxfId="5161" priority="1194" operator="equal">
      <formula>"x"</formula>
    </cfRule>
  </conditionalFormatting>
  <conditionalFormatting sqref="BL20">
    <cfRule type="cellIs" dxfId="5160" priority="1193" operator="equal">
      <formula>"x"</formula>
    </cfRule>
  </conditionalFormatting>
  <conditionalFormatting sqref="BJ21">
    <cfRule type="cellIs" dxfId="5159" priority="1192" operator="equal">
      <formula>"x"</formula>
    </cfRule>
  </conditionalFormatting>
  <conditionalFormatting sqref="BH21">
    <cfRule type="cellIs" dxfId="5158" priority="1191" operator="equal">
      <formula>"x"</formula>
    </cfRule>
  </conditionalFormatting>
  <conditionalFormatting sqref="BL21">
    <cfRule type="cellIs" dxfId="5157" priority="1190" operator="equal">
      <formula>"x"</formula>
    </cfRule>
  </conditionalFormatting>
  <conditionalFormatting sqref="BJ6:BJ7">
    <cfRule type="cellIs" dxfId="5156" priority="1189" operator="equal">
      <formula>"x"</formula>
    </cfRule>
  </conditionalFormatting>
  <conditionalFormatting sqref="BH6:BH7">
    <cfRule type="cellIs" dxfId="5155" priority="1188" operator="equal">
      <formula>"x"</formula>
    </cfRule>
  </conditionalFormatting>
  <conditionalFormatting sqref="BL6:BL7">
    <cfRule type="cellIs" dxfId="5154" priority="1187" operator="equal">
      <formula>"x"</formula>
    </cfRule>
  </conditionalFormatting>
  <conditionalFormatting sqref="BH5">
    <cfRule type="cellIs" dxfId="5153" priority="1186" operator="equal">
      <formula>"x"</formula>
    </cfRule>
  </conditionalFormatting>
  <conditionalFormatting sqref="BJ5">
    <cfRule type="cellIs" dxfId="5152" priority="1185" operator="equal">
      <formula>"x"</formula>
    </cfRule>
  </conditionalFormatting>
  <conditionalFormatting sqref="BL5">
    <cfRule type="cellIs" dxfId="5151" priority="1184" operator="equal">
      <formula>"x"</formula>
    </cfRule>
  </conditionalFormatting>
  <conditionalFormatting sqref="BT22">
    <cfRule type="cellIs" dxfId="5150" priority="1143" operator="notEqual">
      <formula>"x"</formula>
    </cfRule>
  </conditionalFormatting>
  <conditionalFormatting sqref="BP37">
    <cfRule type="cellIs" dxfId="5149" priority="1140" operator="notEqual">
      <formula>"x"</formula>
    </cfRule>
  </conditionalFormatting>
  <conditionalFormatting sqref="BR32:BR36 BR25:BR30 BR18:BR19 BR12:BR15 BR23">
    <cfRule type="cellIs" dxfId="5148" priority="1183" operator="equal">
      <formula>"x"</formula>
    </cfRule>
  </conditionalFormatting>
  <conditionalFormatting sqref="BP12:BP15 BP18:BP19 BP25:BP30 BP32:BP36 BP23">
    <cfRule type="cellIs" dxfId="5147" priority="1182" operator="equal">
      <formula>"x"</formula>
    </cfRule>
  </conditionalFormatting>
  <conditionalFormatting sqref="BP15 BP23 BP29:BP30 BP36">
    <cfRule type="cellIs" dxfId="5146" priority="1181" operator="notEqual">
      <formula>"x"</formula>
    </cfRule>
  </conditionalFormatting>
  <conditionalFormatting sqref="BR15 BR23 BR29:BR30 BR36">
    <cfRule type="cellIs" dxfId="5145" priority="1180" operator="notEqual">
      <formula>"x"</formula>
    </cfRule>
  </conditionalFormatting>
  <conditionalFormatting sqref="BT32:BT36 BT25:BT30 BT18:BT19 BT12:BT15 BT23">
    <cfRule type="cellIs" dxfId="5144" priority="1179" operator="equal">
      <formula>"x"</formula>
    </cfRule>
  </conditionalFormatting>
  <conditionalFormatting sqref="BT15 BT23 BT29:BT30 BT36">
    <cfRule type="cellIs" dxfId="5143" priority="1178" operator="notEqual">
      <formula>"x"</formula>
    </cfRule>
  </conditionalFormatting>
  <conditionalFormatting sqref="BR11">
    <cfRule type="cellIs" dxfId="5142" priority="1177" operator="equal">
      <formula>"x"</formula>
    </cfRule>
  </conditionalFormatting>
  <conditionalFormatting sqref="BP11">
    <cfRule type="cellIs" dxfId="5141" priority="1176" operator="equal">
      <formula>"x"</formula>
    </cfRule>
  </conditionalFormatting>
  <conditionalFormatting sqref="BT11">
    <cfRule type="cellIs" dxfId="5140" priority="1175" operator="equal">
      <formula>"x"</formula>
    </cfRule>
  </conditionalFormatting>
  <conditionalFormatting sqref="BP10">
    <cfRule type="cellIs" dxfId="5139" priority="1174" operator="equal">
      <formula>"x"</formula>
    </cfRule>
  </conditionalFormatting>
  <conditionalFormatting sqref="BT37">
    <cfRule type="cellIs" dxfId="5138" priority="1137" operator="notEqual">
      <formula>"x"</formula>
    </cfRule>
  </conditionalFormatting>
  <conditionalFormatting sqref="BP17">
    <cfRule type="cellIs" dxfId="5137" priority="1173" operator="equal">
      <formula>"x"</formula>
    </cfRule>
  </conditionalFormatting>
  <conditionalFormatting sqref="BR24">
    <cfRule type="cellIs" dxfId="5136" priority="1172" operator="equal">
      <formula>"x"</formula>
    </cfRule>
  </conditionalFormatting>
  <conditionalFormatting sqref="BP24">
    <cfRule type="cellIs" dxfId="5135" priority="1171" operator="equal">
      <formula>"x"</formula>
    </cfRule>
  </conditionalFormatting>
  <conditionalFormatting sqref="BT24">
    <cfRule type="cellIs" dxfId="5134" priority="1170" operator="equal">
      <formula>"x"</formula>
    </cfRule>
  </conditionalFormatting>
  <conditionalFormatting sqref="BR31">
    <cfRule type="cellIs" dxfId="5133" priority="1169" operator="equal">
      <formula>"x"</formula>
    </cfRule>
  </conditionalFormatting>
  <conditionalFormatting sqref="BP31">
    <cfRule type="cellIs" dxfId="5132" priority="1168" operator="equal">
      <formula>"x"</formula>
    </cfRule>
  </conditionalFormatting>
  <conditionalFormatting sqref="BT31">
    <cfRule type="cellIs" dxfId="5131" priority="1167" operator="equal">
      <formula>"x"</formula>
    </cfRule>
  </conditionalFormatting>
  <conditionalFormatting sqref="BR9">
    <cfRule type="cellIs" dxfId="5130" priority="1166" operator="equal">
      <formula>"x"</formula>
    </cfRule>
  </conditionalFormatting>
  <conditionalFormatting sqref="BP9">
    <cfRule type="cellIs" dxfId="5129" priority="1165" operator="equal">
      <formula>"x"</formula>
    </cfRule>
  </conditionalFormatting>
  <conditionalFormatting sqref="BP9">
    <cfRule type="cellIs" dxfId="5128" priority="1164" operator="notEqual">
      <formula>"x"</formula>
    </cfRule>
  </conditionalFormatting>
  <conditionalFormatting sqref="BR9">
    <cfRule type="cellIs" dxfId="5127" priority="1163" operator="notEqual">
      <formula>"x"</formula>
    </cfRule>
  </conditionalFormatting>
  <conditionalFormatting sqref="BT9">
    <cfRule type="cellIs" dxfId="5126" priority="1162" operator="equal">
      <formula>"x"</formula>
    </cfRule>
  </conditionalFormatting>
  <conditionalFormatting sqref="BT9">
    <cfRule type="cellIs" dxfId="5125" priority="1161" operator="notEqual">
      <formula>"x"</formula>
    </cfRule>
  </conditionalFormatting>
  <conditionalFormatting sqref="BR8">
    <cfRule type="cellIs" dxfId="5124" priority="1160" operator="equal">
      <formula>"x"</formula>
    </cfRule>
  </conditionalFormatting>
  <conditionalFormatting sqref="BP8">
    <cfRule type="cellIs" dxfId="5123" priority="1159" operator="equal">
      <formula>"x"</formula>
    </cfRule>
  </conditionalFormatting>
  <conditionalFormatting sqref="BP8">
    <cfRule type="cellIs" dxfId="5122" priority="1158" operator="notEqual">
      <formula>"x"</formula>
    </cfRule>
  </conditionalFormatting>
  <conditionalFormatting sqref="BR8">
    <cfRule type="cellIs" dxfId="5121" priority="1157" operator="notEqual">
      <formula>"x"</formula>
    </cfRule>
  </conditionalFormatting>
  <conditionalFormatting sqref="BT8">
    <cfRule type="cellIs" dxfId="5120" priority="1156" operator="equal">
      <formula>"x"</formula>
    </cfRule>
  </conditionalFormatting>
  <conditionalFormatting sqref="BT8">
    <cfRule type="cellIs" dxfId="5119" priority="1155" operator="notEqual">
      <formula>"x"</formula>
    </cfRule>
  </conditionalFormatting>
  <conditionalFormatting sqref="BR16">
    <cfRule type="cellIs" dxfId="5118" priority="1154" operator="equal">
      <formula>"x"</formula>
    </cfRule>
  </conditionalFormatting>
  <conditionalFormatting sqref="BP16">
    <cfRule type="cellIs" dxfId="5117" priority="1153" operator="equal">
      <formula>"x"</formula>
    </cfRule>
  </conditionalFormatting>
  <conditionalFormatting sqref="BP16">
    <cfRule type="cellIs" dxfId="5116" priority="1152" operator="notEqual">
      <formula>"x"</formula>
    </cfRule>
  </conditionalFormatting>
  <conditionalFormatting sqref="BR16">
    <cfRule type="cellIs" dxfId="5115" priority="1151" operator="notEqual">
      <formula>"x"</formula>
    </cfRule>
  </conditionalFormatting>
  <conditionalFormatting sqref="BT16">
    <cfRule type="cellIs" dxfId="5114" priority="1150" operator="equal">
      <formula>"x"</formula>
    </cfRule>
  </conditionalFormatting>
  <conditionalFormatting sqref="BT16">
    <cfRule type="cellIs" dxfId="5113" priority="1149" operator="notEqual">
      <formula>"x"</formula>
    </cfRule>
  </conditionalFormatting>
  <conditionalFormatting sqref="BR22">
    <cfRule type="cellIs" dxfId="5112" priority="1148" operator="equal">
      <formula>"x"</formula>
    </cfRule>
  </conditionalFormatting>
  <conditionalFormatting sqref="BP22">
    <cfRule type="cellIs" dxfId="5111" priority="1147" operator="equal">
      <formula>"x"</formula>
    </cfRule>
  </conditionalFormatting>
  <conditionalFormatting sqref="BP22">
    <cfRule type="cellIs" dxfId="5110" priority="1146" operator="notEqual">
      <formula>"x"</formula>
    </cfRule>
  </conditionalFormatting>
  <conditionalFormatting sqref="BR22">
    <cfRule type="cellIs" dxfId="5109" priority="1145" operator="notEqual">
      <formula>"x"</formula>
    </cfRule>
  </conditionalFormatting>
  <conditionalFormatting sqref="BT22">
    <cfRule type="cellIs" dxfId="5108" priority="1144" operator="equal">
      <formula>"x"</formula>
    </cfRule>
  </conditionalFormatting>
  <conditionalFormatting sqref="BR37">
    <cfRule type="cellIs" dxfId="5107" priority="1142" operator="equal">
      <formula>"x"</formula>
    </cfRule>
  </conditionalFormatting>
  <conditionalFormatting sqref="BP37">
    <cfRule type="cellIs" dxfId="5106" priority="1141" operator="equal">
      <formula>"x"</formula>
    </cfRule>
  </conditionalFormatting>
  <conditionalFormatting sqref="BR37">
    <cfRule type="cellIs" dxfId="5105" priority="1139" operator="notEqual">
      <formula>"x"</formula>
    </cfRule>
  </conditionalFormatting>
  <conditionalFormatting sqref="BT37">
    <cfRule type="cellIs" dxfId="5104" priority="1138" operator="equal">
      <formula>"x"</formula>
    </cfRule>
  </conditionalFormatting>
  <conditionalFormatting sqref="BR38">
    <cfRule type="cellIs" dxfId="5103" priority="1136" operator="equal">
      <formula>"x"</formula>
    </cfRule>
  </conditionalFormatting>
  <conditionalFormatting sqref="BP38">
    <cfRule type="cellIs" dxfId="5102" priority="1135" operator="equal">
      <formula>"x"</formula>
    </cfRule>
  </conditionalFormatting>
  <conditionalFormatting sqref="BT38">
    <cfRule type="cellIs" dxfId="5101" priority="1134" operator="equal">
      <formula>"x"</formula>
    </cfRule>
  </conditionalFormatting>
  <conditionalFormatting sqref="BR39">
    <cfRule type="cellIs" dxfId="5100" priority="1133" operator="equal">
      <formula>"x"</formula>
    </cfRule>
  </conditionalFormatting>
  <conditionalFormatting sqref="BP39">
    <cfRule type="cellIs" dxfId="5099" priority="1132" operator="equal">
      <formula>"x"</formula>
    </cfRule>
  </conditionalFormatting>
  <conditionalFormatting sqref="BT39">
    <cfRule type="cellIs" dxfId="5098" priority="1131" operator="equal">
      <formula>"x"</formula>
    </cfRule>
  </conditionalFormatting>
  <conditionalFormatting sqref="BR20">
    <cfRule type="cellIs" dxfId="5097" priority="1130" operator="equal">
      <formula>"x"</formula>
    </cfRule>
  </conditionalFormatting>
  <conditionalFormatting sqref="BP20">
    <cfRule type="cellIs" dxfId="5096" priority="1129" operator="equal">
      <formula>"x"</formula>
    </cfRule>
  </conditionalFormatting>
  <conditionalFormatting sqref="BT20">
    <cfRule type="cellIs" dxfId="5095" priority="1128" operator="equal">
      <formula>"x"</formula>
    </cfRule>
  </conditionalFormatting>
  <conditionalFormatting sqref="BR21">
    <cfRule type="cellIs" dxfId="5094" priority="1127" operator="equal">
      <formula>"x"</formula>
    </cfRule>
  </conditionalFormatting>
  <conditionalFormatting sqref="BP21">
    <cfRule type="cellIs" dxfId="5093" priority="1126" operator="equal">
      <formula>"x"</formula>
    </cfRule>
  </conditionalFormatting>
  <conditionalFormatting sqref="BT21">
    <cfRule type="cellIs" dxfId="5092" priority="1125" operator="equal">
      <formula>"x"</formula>
    </cfRule>
  </conditionalFormatting>
  <conditionalFormatting sqref="BR6:BR7">
    <cfRule type="cellIs" dxfId="5091" priority="1124" operator="equal">
      <formula>"x"</formula>
    </cfRule>
  </conditionalFormatting>
  <conditionalFormatting sqref="BP6:BP7">
    <cfRule type="cellIs" dxfId="5090" priority="1123" operator="equal">
      <formula>"x"</formula>
    </cfRule>
  </conditionalFormatting>
  <conditionalFormatting sqref="BT6:BT7">
    <cfRule type="cellIs" dxfId="5089" priority="1122" operator="equal">
      <formula>"x"</formula>
    </cfRule>
  </conditionalFormatting>
  <conditionalFormatting sqref="BP5">
    <cfRule type="cellIs" dxfId="5088" priority="1121" operator="equal">
      <formula>"x"</formula>
    </cfRule>
  </conditionalFormatting>
  <conditionalFormatting sqref="BR5">
    <cfRule type="cellIs" dxfId="5087" priority="1120" operator="equal">
      <formula>"x"</formula>
    </cfRule>
  </conditionalFormatting>
  <conditionalFormatting sqref="BT5">
    <cfRule type="cellIs" dxfId="5086" priority="1119" operator="equal">
      <formula>"x"</formula>
    </cfRule>
  </conditionalFormatting>
  <conditionalFormatting sqref="BP4">
    <cfRule type="cellIs" dxfId="5085" priority="1118" operator="equal">
      <formula>"x"</formula>
    </cfRule>
  </conditionalFormatting>
  <conditionalFormatting sqref="BR4">
    <cfRule type="cellIs" dxfId="5084" priority="1117" operator="equal">
      <formula>"x"</formula>
    </cfRule>
  </conditionalFormatting>
  <conditionalFormatting sqref="BT4">
    <cfRule type="cellIs" dxfId="5083" priority="1116" operator="equal">
      <formula>"x"</formula>
    </cfRule>
  </conditionalFormatting>
  <conditionalFormatting sqref="CB22">
    <cfRule type="cellIs" dxfId="5082" priority="1076" operator="notEqual">
      <formula>"x"</formula>
    </cfRule>
  </conditionalFormatting>
  <conditionalFormatting sqref="BX37">
    <cfRule type="cellIs" dxfId="5081" priority="1073" operator="notEqual">
      <formula>"x"</formula>
    </cfRule>
  </conditionalFormatting>
  <conditionalFormatting sqref="BZ32:BZ36 BZ25:BZ30 BZ18:BZ19 BZ12:BZ15 BZ23">
    <cfRule type="cellIs" dxfId="5080" priority="1115" operator="equal">
      <formula>"x"</formula>
    </cfRule>
  </conditionalFormatting>
  <conditionalFormatting sqref="BX12:BX15 BX18:BX19 BX25:BX30 BX32:BX36 BX23">
    <cfRule type="cellIs" dxfId="5079" priority="1114" operator="equal">
      <formula>"x"</formula>
    </cfRule>
  </conditionalFormatting>
  <conditionalFormatting sqref="BX15 BX23 BX29:BX30 BX36">
    <cfRule type="cellIs" dxfId="5078" priority="1113" operator="notEqual">
      <formula>"x"</formula>
    </cfRule>
  </conditionalFormatting>
  <conditionalFormatting sqref="BZ15 BZ23 BZ29:BZ30 BZ36">
    <cfRule type="cellIs" dxfId="5077" priority="1112" operator="notEqual">
      <formula>"x"</formula>
    </cfRule>
  </conditionalFormatting>
  <conditionalFormatting sqref="CB32:CB36 CB25:CB30 CB18:CB19 CB12:CB15 CB23">
    <cfRule type="cellIs" dxfId="5076" priority="1111" operator="equal">
      <formula>"x"</formula>
    </cfRule>
  </conditionalFormatting>
  <conditionalFormatting sqref="CB15 CB23 CB29:CB30 CB36">
    <cfRule type="cellIs" dxfId="5075" priority="1110" operator="notEqual">
      <formula>"x"</formula>
    </cfRule>
  </conditionalFormatting>
  <conditionalFormatting sqref="BZ11">
    <cfRule type="cellIs" dxfId="5074" priority="1109" operator="equal">
      <formula>"x"</formula>
    </cfRule>
  </conditionalFormatting>
  <conditionalFormatting sqref="BX11">
    <cfRule type="cellIs" dxfId="5073" priority="1108" operator="equal">
      <formula>"x"</formula>
    </cfRule>
  </conditionalFormatting>
  <conditionalFormatting sqref="CB11">
    <cfRule type="cellIs" dxfId="5072" priority="1107" operator="equal">
      <formula>"x"</formula>
    </cfRule>
  </conditionalFormatting>
  <conditionalFormatting sqref="BZ10">
    <cfRule type="cellIs" dxfId="5071" priority="1106" operator="equal">
      <formula>"x"</formula>
    </cfRule>
  </conditionalFormatting>
  <conditionalFormatting sqref="BX10">
    <cfRule type="cellIs" dxfId="5070" priority="1105" operator="equal">
      <formula>"x"</formula>
    </cfRule>
  </conditionalFormatting>
  <conditionalFormatting sqref="CB10">
    <cfRule type="cellIs" dxfId="5069" priority="1104" operator="equal">
      <formula>"x"</formula>
    </cfRule>
  </conditionalFormatting>
  <conditionalFormatting sqref="CB37">
    <cfRule type="cellIs" dxfId="5068" priority="1070" operator="notEqual">
      <formula>"x"</formula>
    </cfRule>
  </conditionalFormatting>
  <conditionalFormatting sqref="BY17">
    <cfRule type="cellIs" dxfId="5067" priority="1103" operator="equal">
      <formula>"x"</formula>
    </cfRule>
  </conditionalFormatting>
  <conditionalFormatting sqref="BX17">
    <cfRule type="cellIs" dxfId="5066" priority="1102" operator="equal">
      <formula>"x"</formula>
    </cfRule>
  </conditionalFormatting>
  <conditionalFormatting sqref="BX24">
    <cfRule type="cellIs" dxfId="5065" priority="1101" operator="equal">
      <formula>"x"</formula>
    </cfRule>
  </conditionalFormatting>
  <conditionalFormatting sqref="BX31">
    <cfRule type="cellIs" dxfId="5064" priority="1100" operator="equal">
      <formula>"x"</formula>
    </cfRule>
  </conditionalFormatting>
  <conditionalFormatting sqref="BZ9">
    <cfRule type="cellIs" dxfId="5063" priority="1099" operator="equal">
      <formula>"x"</formula>
    </cfRule>
  </conditionalFormatting>
  <conditionalFormatting sqref="BX9">
    <cfRule type="cellIs" dxfId="5062" priority="1098" operator="equal">
      <formula>"x"</formula>
    </cfRule>
  </conditionalFormatting>
  <conditionalFormatting sqref="BX9">
    <cfRule type="cellIs" dxfId="5061" priority="1097" operator="notEqual">
      <formula>"x"</formula>
    </cfRule>
  </conditionalFormatting>
  <conditionalFormatting sqref="BZ9">
    <cfRule type="cellIs" dxfId="5060" priority="1096" operator="notEqual">
      <formula>"x"</formula>
    </cfRule>
  </conditionalFormatting>
  <conditionalFormatting sqref="CB9">
    <cfRule type="cellIs" dxfId="5059" priority="1095" operator="equal">
      <formula>"x"</formula>
    </cfRule>
  </conditionalFormatting>
  <conditionalFormatting sqref="CB9">
    <cfRule type="cellIs" dxfId="5058" priority="1094" operator="notEqual">
      <formula>"x"</formula>
    </cfRule>
  </conditionalFormatting>
  <conditionalFormatting sqref="BZ8">
    <cfRule type="cellIs" dxfId="5057" priority="1093" operator="equal">
      <formula>"x"</formula>
    </cfRule>
  </conditionalFormatting>
  <conditionalFormatting sqref="BX8">
    <cfRule type="cellIs" dxfId="5056" priority="1092" operator="equal">
      <formula>"x"</formula>
    </cfRule>
  </conditionalFormatting>
  <conditionalFormatting sqref="BX8">
    <cfRule type="cellIs" dxfId="5055" priority="1091" operator="notEqual">
      <formula>"x"</formula>
    </cfRule>
  </conditionalFormatting>
  <conditionalFormatting sqref="BZ8">
    <cfRule type="cellIs" dxfId="5054" priority="1090" operator="notEqual">
      <formula>"x"</formula>
    </cfRule>
  </conditionalFormatting>
  <conditionalFormatting sqref="CB8">
    <cfRule type="cellIs" dxfId="5053" priority="1089" operator="equal">
      <formula>"x"</formula>
    </cfRule>
  </conditionalFormatting>
  <conditionalFormatting sqref="CB8">
    <cfRule type="cellIs" dxfId="5052" priority="1088" operator="notEqual">
      <formula>"x"</formula>
    </cfRule>
  </conditionalFormatting>
  <conditionalFormatting sqref="BZ16">
    <cfRule type="cellIs" dxfId="5051" priority="1087" operator="equal">
      <formula>"x"</formula>
    </cfRule>
  </conditionalFormatting>
  <conditionalFormatting sqref="BX16">
    <cfRule type="cellIs" dxfId="5050" priority="1086" operator="equal">
      <formula>"x"</formula>
    </cfRule>
  </conditionalFormatting>
  <conditionalFormatting sqref="BX16">
    <cfRule type="cellIs" dxfId="5049" priority="1085" operator="notEqual">
      <formula>"x"</formula>
    </cfRule>
  </conditionalFormatting>
  <conditionalFormatting sqref="BZ16">
    <cfRule type="cellIs" dxfId="5048" priority="1084" operator="notEqual">
      <formula>"x"</formula>
    </cfRule>
  </conditionalFormatting>
  <conditionalFormatting sqref="CB16">
    <cfRule type="cellIs" dxfId="5047" priority="1083" operator="equal">
      <formula>"x"</formula>
    </cfRule>
  </conditionalFormatting>
  <conditionalFormatting sqref="CB16">
    <cfRule type="cellIs" dxfId="5046" priority="1082" operator="notEqual">
      <formula>"x"</formula>
    </cfRule>
  </conditionalFormatting>
  <conditionalFormatting sqref="BZ22">
    <cfRule type="cellIs" dxfId="5045" priority="1081" operator="equal">
      <formula>"x"</formula>
    </cfRule>
  </conditionalFormatting>
  <conditionalFormatting sqref="BX22">
    <cfRule type="cellIs" dxfId="5044" priority="1080" operator="equal">
      <formula>"x"</formula>
    </cfRule>
  </conditionalFormatting>
  <conditionalFormatting sqref="BX22">
    <cfRule type="cellIs" dxfId="5043" priority="1079" operator="notEqual">
      <formula>"x"</formula>
    </cfRule>
  </conditionalFormatting>
  <conditionalFormatting sqref="BZ22">
    <cfRule type="cellIs" dxfId="5042" priority="1078" operator="notEqual">
      <formula>"x"</formula>
    </cfRule>
  </conditionalFormatting>
  <conditionalFormatting sqref="CB22">
    <cfRule type="cellIs" dxfId="5041" priority="1077" operator="equal">
      <formula>"x"</formula>
    </cfRule>
  </conditionalFormatting>
  <conditionalFormatting sqref="BZ37">
    <cfRule type="cellIs" dxfId="5040" priority="1075" operator="equal">
      <formula>"x"</formula>
    </cfRule>
  </conditionalFormatting>
  <conditionalFormatting sqref="BX37">
    <cfRule type="cellIs" dxfId="5039" priority="1074" operator="equal">
      <formula>"x"</formula>
    </cfRule>
  </conditionalFormatting>
  <conditionalFormatting sqref="BZ37">
    <cfRule type="cellIs" dxfId="5038" priority="1072" operator="notEqual">
      <formula>"x"</formula>
    </cfRule>
  </conditionalFormatting>
  <conditionalFormatting sqref="CB37">
    <cfRule type="cellIs" dxfId="5037" priority="1071" operator="equal">
      <formula>"x"</formula>
    </cfRule>
  </conditionalFormatting>
  <conditionalFormatting sqref="BZ38">
    <cfRule type="cellIs" dxfId="5036" priority="1069" operator="equal">
      <formula>"x"</formula>
    </cfRule>
  </conditionalFormatting>
  <conditionalFormatting sqref="BX38">
    <cfRule type="cellIs" dxfId="5035" priority="1068" operator="equal">
      <formula>"x"</formula>
    </cfRule>
  </conditionalFormatting>
  <conditionalFormatting sqref="CB38">
    <cfRule type="cellIs" dxfId="5034" priority="1067" operator="equal">
      <formula>"x"</formula>
    </cfRule>
  </conditionalFormatting>
  <conditionalFormatting sqref="BZ39">
    <cfRule type="cellIs" dxfId="5033" priority="1066" operator="equal">
      <formula>"x"</formula>
    </cfRule>
  </conditionalFormatting>
  <conditionalFormatting sqref="BX39">
    <cfRule type="cellIs" dxfId="5032" priority="1065" operator="equal">
      <formula>"x"</formula>
    </cfRule>
  </conditionalFormatting>
  <conditionalFormatting sqref="CB39">
    <cfRule type="cellIs" dxfId="5031" priority="1064" operator="equal">
      <formula>"x"</formula>
    </cfRule>
  </conditionalFormatting>
  <conditionalFormatting sqref="BZ20">
    <cfRule type="cellIs" dxfId="5030" priority="1063" operator="equal">
      <formula>"x"</formula>
    </cfRule>
  </conditionalFormatting>
  <conditionalFormatting sqref="BX20">
    <cfRule type="cellIs" dxfId="5029" priority="1062" operator="equal">
      <formula>"x"</formula>
    </cfRule>
  </conditionalFormatting>
  <conditionalFormatting sqref="CB20">
    <cfRule type="cellIs" dxfId="5028" priority="1061" operator="equal">
      <formula>"x"</formula>
    </cfRule>
  </conditionalFormatting>
  <conditionalFormatting sqref="BZ21">
    <cfRule type="cellIs" dxfId="5027" priority="1060" operator="equal">
      <formula>"x"</formula>
    </cfRule>
  </conditionalFormatting>
  <conditionalFormatting sqref="BX21">
    <cfRule type="cellIs" dxfId="5026" priority="1059" operator="equal">
      <formula>"x"</formula>
    </cfRule>
  </conditionalFormatting>
  <conditionalFormatting sqref="CB21">
    <cfRule type="cellIs" dxfId="5025" priority="1058" operator="equal">
      <formula>"x"</formula>
    </cfRule>
  </conditionalFormatting>
  <conditionalFormatting sqref="BZ6:BZ7">
    <cfRule type="cellIs" dxfId="5024" priority="1057" operator="equal">
      <formula>"x"</formula>
    </cfRule>
  </conditionalFormatting>
  <conditionalFormatting sqref="BX6:BX7">
    <cfRule type="cellIs" dxfId="5023" priority="1056" operator="equal">
      <formula>"x"</formula>
    </cfRule>
  </conditionalFormatting>
  <conditionalFormatting sqref="CB6:CB7">
    <cfRule type="cellIs" dxfId="5022" priority="1055" operator="equal">
      <formula>"x"</formula>
    </cfRule>
  </conditionalFormatting>
  <conditionalFormatting sqref="BX5">
    <cfRule type="cellIs" dxfId="5021" priority="1054" operator="equal">
      <formula>"x"</formula>
    </cfRule>
  </conditionalFormatting>
  <conditionalFormatting sqref="BZ5">
    <cfRule type="cellIs" dxfId="5020" priority="1053" operator="equal">
      <formula>"x"</formula>
    </cfRule>
  </conditionalFormatting>
  <conditionalFormatting sqref="CB5">
    <cfRule type="cellIs" dxfId="5019" priority="1052" operator="equal">
      <formula>"x"</formula>
    </cfRule>
  </conditionalFormatting>
  <conditionalFormatting sqref="BX4">
    <cfRule type="cellIs" dxfId="5018" priority="1051" operator="equal">
      <formula>"x"</formula>
    </cfRule>
  </conditionalFormatting>
  <conditionalFormatting sqref="BZ4">
    <cfRule type="cellIs" dxfId="5017" priority="1050" operator="equal">
      <formula>"x"</formula>
    </cfRule>
  </conditionalFormatting>
  <conditionalFormatting sqref="CB4">
    <cfRule type="cellIs" dxfId="5016" priority="1049" operator="equal">
      <formula>"x"</formula>
    </cfRule>
  </conditionalFormatting>
  <conditionalFormatting sqref="CJ22">
    <cfRule type="cellIs" dxfId="5015" priority="1012" operator="notEqual">
      <formula>"x"</formula>
    </cfRule>
  </conditionalFormatting>
  <conditionalFormatting sqref="CF37">
    <cfRule type="cellIs" dxfId="5014" priority="1009" operator="notEqual">
      <formula>"x"</formula>
    </cfRule>
  </conditionalFormatting>
  <conditionalFormatting sqref="CH32:CH36 CH25:CH30 CH18:CH19 CH12:CH15">
    <cfRule type="cellIs" dxfId="5013" priority="1048" operator="equal">
      <formula>"x"</formula>
    </cfRule>
  </conditionalFormatting>
  <conditionalFormatting sqref="CF12:CF15 CF18:CF19 CF25:CF30 CF32:CF36">
    <cfRule type="cellIs" dxfId="5012" priority="1047" operator="equal">
      <formula>"x"</formula>
    </cfRule>
  </conditionalFormatting>
  <conditionalFormatting sqref="CF15 CF29:CF30 CF36">
    <cfRule type="cellIs" dxfId="5011" priority="1046" operator="notEqual">
      <formula>"x"</formula>
    </cfRule>
  </conditionalFormatting>
  <conditionalFormatting sqref="CH15 CH29:CH30 CH36">
    <cfRule type="cellIs" dxfId="5010" priority="1045" operator="notEqual">
      <formula>"x"</formula>
    </cfRule>
  </conditionalFormatting>
  <conditionalFormatting sqref="CJ32:CJ36 CJ25:CJ30 CJ18:CJ19 CJ12:CJ15">
    <cfRule type="cellIs" dxfId="5009" priority="1044" operator="equal">
      <formula>"x"</formula>
    </cfRule>
  </conditionalFormatting>
  <conditionalFormatting sqref="CJ15 CJ29:CJ30 CJ36">
    <cfRule type="cellIs" dxfId="5008" priority="1043" operator="notEqual">
      <formula>"x"</formula>
    </cfRule>
  </conditionalFormatting>
  <conditionalFormatting sqref="CH11">
    <cfRule type="cellIs" dxfId="5007" priority="1042" operator="equal">
      <formula>"x"</formula>
    </cfRule>
  </conditionalFormatting>
  <conditionalFormatting sqref="CF11">
    <cfRule type="cellIs" dxfId="5006" priority="1041" operator="equal">
      <formula>"x"</formula>
    </cfRule>
  </conditionalFormatting>
  <conditionalFormatting sqref="CJ11">
    <cfRule type="cellIs" dxfId="5005" priority="1040" operator="equal">
      <formula>"x"</formula>
    </cfRule>
  </conditionalFormatting>
  <conditionalFormatting sqref="CF10">
    <cfRule type="cellIs" dxfId="5004" priority="1039" operator="equal">
      <formula>"x"</formula>
    </cfRule>
  </conditionalFormatting>
  <conditionalFormatting sqref="CJ37">
    <cfRule type="cellIs" dxfId="5003" priority="1006" operator="notEqual">
      <formula>"x"</formula>
    </cfRule>
  </conditionalFormatting>
  <conditionalFormatting sqref="CF17">
    <cfRule type="cellIs" dxfId="5002" priority="1038" operator="equal">
      <formula>"x"</formula>
    </cfRule>
  </conditionalFormatting>
  <conditionalFormatting sqref="CF24">
    <cfRule type="cellIs" dxfId="5001" priority="1037" operator="equal">
      <formula>"x"</formula>
    </cfRule>
  </conditionalFormatting>
  <conditionalFormatting sqref="CF31">
    <cfRule type="cellIs" dxfId="5000" priority="1036" operator="equal">
      <formula>"x"</formula>
    </cfRule>
  </conditionalFormatting>
  <conditionalFormatting sqref="CH9">
    <cfRule type="cellIs" dxfId="4999" priority="1035" operator="equal">
      <formula>"x"</formula>
    </cfRule>
  </conditionalFormatting>
  <conditionalFormatting sqref="CF9">
    <cfRule type="cellIs" dxfId="4998" priority="1034" operator="equal">
      <formula>"x"</formula>
    </cfRule>
  </conditionalFormatting>
  <conditionalFormatting sqref="CF9">
    <cfRule type="cellIs" dxfId="4997" priority="1033" operator="notEqual">
      <formula>"x"</formula>
    </cfRule>
  </conditionalFormatting>
  <conditionalFormatting sqref="CH9">
    <cfRule type="cellIs" dxfId="4996" priority="1032" operator="notEqual">
      <formula>"x"</formula>
    </cfRule>
  </conditionalFormatting>
  <conditionalFormatting sqref="CJ9">
    <cfRule type="cellIs" dxfId="4995" priority="1031" operator="equal">
      <formula>"x"</formula>
    </cfRule>
  </conditionalFormatting>
  <conditionalFormatting sqref="CJ9">
    <cfRule type="cellIs" dxfId="4994" priority="1030" operator="notEqual">
      <formula>"x"</formula>
    </cfRule>
  </conditionalFormatting>
  <conditionalFormatting sqref="CH8">
    <cfRule type="cellIs" dxfId="4993" priority="1029" operator="equal">
      <formula>"x"</formula>
    </cfRule>
  </conditionalFormatting>
  <conditionalFormatting sqref="CF8">
    <cfRule type="cellIs" dxfId="4992" priority="1028" operator="equal">
      <formula>"x"</formula>
    </cfRule>
  </conditionalFormatting>
  <conditionalFormatting sqref="CF8">
    <cfRule type="cellIs" dxfId="4991" priority="1027" operator="notEqual">
      <formula>"x"</formula>
    </cfRule>
  </conditionalFormatting>
  <conditionalFormatting sqref="CH8">
    <cfRule type="cellIs" dxfId="4990" priority="1026" operator="notEqual">
      <formula>"x"</formula>
    </cfRule>
  </conditionalFormatting>
  <conditionalFormatting sqref="CJ8">
    <cfRule type="cellIs" dxfId="4989" priority="1025" operator="equal">
      <formula>"x"</formula>
    </cfRule>
  </conditionalFormatting>
  <conditionalFormatting sqref="CJ8">
    <cfRule type="cellIs" dxfId="4988" priority="1024" operator="notEqual">
      <formula>"x"</formula>
    </cfRule>
  </conditionalFormatting>
  <conditionalFormatting sqref="CH16">
    <cfRule type="cellIs" dxfId="4987" priority="1023" operator="equal">
      <formula>"x"</formula>
    </cfRule>
  </conditionalFormatting>
  <conditionalFormatting sqref="CF16">
    <cfRule type="cellIs" dxfId="4986" priority="1022" operator="equal">
      <formula>"x"</formula>
    </cfRule>
  </conditionalFormatting>
  <conditionalFormatting sqref="CF16">
    <cfRule type="cellIs" dxfId="4985" priority="1021" operator="notEqual">
      <formula>"x"</formula>
    </cfRule>
  </conditionalFormatting>
  <conditionalFormatting sqref="CH16">
    <cfRule type="cellIs" dxfId="4984" priority="1020" operator="notEqual">
      <formula>"x"</formula>
    </cfRule>
  </conditionalFormatting>
  <conditionalFormatting sqref="CJ16">
    <cfRule type="cellIs" dxfId="4983" priority="1019" operator="equal">
      <formula>"x"</formula>
    </cfRule>
  </conditionalFormatting>
  <conditionalFormatting sqref="CJ16">
    <cfRule type="cellIs" dxfId="4982" priority="1018" operator="notEqual">
      <formula>"x"</formula>
    </cfRule>
  </conditionalFormatting>
  <conditionalFormatting sqref="CH22">
    <cfRule type="cellIs" dxfId="4981" priority="1017" operator="equal">
      <formula>"x"</formula>
    </cfRule>
  </conditionalFormatting>
  <conditionalFormatting sqref="CF22">
    <cfRule type="cellIs" dxfId="4980" priority="1016" operator="equal">
      <formula>"x"</formula>
    </cfRule>
  </conditionalFormatting>
  <conditionalFormatting sqref="CF22">
    <cfRule type="cellIs" dxfId="4979" priority="1015" operator="notEqual">
      <formula>"x"</formula>
    </cfRule>
  </conditionalFormatting>
  <conditionalFormatting sqref="CH22">
    <cfRule type="cellIs" dxfId="4978" priority="1014" operator="notEqual">
      <formula>"x"</formula>
    </cfRule>
  </conditionalFormatting>
  <conditionalFormatting sqref="CJ22">
    <cfRule type="cellIs" dxfId="4977" priority="1013" operator="equal">
      <formula>"x"</formula>
    </cfRule>
  </conditionalFormatting>
  <conditionalFormatting sqref="CH37">
    <cfRule type="cellIs" dxfId="4976" priority="1011" operator="equal">
      <formula>"x"</formula>
    </cfRule>
  </conditionalFormatting>
  <conditionalFormatting sqref="CF37">
    <cfRule type="cellIs" dxfId="4975" priority="1010" operator="equal">
      <formula>"x"</formula>
    </cfRule>
  </conditionalFormatting>
  <conditionalFormatting sqref="CH37">
    <cfRule type="cellIs" dxfId="4974" priority="1008" operator="notEqual">
      <formula>"x"</formula>
    </cfRule>
  </conditionalFormatting>
  <conditionalFormatting sqref="CJ37">
    <cfRule type="cellIs" dxfId="4973" priority="1007" operator="equal">
      <formula>"x"</formula>
    </cfRule>
  </conditionalFormatting>
  <conditionalFormatting sqref="CF38">
    <cfRule type="cellIs" dxfId="4972" priority="1005" operator="equal">
      <formula>"x"</formula>
    </cfRule>
  </conditionalFormatting>
  <conditionalFormatting sqref="CH39">
    <cfRule type="cellIs" dxfId="4971" priority="1004" operator="equal">
      <formula>"x"</formula>
    </cfRule>
  </conditionalFormatting>
  <conditionalFormatting sqref="CF39">
    <cfRule type="cellIs" dxfId="4970" priority="1003" operator="equal">
      <formula>"x"</formula>
    </cfRule>
  </conditionalFormatting>
  <conditionalFormatting sqref="CJ39">
    <cfRule type="cellIs" dxfId="4969" priority="1002" operator="equal">
      <formula>"x"</formula>
    </cfRule>
  </conditionalFormatting>
  <conditionalFormatting sqref="CH20">
    <cfRule type="cellIs" dxfId="4968" priority="1001" operator="equal">
      <formula>"x"</formula>
    </cfRule>
  </conditionalFormatting>
  <conditionalFormatting sqref="CF20">
    <cfRule type="cellIs" dxfId="4967" priority="1000" operator="equal">
      <formula>"x"</formula>
    </cfRule>
  </conditionalFormatting>
  <conditionalFormatting sqref="CJ20">
    <cfRule type="cellIs" dxfId="4966" priority="999" operator="equal">
      <formula>"x"</formula>
    </cfRule>
  </conditionalFormatting>
  <conditionalFormatting sqref="CH21">
    <cfRule type="cellIs" dxfId="4965" priority="998" operator="equal">
      <formula>"x"</formula>
    </cfRule>
  </conditionalFormatting>
  <conditionalFormatting sqref="CF21">
    <cfRule type="cellIs" dxfId="4964" priority="997" operator="equal">
      <formula>"x"</formula>
    </cfRule>
  </conditionalFormatting>
  <conditionalFormatting sqref="CJ21">
    <cfRule type="cellIs" dxfId="4963" priority="996" operator="equal">
      <formula>"x"</formula>
    </cfRule>
  </conditionalFormatting>
  <conditionalFormatting sqref="CH6:CH7">
    <cfRule type="cellIs" dxfId="4962" priority="995" operator="equal">
      <formula>"x"</formula>
    </cfRule>
  </conditionalFormatting>
  <conditionalFormatting sqref="CF6:CF7">
    <cfRule type="cellIs" dxfId="4961" priority="994" operator="equal">
      <formula>"x"</formula>
    </cfRule>
  </conditionalFormatting>
  <conditionalFormatting sqref="CJ6:CJ7">
    <cfRule type="cellIs" dxfId="4960" priority="993" operator="equal">
      <formula>"x"</formula>
    </cfRule>
  </conditionalFormatting>
  <conditionalFormatting sqref="CF5">
    <cfRule type="cellIs" dxfId="4959" priority="992" operator="equal">
      <formula>"x"</formula>
    </cfRule>
  </conditionalFormatting>
  <conditionalFormatting sqref="CH5">
    <cfRule type="cellIs" dxfId="4958" priority="991" operator="equal">
      <formula>"x"</formula>
    </cfRule>
  </conditionalFormatting>
  <conditionalFormatting sqref="CJ5">
    <cfRule type="cellIs" dxfId="4957" priority="990" operator="equal">
      <formula>"x"</formula>
    </cfRule>
  </conditionalFormatting>
  <conditionalFormatting sqref="CF4">
    <cfRule type="cellIs" dxfId="4956" priority="989" operator="equal">
      <formula>"x"</formula>
    </cfRule>
  </conditionalFormatting>
  <conditionalFormatting sqref="CH4">
    <cfRule type="cellIs" dxfId="4955" priority="988" operator="equal">
      <formula>"x"</formula>
    </cfRule>
  </conditionalFormatting>
  <conditionalFormatting sqref="CJ4">
    <cfRule type="cellIs" dxfId="4954" priority="987" operator="equal">
      <formula>"x"</formula>
    </cfRule>
  </conditionalFormatting>
  <conditionalFormatting sqref="CR22">
    <cfRule type="cellIs" dxfId="4953" priority="947" operator="notEqual">
      <formula>"x"</formula>
    </cfRule>
  </conditionalFormatting>
  <conditionalFormatting sqref="CN37">
    <cfRule type="cellIs" dxfId="4952" priority="944" operator="notEqual">
      <formula>"x"</formula>
    </cfRule>
  </conditionalFormatting>
  <conditionalFormatting sqref="CP32:CP36 CP25:CP30 CP18:CP19 CP12:CP15 CP23">
    <cfRule type="cellIs" dxfId="4951" priority="986" operator="equal">
      <formula>"x"</formula>
    </cfRule>
  </conditionalFormatting>
  <conditionalFormatting sqref="CN12:CN15 CN18:CN19 CN25:CN30 CN32:CN36 CN23">
    <cfRule type="cellIs" dxfId="4950" priority="985" operator="equal">
      <formula>"x"</formula>
    </cfRule>
  </conditionalFormatting>
  <conditionalFormatting sqref="CN15 CN23 CN29:CN30 CN36">
    <cfRule type="cellIs" dxfId="4949" priority="984" operator="notEqual">
      <formula>"x"</formula>
    </cfRule>
  </conditionalFormatting>
  <conditionalFormatting sqref="CP15 CP23 CP29:CP30 CP36">
    <cfRule type="cellIs" dxfId="4948" priority="983" operator="notEqual">
      <formula>"x"</formula>
    </cfRule>
  </conditionalFormatting>
  <conditionalFormatting sqref="CR32:CR36 CR25:CR30 CR18:CR19 CR12:CR15 CR23">
    <cfRule type="cellIs" dxfId="4947" priority="982" operator="equal">
      <formula>"x"</formula>
    </cfRule>
  </conditionalFormatting>
  <conditionalFormatting sqref="CR15 CR23 CR29:CR30 CR36">
    <cfRule type="cellIs" dxfId="4946" priority="981" operator="notEqual">
      <formula>"x"</formula>
    </cfRule>
  </conditionalFormatting>
  <conditionalFormatting sqref="CP11">
    <cfRule type="cellIs" dxfId="4945" priority="980" operator="equal">
      <formula>"x"</formula>
    </cfRule>
  </conditionalFormatting>
  <conditionalFormatting sqref="CN11">
    <cfRule type="cellIs" dxfId="4944" priority="979" operator="equal">
      <formula>"x"</formula>
    </cfRule>
  </conditionalFormatting>
  <conditionalFormatting sqref="CR11">
    <cfRule type="cellIs" dxfId="4943" priority="978" operator="equal">
      <formula>"x"</formula>
    </cfRule>
  </conditionalFormatting>
  <conditionalFormatting sqref="CN10">
    <cfRule type="cellIs" dxfId="4942" priority="977" operator="equal">
      <formula>"x"</formula>
    </cfRule>
  </conditionalFormatting>
  <conditionalFormatting sqref="CR37">
    <cfRule type="cellIs" dxfId="4941" priority="941" operator="notEqual">
      <formula>"x"</formula>
    </cfRule>
  </conditionalFormatting>
  <conditionalFormatting sqref="CN17">
    <cfRule type="cellIs" dxfId="4940" priority="976" operator="equal">
      <formula>"x"</formula>
    </cfRule>
  </conditionalFormatting>
  <conditionalFormatting sqref="CO24">
    <cfRule type="cellIs" dxfId="4939" priority="975" operator="equal">
      <formula>"x"</formula>
    </cfRule>
  </conditionalFormatting>
  <conditionalFormatting sqref="CN24">
    <cfRule type="cellIs" dxfId="4938" priority="974" operator="equal">
      <formula>"x"</formula>
    </cfRule>
  </conditionalFormatting>
  <conditionalFormatting sqref="CP31">
    <cfRule type="cellIs" dxfId="4937" priority="973" operator="equal">
      <formula>"x"</formula>
    </cfRule>
  </conditionalFormatting>
  <conditionalFormatting sqref="CN31">
    <cfRule type="cellIs" dxfId="4936" priority="972" operator="equal">
      <formula>"x"</formula>
    </cfRule>
  </conditionalFormatting>
  <conditionalFormatting sqref="CR31">
    <cfRule type="cellIs" dxfId="4935" priority="971" operator="equal">
      <formula>"x"</formula>
    </cfRule>
  </conditionalFormatting>
  <conditionalFormatting sqref="CP9">
    <cfRule type="cellIs" dxfId="4934" priority="970" operator="equal">
      <formula>"x"</formula>
    </cfRule>
  </conditionalFormatting>
  <conditionalFormatting sqref="CN9">
    <cfRule type="cellIs" dxfId="4933" priority="969" operator="equal">
      <formula>"x"</formula>
    </cfRule>
  </conditionalFormatting>
  <conditionalFormatting sqref="CN9">
    <cfRule type="cellIs" dxfId="4932" priority="968" operator="notEqual">
      <formula>"x"</formula>
    </cfRule>
  </conditionalFormatting>
  <conditionalFormatting sqref="CP9">
    <cfRule type="cellIs" dxfId="4931" priority="967" operator="notEqual">
      <formula>"x"</formula>
    </cfRule>
  </conditionalFormatting>
  <conditionalFormatting sqref="CR9">
    <cfRule type="cellIs" dxfId="4930" priority="966" operator="equal">
      <formula>"x"</formula>
    </cfRule>
  </conditionalFormatting>
  <conditionalFormatting sqref="CR9">
    <cfRule type="cellIs" dxfId="4929" priority="965" operator="notEqual">
      <formula>"x"</formula>
    </cfRule>
  </conditionalFormatting>
  <conditionalFormatting sqref="CP8">
    <cfRule type="cellIs" dxfId="4928" priority="964" operator="equal">
      <formula>"x"</formula>
    </cfRule>
  </conditionalFormatting>
  <conditionalFormatting sqref="CN8">
    <cfRule type="cellIs" dxfId="4927" priority="963" operator="equal">
      <formula>"x"</formula>
    </cfRule>
  </conditionalFormatting>
  <conditionalFormatting sqref="CN8">
    <cfRule type="cellIs" dxfId="4926" priority="962" operator="notEqual">
      <formula>"x"</formula>
    </cfRule>
  </conditionalFormatting>
  <conditionalFormatting sqref="CP8">
    <cfRule type="cellIs" dxfId="4925" priority="961" operator="notEqual">
      <formula>"x"</formula>
    </cfRule>
  </conditionalFormatting>
  <conditionalFormatting sqref="CR8">
    <cfRule type="cellIs" dxfId="4924" priority="960" operator="equal">
      <formula>"x"</formula>
    </cfRule>
  </conditionalFormatting>
  <conditionalFormatting sqref="CR8">
    <cfRule type="cellIs" dxfId="4923" priority="959" operator="notEqual">
      <formula>"x"</formula>
    </cfRule>
  </conditionalFormatting>
  <conditionalFormatting sqref="CP16">
    <cfRule type="cellIs" dxfId="4922" priority="958" operator="equal">
      <formula>"x"</formula>
    </cfRule>
  </conditionalFormatting>
  <conditionalFormatting sqref="CN16">
    <cfRule type="cellIs" dxfId="4921" priority="957" operator="equal">
      <formula>"x"</formula>
    </cfRule>
  </conditionalFormatting>
  <conditionalFormatting sqref="CN16">
    <cfRule type="cellIs" dxfId="4920" priority="956" operator="notEqual">
      <formula>"x"</formula>
    </cfRule>
  </conditionalFormatting>
  <conditionalFormatting sqref="CP16">
    <cfRule type="cellIs" dxfId="4919" priority="955" operator="notEqual">
      <formula>"x"</formula>
    </cfRule>
  </conditionalFormatting>
  <conditionalFormatting sqref="CR16">
    <cfRule type="cellIs" dxfId="4918" priority="954" operator="equal">
      <formula>"x"</formula>
    </cfRule>
  </conditionalFormatting>
  <conditionalFormatting sqref="CR16">
    <cfRule type="cellIs" dxfId="4917" priority="953" operator="notEqual">
      <formula>"x"</formula>
    </cfRule>
  </conditionalFormatting>
  <conditionalFormatting sqref="CP22">
    <cfRule type="cellIs" dxfId="4916" priority="952" operator="equal">
      <formula>"x"</formula>
    </cfRule>
  </conditionalFormatting>
  <conditionalFormatting sqref="CN22">
    <cfRule type="cellIs" dxfId="4915" priority="951" operator="equal">
      <formula>"x"</formula>
    </cfRule>
  </conditionalFormatting>
  <conditionalFormatting sqref="CN22">
    <cfRule type="cellIs" dxfId="4914" priority="950" operator="notEqual">
      <formula>"x"</formula>
    </cfRule>
  </conditionalFormatting>
  <conditionalFormatting sqref="CP22">
    <cfRule type="cellIs" dxfId="4913" priority="949" operator="notEqual">
      <formula>"x"</formula>
    </cfRule>
  </conditionalFormatting>
  <conditionalFormatting sqref="CR22">
    <cfRule type="cellIs" dxfId="4912" priority="948" operator="equal">
      <formula>"x"</formula>
    </cfRule>
  </conditionalFormatting>
  <conditionalFormatting sqref="CP37">
    <cfRule type="cellIs" dxfId="4911" priority="946" operator="equal">
      <formula>"x"</formula>
    </cfRule>
  </conditionalFormatting>
  <conditionalFormatting sqref="CN37">
    <cfRule type="cellIs" dxfId="4910" priority="945" operator="equal">
      <formula>"x"</formula>
    </cfRule>
  </conditionalFormatting>
  <conditionalFormatting sqref="CP37">
    <cfRule type="cellIs" dxfId="4909" priority="943" operator="notEqual">
      <formula>"x"</formula>
    </cfRule>
  </conditionalFormatting>
  <conditionalFormatting sqref="CR37">
    <cfRule type="cellIs" dxfId="4908" priority="942" operator="equal">
      <formula>"x"</formula>
    </cfRule>
  </conditionalFormatting>
  <conditionalFormatting sqref="CP38">
    <cfRule type="cellIs" dxfId="4907" priority="940" operator="equal">
      <formula>"x"</formula>
    </cfRule>
  </conditionalFormatting>
  <conditionalFormatting sqref="CN38">
    <cfRule type="cellIs" dxfId="4906" priority="939" operator="equal">
      <formula>"x"</formula>
    </cfRule>
  </conditionalFormatting>
  <conditionalFormatting sqref="CR38">
    <cfRule type="cellIs" dxfId="4905" priority="938" operator="equal">
      <formula>"x"</formula>
    </cfRule>
  </conditionalFormatting>
  <conditionalFormatting sqref="CP39">
    <cfRule type="cellIs" dxfId="4904" priority="937" operator="equal">
      <formula>"x"</formula>
    </cfRule>
  </conditionalFormatting>
  <conditionalFormatting sqref="CN39">
    <cfRule type="cellIs" dxfId="4903" priority="936" operator="equal">
      <formula>"x"</formula>
    </cfRule>
  </conditionalFormatting>
  <conditionalFormatting sqref="CR39">
    <cfRule type="cellIs" dxfId="4902" priority="935" operator="equal">
      <formula>"x"</formula>
    </cfRule>
  </conditionalFormatting>
  <conditionalFormatting sqref="CP20">
    <cfRule type="cellIs" dxfId="4901" priority="934" operator="equal">
      <formula>"x"</formula>
    </cfRule>
  </conditionalFormatting>
  <conditionalFormatting sqref="CN20">
    <cfRule type="cellIs" dxfId="4900" priority="933" operator="equal">
      <formula>"x"</formula>
    </cfRule>
  </conditionalFormatting>
  <conditionalFormatting sqref="CR20">
    <cfRule type="cellIs" dxfId="4899" priority="932" operator="equal">
      <formula>"x"</formula>
    </cfRule>
  </conditionalFormatting>
  <conditionalFormatting sqref="CP21">
    <cfRule type="cellIs" dxfId="4898" priority="931" operator="equal">
      <formula>"x"</formula>
    </cfRule>
  </conditionalFormatting>
  <conditionalFormatting sqref="CN21">
    <cfRule type="cellIs" dxfId="4897" priority="930" operator="equal">
      <formula>"x"</formula>
    </cfRule>
  </conditionalFormatting>
  <conditionalFormatting sqref="CR21">
    <cfRule type="cellIs" dxfId="4896" priority="929" operator="equal">
      <formula>"x"</formula>
    </cfRule>
  </conditionalFormatting>
  <conditionalFormatting sqref="CP6:CP7">
    <cfRule type="cellIs" dxfId="4895" priority="928" operator="equal">
      <formula>"x"</formula>
    </cfRule>
  </conditionalFormatting>
  <conditionalFormatting sqref="CN6:CN7">
    <cfRule type="cellIs" dxfId="4894" priority="927" operator="equal">
      <formula>"x"</formula>
    </cfRule>
  </conditionalFormatting>
  <conditionalFormatting sqref="CR6:CR7">
    <cfRule type="cellIs" dxfId="4893" priority="926" operator="equal">
      <formula>"x"</formula>
    </cfRule>
  </conditionalFormatting>
  <conditionalFormatting sqref="CN5">
    <cfRule type="cellIs" dxfId="4892" priority="925" operator="equal">
      <formula>"x"</formula>
    </cfRule>
  </conditionalFormatting>
  <conditionalFormatting sqref="CP5">
    <cfRule type="cellIs" dxfId="4891" priority="924" operator="equal">
      <formula>"x"</formula>
    </cfRule>
  </conditionalFormatting>
  <conditionalFormatting sqref="CR5">
    <cfRule type="cellIs" dxfId="4890" priority="923" operator="equal">
      <formula>"x"</formula>
    </cfRule>
  </conditionalFormatting>
  <conditionalFormatting sqref="CN4">
    <cfRule type="cellIs" dxfId="4889" priority="921" operator="equal">
      <formula>"x"</formula>
    </cfRule>
  </conditionalFormatting>
  <conditionalFormatting sqref="D31">
    <cfRule type="cellIs" dxfId="4888" priority="922" operator="equal">
      <formula>"x"</formula>
    </cfRule>
  </conditionalFormatting>
  <conditionalFormatting sqref="CP4">
    <cfRule type="cellIs" dxfId="4887" priority="920" operator="equal">
      <formula>"x"</formula>
    </cfRule>
  </conditionalFormatting>
  <conditionalFormatting sqref="CR4">
    <cfRule type="cellIs" dxfId="4886" priority="919" operator="equal">
      <formula>"x"</formula>
    </cfRule>
  </conditionalFormatting>
  <conditionalFormatting sqref="N14">
    <cfRule type="cellIs" dxfId="4885" priority="918" operator="notEqual">
      <formula>"x"</formula>
    </cfRule>
  </conditionalFormatting>
  <conditionalFormatting sqref="N13">
    <cfRule type="cellIs" dxfId="4884" priority="917" operator="notEqual">
      <formula>"x"</formula>
    </cfRule>
  </conditionalFormatting>
  <conditionalFormatting sqref="N12">
    <cfRule type="cellIs" dxfId="4883" priority="916" operator="notEqual">
      <formula>"x"</formula>
    </cfRule>
  </conditionalFormatting>
  <conditionalFormatting sqref="N11">
    <cfRule type="cellIs" dxfId="4882" priority="915" operator="equal">
      <formula>"x"</formula>
    </cfRule>
  </conditionalFormatting>
  <conditionalFormatting sqref="N11">
    <cfRule type="cellIs" dxfId="4881" priority="914" operator="notEqual">
      <formula>"x"</formula>
    </cfRule>
  </conditionalFormatting>
  <conditionalFormatting sqref="F32">
    <cfRule type="cellIs" dxfId="4880" priority="913" operator="equal">
      <formula>"x"</formula>
    </cfRule>
  </conditionalFormatting>
  <conditionalFormatting sqref="F33">
    <cfRule type="cellIs" dxfId="4879" priority="912" operator="equal">
      <formula>"x"</formula>
    </cfRule>
  </conditionalFormatting>
  <conditionalFormatting sqref="F34">
    <cfRule type="cellIs" dxfId="4878" priority="911" operator="equal">
      <formula>"x"</formula>
    </cfRule>
  </conditionalFormatting>
  <conditionalFormatting sqref="F35">
    <cfRule type="cellIs" dxfId="4877" priority="910" operator="equal">
      <formula>"x"</formula>
    </cfRule>
  </conditionalFormatting>
  <conditionalFormatting sqref="L10">
    <cfRule type="cellIs" dxfId="4876" priority="909" operator="equal">
      <formula>"x"</formula>
    </cfRule>
  </conditionalFormatting>
  <conditionalFormatting sqref="P10">
    <cfRule type="cellIs" dxfId="4875" priority="908" operator="equal">
      <formula>"x"</formula>
    </cfRule>
  </conditionalFormatting>
  <conditionalFormatting sqref="N10">
    <cfRule type="cellIs" dxfId="4874" priority="907" operator="equal">
      <formula>"x"</formula>
    </cfRule>
  </conditionalFormatting>
  <conditionalFormatting sqref="N10">
    <cfRule type="cellIs" dxfId="4873" priority="906" operator="notEqual">
      <formula>"x"</formula>
    </cfRule>
  </conditionalFormatting>
  <conditionalFormatting sqref="C6">
    <cfRule type="expression" dxfId="4872" priority="904">
      <formula>OR($A6="Sa",$A6="So")</formula>
    </cfRule>
    <cfRule type="expression" dxfId="4871" priority="905">
      <formula>AND(B6&gt;0,INDIRECT("Basistabelle!G" &amp; ($A$1+C$1+B6))&lt;="",INDIRECT("Basistabelle!H" &amp; ($A$1+C$1+B6))&gt;"")</formula>
    </cfRule>
  </conditionalFormatting>
  <conditionalFormatting sqref="C7">
    <cfRule type="expression" dxfId="4870" priority="902">
      <formula>OR($A7="Sa",$A7="So")</formula>
    </cfRule>
    <cfRule type="expression" dxfId="4869" priority="903">
      <formula>AND(B7&gt;0,INDIRECT("Basistabelle!G" &amp; ($A$1+C$1+B7))&lt;="",INDIRECT("Basistabelle!H" &amp; ($A$1+C$1+B7))&gt;"")</formula>
    </cfRule>
  </conditionalFormatting>
  <conditionalFormatting sqref="C8">
    <cfRule type="expression" dxfId="4868" priority="900">
      <formula>OR($A8="Sa",$A8="So")</formula>
    </cfRule>
    <cfRule type="expression" dxfId="4867" priority="901">
      <formula>AND(B8&gt;0,INDIRECT("Basistabelle!G" &amp; ($A$1+C$1+B8))&lt;="",INDIRECT("Basistabelle!H" &amp; ($A$1+C$1+B8))&gt;"")</formula>
    </cfRule>
  </conditionalFormatting>
  <conditionalFormatting sqref="C9">
    <cfRule type="expression" dxfId="4866" priority="898">
      <formula>OR($A9="Sa",$A9="So")</formula>
    </cfRule>
    <cfRule type="expression" dxfId="4865" priority="899">
      <formula>AND(B9&gt;0,INDIRECT("Basistabelle!G" &amp; ($A$1+C$1+B9))&lt;="",INDIRECT("Basistabelle!H" &amp; ($A$1+C$1+B9))&gt;"")</formula>
    </cfRule>
  </conditionalFormatting>
  <conditionalFormatting sqref="C10">
    <cfRule type="expression" dxfId="4864" priority="896">
      <formula>OR($A10="Sa",$A10="So")</formula>
    </cfRule>
    <cfRule type="expression" dxfId="4863" priority="897">
      <formula>AND(B10&gt;0,INDIRECT("Basistabelle!G" &amp; ($A$1+C$1+B10))&lt;="",INDIRECT("Basistabelle!H" &amp; ($A$1+C$1+B10))&gt;"")</formula>
    </cfRule>
  </conditionalFormatting>
  <conditionalFormatting sqref="C11">
    <cfRule type="expression" dxfId="4862" priority="894">
      <formula>OR($A11="Sa",$A11="So")</formula>
    </cfRule>
    <cfRule type="expression" dxfId="4861" priority="895">
      <formula>AND(B11&gt;0,INDIRECT("Basistabelle!G" &amp; ($A$1+C$1+B11))&lt;="",INDIRECT("Basistabelle!H" &amp; ($A$1+C$1+B11))&gt;"")</formula>
    </cfRule>
  </conditionalFormatting>
  <conditionalFormatting sqref="C12">
    <cfRule type="expression" dxfId="4860" priority="892">
      <formula>OR($A12="Sa",$A12="So")</formula>
    </cfRule>
    <cfRule type="expression" dxfId="4859" priority="893">
      <formula>AND(B12&gt;0,INDIRECT("Basistabelle!G" &amp; ($A$1+C$1+B12))&lt;="",INDIRECT("Basistabelle!H" &amp; ($A$1+C$1+B12))&gt;"")</formula>
    </cfRule>
  </conditionalFormatting>
  <conditionalFormatting sqref="C13">
    <cfRule type="expression" dxfId="4858" priority="890">
      <formula>OR($A13="Sa",$A13="So")</formula>
    </cfRule>
    <cfRule type="expression" dxfId="4857" priority="891">
      <formula>AND(B13&gt;0,INDIRECT("Basistabelle!G" &amp; ($A$1+C$1+B13))&lt;="",INDIRECT("Basistabelle!H" &amp; ($A$1+C$1+B13))&gt;"")</formula>
    </cfRule>
  </conditionalFormatting>
  <conditionalFormatting sqref="C14">
    <cfRule type="expression" dxfId="4856" priority="888">
      <formula>OR($A14="Sa",$A14="So")</formula>
    </cfRule>
    <cfRule type="expression" dxfId="4855" priority="889">
      <formula>AND(B14&gt;0,INDIRECT("Basistabelle!G" &amp; ($A$1+C$1+B14))&lt;="",INDIRECT("Basistabelle!H" &amp; ($A$1+C$1+B14))&gt;"")</formula>
    </cfRule>
  </conditionalFormatting>
  <conditionalFormatting sqref="C15">
    <cfRule type="expression" dxfId="4854" priority="886">
      <formula>OR($A15="Sa",$A15="So")</formula>
    </cfRule>
    <cfRule type="expression" dxfId="4853" priority="887">
      <formula>AND(B15&gt;0,INDIRECT("Basistabelle!G" &amp; ($A$1+C$1+B15))&lt;="",INDIRECT("Basistabelle!H" &amp; ($A$1+C$1+B15))&gt;"")</formula>
    </cfRule>
  </conditionalFormatting>
  <conditionalFormatting sqref="C16">
    <cfRule type="expression" dxfId="4852" priority="884">
      <formula>OR($A16="Sa",$A16="So")</formula>
    </cfRule>
    <cfRule type="expression" dxfId="4851" priority="885">
      <formula>AND(B16&gt;0,INDIRECT("Basistabelle!G" &amp; ($A$1+C$1+B16))&lt;="",INDIRECT("Basistabelle!H" &amp; ($A$1+C$1+B16))&gt;"")</formula>
    </cfRule>
  </conditionalFormatting>
  <conditionalFormatting sqref="C17">
    <cfRule type="expression" dxfId="4850" priority="882">
      <formula>OR($A17="Sa",$A17="So")</formula>
    </cfRule>
    <cfRule type="expression" dxfId="4849" priority="883">
      <formula>AND(B17&gt;0,INDIRECT("Basistabelle!G" &amp; ($A$1+C$1+B17))&lt;="",INDIRECT("Basistabelle!H" &amp; ($A$1+C$1+B17))&gt;"")</formula>
    </cfRule>
  </conditionalFormatting>
  <conditionalFormatting sqref="C18">
    <cfRule type="expression" dxfId="4848" priority="880">
      <formula>OR($A18="Sa",$A18="So")</formula>
    </cfRule>
    <cfRule type="expression" dxfId="4847" priority="881">
      <formula>AND(B18&gt;0,INDIRECT("Basistabelle!G" &amp; ($A$1+C$1+B18))&lt;="",INDIRECT("Basistabelle!H" &amp; ($A$1+C$1+B18))&gt;"")</formula>
    </cfRule>
  </conditionalFormatting>
  <conditionalFormatting sqref="C19">
    <cfRule type="expression" dxfId="4846" priority="878">
      <formula>OR($A19="Sa",$A19="So")</formula>
    </cfRule>
    <cfRule type="expression" dxfId="4845" priority="879">
      <formula>AND(B19&gt;0,INDIRECT("Basistabelle!G" &amp; ($A$1+C$1+B19))&lt;="",INDIRECT("Basistabelle!H" &amp; ($A$1+C$1+B19))&gt;"")</formula>
    </cfRule>
  </conditionalFormatting>
  <conditionalFormatting sqref="C20">
    <cfRule type="expression" dxfId="4844" priority="876">
      <formula>OR($A20="Sa",$A20="So")</formula>
    </cfRule>
    <cfRule type="expression" dxfId="4843" priority="877">
      <formula>AND(B20&gt;0,INDIRECT("Basistabelle!G" &amp; ($A$1+C$1+B20))&lt;="",INDIRECT("Basistabelle!H" &amp; ($A$1+C$1+B20))&gt;"")</formula>
    </cfRule>
  </conditionalFormatting>
  <conditionalFormatting sqref="C21">
    <cfRule type="expression" dxfId="4842" priority="874">
      <formula>OR($A21="Sa",$A21="So")</formula>
    </cfRule>
    <cfRule type="expression" dxfId="4841" priority="875">
      <formula>AND(B21&gt;0,INDIRECT("Basistabelle!G" &amp; ($A$1+C$1+B21))&lt;="",INDIRECT("Basistabelle!H" &amp; ($A$1+C$1+B21))&gt;"")</formula>
    </cfRule>
  </conditionalFormatting>
  <conditionalFormatting sqref="C22">
    <cfRule type="expression" dxfId="4840" priority="872">
      <formula>OR($A22="Sa",$A22="So")</formula>
    </cfRule>
    <cfRule type="expression" dxfId="4839" priority="873">
      <formula>AND(B22&gt;0,INDIRECT("Basistabelle!G" &amp; ($A$1+C$1+B22))&lt;="",INDIRECT("Basistabelle!H" &amp; ($A$1+C$1+B22))&gt;"")</formula>
    </cfRule>
  </conditionalFormatting>
  <conditionalFormatting sqref="C23">
    <cfRule type="expression" dxfId="4838" priority="870">
      <formula>OR($A23="Sa",$A23="So")</formula>
    </cfRule>
    <cfRule type="expression" dxfId="4837" priority="871">
      <formula>AND(B23&gt;0,INDIRECT("Basistabelle!G" &amp; ($A$1+C$1+B23))&lt;="",INDIRECT("Basistabelle!H" &amp; ($A$1+C$1+B23))&gt;"")</formula>
    </cfRule>
  </conditionalFormatting>
  <conditionalFormatting sqref="C24">
    <cfRule type="expression" dxfId="4836" priority="868">
      <formula>OR($A24="Sa",$A24="So")</formula>
    </cfRule>
    <cfRule type="expression" dxfId="4835" priority="869">
      <formula>AND(B24&gt;0,INDIRECT("Basistabelle!G" &amp; ($A$1+C$1+B24))&lt;="",INDIRECT("Basistabelle!H" &amp; ($A$1+C$1+B24))&gt;"")</formula>
    </cfRule>
  </conditionalFormatting>
  <conditionalFormatting sqref="C25">
    <cfRule type="expression" dxfId="4834" priority="866">
      <formula>OR($A25="Sa",$A25="So")</formula>
    </cfRule>
    <cfRule type="expression" dxfId="4833" priority="867">
      <formula>AND(B25&gt;0,INDIRECT("Basistabelle!G" &amp; ($A$1+C$1+B25))&lt;="",INDIRECT("Basistabelle!H" &amp; ($A$1+C$1+B25))&gt;"")</formula>
    </cfRule>
  </conditionalFormatting>
  <conditionalFormatting sqref="C26">
    <cfRule type="expression" dxfId="4832" priority="864">
      <formula>OR($A26="Sa",$A26="So")</formula>
    </cfRule>
    <cfRule type="expression" dxfId="4831" priority="865">
      <formula>AND(B26&gt;0,INDIRECT("Basistabelle!G" &amp; ($A$1+C$1+B26))&lt;="",INDIRECT("Basistabelle!H" &amp; ($A$1+C$1+B26))&gt;"")</formula>
    </cfRule>
  </conditionalFormatting>
  <conditionalFormatting sqref="C28">
    <cfRule type="expression" dxfId="4830" priority="862">
      <formula>OR($A28="Sa",$A28="So")</formula>
    </cfRule>
    <cfRule type="expression" dxfId="4829" priority="863">
      <formula>AND(B28&gt;0,INDIRECT("Basistabelle!G" &amp; ($A$1+C$1+B28))&lt;="",INDIRECT("Basistabelle!H" &amp; ($A$1+C$1+B28))&gt;"")</formula>
    </cfRule>
  </conditionalFormatting>
  <conditionalFormatting sqref="C29">
    <cfRule type="expression" dxfId="4828" priority="860">
      <formula>OR($A29="Sa",$A29="So")</formula>
    </cfRule>
    <cfRule type="expression" dxfId="4827" priority="861">
      <formula>AND(B29&gt;0,INDIRECT("Basistabelle!G" &amp; ($A$1+C$1+B29))&lt;="",INDIRECT("Basistabelle!H" &amp; ($A$1+C$1+B29))&gt;"")</formula>
    </cfRule>
  </conditionalFormatting>
  <conditionalFormatting sqref="C30">
    <cfRule type="expression" dxfId="4826" priority="858">
      <formula>OR($A30="Sa",$A30="So")</formula>
    </cfRule>
    <cfRule type="expression" dxfId="4825" priority="859">
      <formula>AND(B30&gt;0,INDIRECT("Basistabelle!G" &amp; ($A$1+C$1+B30))&lt;="",INDIRECT("Basistabelle!H" &amp; ($A$1+C$1+B30))&gt;"")</formula>
    </cfRule>
  </conditionalFormatting>
  <conditionalFormatting sqref="C31">
    <cfRule type="expression" dxfId="4824" priority="856">
      <formula>OR($A31="Sa",$A31="So")</formula>
    </cfRule>
    <cfRule type="expression" dxfId="4823" priority="857">
      <formula>AND(B31&gt;0,INDIRECT("Basistabelle!G" &amp; ($A$1+C$1+B31))&lt;="",INDIRECT("Basistabelle!H" &amp; ($A$1+C$1+B31))&gt;"")</formula>
    </cfRule>
  </conditionalFormatting>
  <conditionalFormatting sqref="C32">
    <cfRule type="expression" dxfId="4822" priority="854">
      <formula>OR($A32="Sa",$A32="So")</formula>
    </cfRule>
    <cfRule type="expression" dxfId="4821" priority="855">
      <formula>AND(B32&gt;0,INDIRECT("Basistabelle!G" &amp; ($A$1+C$1+B32))&lt;="",INDIRECT("Basistabelle!H" &amp; ($A$1+C$1+B32))&gt;"")</formula>
    </cfRule>
  </conditionalFormatting>
  <conditionalFormatting sqref="C33">
    <cfRule type="expression" dxfId="4820" priority="852">
      <formula>OR($A33="Sa",$A33="So")</formula>
    </cfRule>
    <cfRule type="expression" dxfId="4819" priority="853">
      <formula>AND(B33&gt;0,INDIRECT("Basistabelle!G" &amp; ($A$1+C$1+B33))&lt;="",INDIRECT("Basistabelle!H" &amp; ($A$1+C$1+B33))&gt;"")</formula>
    </cfRule>
  </conditionalFormatting>
  <conditionalFormatting sqref="C34">
    <cfRule type="expression" dxfId="4818" priority="850">
      <formula>OR($A34="Sa",$A34="So")</formula>
    </cfRule>
    <cfRule type="expression" dxfId="4817" priority="851">
      <formula>AND(B34&gt;0,INDIRECT("Basistabelle!G" &amp; ($A$1+C$1+B34))&lt;="",INDIRECT("Basistabelle!H" &amp; ($A$1+C$1+B34))&gt;"")</formula>
    </cfRule>
  </conditionalFormatting>
  <conditionalFormatting sqref="C35">
    <cfRule type="expression" dxfId="4816" priority="848">
      <formula>OR($A35="Sa",$A35="So")</formula>
    </cfRule>
    <cfRule type="expression" dxfId="4815" priority="849">
      <formula>AND(B35&gt;0,INDIRECT("Basistabelle!G" &amp; ($A$1+C$1+B35))&lt;="",INDIRECT("Basistabelle!H" &amp; ($A$1+C$1+B35))&gt;"")</formula>
    </cfRule>
  </conditionalFormatting>
  <conditionalFormatting sqref="C38">
    <cfRule type="expression" dxfId="4814" priority="844">
      <formula>OR($A38="Sa",$A38="So")</formula>
    </cfRule>
    <cfRule type="expression" dxfId="4813" priority="845">
      <formula>AND(B38&gt;0,INDIRECT("Basistabelle!G" &amp; ($A$1+C$1+B38))&lt;="",INDIRECT("Basistabelle!H" &amp; ($A$1+C$1+B38))&gt;"")</formula>
    </cfRule>
  </conditionalFormatting>
  <conditionalFormatting sqref="C37">
    <cfRule type="expression" dxfId="4812" priority="846">
      <formula>OR($A37="Sa",$A37="So")</formula>
    </cfRule>
    <cfRule type="expression" dxfId="4811" priority="847">
      <formula>AND(B37&gt;0,INDIRECT("Basistabelle!G" &amp; ($A$1+C$1+B37))&lt;="",INDIRECT("Basistabelle!H" &amp; ($A$1+C$1+B37))&gt;"")</formula>
    </cfRule>
  </conditionalFormatting>
  <conditionalFormatting sqref="C39">
    <cfRule type="expression" dxfId="4810" priority="842">
      <formula>OR($A39="Sa",$A39="So")</formula>
    </cfRule>
    <cfRule type="expression" dxfId="4809" priority="843">
      <formula>AND(B39&gt;0,INDIRECT("Basistabelle!G" &amp; ($A$1+C$1+B39))&lt;="",INDIRECT("Basistabelle!H" &amp; ($A$1+C$1+B39))&gt;"")</formula>
    </cfRule>
  </conditionalFormatting>
  <conditionalFormatting sqref="C40">
    <cfRule type="expression" dxfId="4808" priority="840">
      <formula>OR($A40="Sa",$A40="So")</formula>
    </cfRule>
    <cfRule type="expression" dxfId="4807" priority="841">
      <formula>AND(B40&gt;0,INDIRECT("Basistabelle!G" &amp; ($A$1+C$1+B40))&lt;="",INDIRECT("Basistabelle!H" &amp; ($A$1+C$1+B40))&gt;"")</formula>
    </cfRule>
  </conditionalFormatting>
  <conditionalFormatting sqref="C41">
    <cfRule type="expression" dxfId="4806" priority="838">
      <formula>OR($A41="Sa",$A41="So")</formula>
    </cfRule>
    <cfRule type="expression" dxfId="4805" priority="839">
      <formula>AND(B41&gt;0,INDIRECT("Basistabelle!G" &amp; ($A$1+C$1+B41))&lt;="",INDIRECT("Basistabelle!H" &amp; ($A$1+C$1+B41))&gt;"")</formula>
    </cfRule>
  </conditionalFormatting>
  <conditionalFormatting sqref="C5">
    <cfRule type="expression" dxfId="4804" priority="836">
      <formula>OR($A5="Sa",$A5="So")</formula>
    </cfRule>
    <cfRule type="expression" dxfId="4803" priority="837">
      <formula>AND(B5&gt;0,INDIRECT("Basistabelle!G" &amp; ($A$1+C$1+B5))&lt;="",INDIRECT("Basistabelle!H" &amp; ($A$1+C$1+B5))&gt;"")</formula>
    </cfRule>
  </conditionalFormatting>
  <conditionalFormatting sqref="C4">
    <cfRule type="expression" dxfId="4802" priority="834">
      <formula>OR($A4="Sa",$A4="So")</formula>
    </cfRule>
    <cfRule type="expression" dxfId="4801" priority="835">
      <formula>AND(B4&gt;0,INDIRECT("Basistabelle!G" &amp; ($A$1+C$1+B4))&lt;="",INDIRECT("Basistabelle!H" &amp; ($A$1+C$1+B4))&gt;"")</formula>
    </cfRule>
  </conditionalFormatting>
  <conditionalFormatting sqref="C3">
    <cfRule type="expression" dxfId="4800" priority="832">
      <formula>OR($A3="Sa",$A3="So")</formula>
    </cfRule>
    <cfRule type="expression" dxfId="4799" priority="833">
      <formula>AND(B3&gt;0,INDIRECT("Basistabelle!G" &amp; ($A$1+C$1+B3))&lt;="",INDIRECT("Basistabelle!H" &amp; ($A$1+C$1+B3))&gt;"")</formula>
    </cfRule>
  </conditionalFormatting>
  <conditionalFormatting sqref="BO3">
    <cfRule type="expression" dxfId="4798" priority="830">
      <formula>OR($A3="Sa",$A3="So")</formula>
    </cfRule>
    <cfRule type="expression" dxfId="4797" priority="831">
      <formula>AND(BN3&gt;0,INDIRECT("Basistabelle!G" &amp; ($A$1+BO$1+BN3))&lt;="",INDIRECT("Basistabelle!H" &amp; ($A$1+BO$1+BN3))&gt;"")</formula>
    </cfRule>
  </conditionalFormatting>
  <conditionalFormatting sqref="BO4">
    <cfRule type="expression" dxfId="4796" priority="828">
      <formula>OR($A4="Sa",$A4="So")</formula>
    </cfRule>
    <cfRule type="expression" dxfId="4795" priority="829">
      <formula>AND(BN4&gt;0,INDIRECT("Basistabelle!G" &amp; ($A$1+BO$1+BN4))&lt;="",INDIRECT("Basistabelle!H" &amp; ($A$1+BO$1+BN4))&gt;"")</formula>
    </cfRule>
  </conditionalFormatting>
  <conditionalFormatting sqref="BO5">
    <cfRule type="expression" dxfId="4794" priority="826">
      <formula>OR($A5="Sa",$A5="So")</formula>
    </cfRule>
    <cfRule type="expression" dxfId="4793" priority="827">
      <formula>AND(BN5&gt;0,INDIRECT("Basistabelle!G" &amp; ($A$1+BO$1+BN5))&lt;="",INDIRECT("Basistabelle!H" &amp; ($A$1+BO$1+BN5))&gt;"")</formula>
    </cfRule>
  </conditionalFormatting>
  <conditionalFormatting sqref="BO6">
    <cfRule type="expression" dxfId="4792" priority="824">
      <formula>OR($A6="Sa",$A6="So")</formula>
    </cfRule>
    <cfRule type="expression" dxfId="4791" priority="825">
      <formula>AND(BN6&gt;0,INDIRECT("Basistabelle!G" &amp; ($A$1+BO$1+BN6))&lt;="",INDIRECT("Basistabelle!H" &amp; ($A$1+BO$1+BN6))&gt;"")</formula>
    </cfRule>
  </conditionalFormatting>
  <conditionalFormatting sqref="BO7">
    <cfRule type="expression" dxfId="4790" priority="822">
      <formula>OR($A7="Sa",$A7="So")</formula>
    </cfRule>
    <cfRule type="expression" dxfId="4789" priority="823">
      <formula>AND(BN7&gt;0,INDIRECT("Basistabelle!G" &amp; ($A$1+BO$1+BN7))&lt;="",INDIRECT("Basistabelle!H" &amp; ($A$1+BO$1+BN7))&gt;"")</formula>
    </cfRule>
  </conditionalFormatting>
  <conditionalFormatting sqref="BO8">
    <cfRule type="expression" dxfId="4788" priority="820">
      <formula>OR($A8="Sa",$A8="So")</formula>
    </cfRule>
    <cfRule type="expression" dxfId="4787" priority="821">
      <formula>AND(BN8&gt;0,INDIRECT("Basistabelle!G" &amp; ($A$1+BO$1+BN8))&lt;="",INDIRECT("Basistabelle!H" &amp; ($A$1+BO$1+BN8))&gt;"")</formula>
    </cfRule>
  </conditionalFormatting>
  <conditionalFormatting sqref="BO9">
    <cfRule type="expression" dxfId="4786" priority="818">
      <formula>OR($A9="Sa",$A9="So")</formula>
    </cfRule>
    <cfRule type="expression" dxfId="4785" priority="819">
      <formula>AND(BN9&gt;0,INDIRECT("Basistabelle!G" &amp; ($A$1+BO$1+BN9))&lt;="",INDIRECT("Basistabelle!H" &amp; ($A$1+BO$1+BN9))&gt;"")</formula>
    </cfRule>
  </conditionalFormatting>
  <conditionalFormatting sqref="BO10">
    <cfRule type="expression" dxfId="4784" priority="816">
      <formula>OR($A10="Sa",$A10="So")</formula>
    </cfRule>
    <cfRule type="expression" dxfId="4783" priority="817">
      <formula>AND(BN10&gt;0,INDIRECT("Basistabelle!G" &amp; ($A$1+BO$1+BN10))&lt;="",INDIRECT("Basistabelle!H" &amp; ($A$1+BO$1+BN10))&gt;"")</formula>
    </cfRule>
  </conditionalFormatting>
  <conditionalFormatting sqref="BO11">
    <cfRule type="expression" dxfId="4782" priority="814">
      <formula>OR($A11="Sa",$A11="So")</formula>
    </cfRule>
    <cfRule type="expression" dxfId="4781" priority="815">
      <formula>AND(BN11&gt;0,INDIRECT("Basistabelle!G" &amp; ($A$1+BO$1+BN11))&lt;="",INDIRECT("Basistabelle!H" &amp; ($A$1+BO$1+BN11))&gt;"")</formula>
    </cfRule>
  </conditionalFormatting>
  <conditionalFormatting sqref="BO12">
    <cfRule type="expression" dxfId="4780" priority="812">
      <formula>OR($A12="Sa",$A12="So")</formula>
    </cfRule>
    <cfRule type="expression" dxfId="4779" priority="813">
      <formula>AND(BN12&gt;0,INDIRECT("Basistabelle!G" &amp; ($A$1+BO$1+BN12))&lt;="",INDIRECT("Basistabelle!H" &amp; ($A$1+BO$1+BN12))&gt;"")</formula>
    </cfRule>
  </conditionalFormatting>
  <conditionalFormatting sqref="BO13">
    <cfRule type="expression" dxfId="4778" priority="810">
      <formula>OR($A13="Sa",$A13="So")</formula>
    </cfRule>
    <cfRule type="expression" dxfId="4777" priority="811">
      <formula>AND(BN13&gt;0,INDIRECT("Basistabelle!G" &amp; ($A$1+BO$1+BN13))&lt;="",INDIRECT("Basistabelle!H" &amp; ($A$1+BO$1+BN13))&gt;"")</formula>
    </cfRule>
  </conditionalFormatting>
  <conditionalFormatting sqref="BO14">
    <cfRule type="expression" dxfId="4776" priority="808">
      <formula>OR($A14="Sa",$A14="So")</formula>
    </cfRule>
    <cfRule type="expression" dxfId="4775" priority="809">
      <formula>AND(BN14&gt;0,INDIRECT("Basistabelle!G" &amp; ($A$1+BO$1+BN14))&lt;="",INDIRECT("Basistabelle!H" &amp; ($A$1+BO$1+BN14))&gt;"")</formula>
    </cfRule>
  </conditionalFormatting>
  <conditionalFormatting sqref="BO15">
    <cfRule type="expression" dxfId="4774" priority="806">
      <formula>OR($A15="Sa",$A15="So")</formula>
    </cfRule>
    <cfRule type="expression" dxfId="4773" priority="807">
      <formula>AND(BN15&gt;0,INDIRECT("Basistabelle!G" &amp; ($A$1+BO$1+BN15))&lt;="",INDIRECT("Basistabelle!H" &amp; ($A$1+BO$1+BN15))&gt;"")</formula>
    </cfRule>
  </conditionalFormatting>
  <conditionalFormatting sqref="BO16">
    <cfRule type="expression" dxfId="4772" priority="804">
      <formula>OR($A16="Sa",$A16="So")</formula>
    </cfRule>
    <cfRule type="expression" dxfId="4771" priority="805">
      <formula>AND(BN16&gt;0,INDIRECT("Basistabelle!G" &amp; ($A$1+BO$1+BN16))&lt;="",INDIRECT("Basistabelle!H" &amp; ($A$1+BO$1+BN16))&gt;"")</formula>
    </cfRule>
  </conditionalFormatting>
  <conditionalFormatting sqref="BO17">
    <cfRule type="expression" dxfId="4770" priority="802">
      <formula>OR($A17="Sa",$A17="So")</formula>
    </cfRule>
    <cfRule type="expression" dxfId="4769" priority="803">
      <formula>AND(BN17&gt;0,INDIRECT("Basistabelle!G" &amp; ($A$1+BO$1+BN17))&lt;="",INDIRECT("Basistabelle!H" &amp; ($A$1+BO$1+BN17))&gt;"")</formula>
    </cfRule>
  </conditionalFormatting>
  <conditionalFormatting sqref="BO18">
    <cfRule type="expression" dxfId="4768" priority="800">
      <formula>OR($A18="Sa",$A18="So")</formula>
    </cfRule>
    <cfRule type="expression" dxfId="4767" priority="801">
      <formula>AND(BN18&gt;0,INDIRECT("Basistabelle!G" &amp; ($A$1+BO$1+BN18))&lt;="",INDIRECT("Basistabelle!H" &amp; ($A$1+BO$1+BN18))&gt;"")</formula>
    </cfRule>
  </conditionalFormatting>
  <conditionalFormatting sqref="BO19">
    <cfRule type="expression" dxfId="4766" priority="798">
      <formula>OR($A19="Sa",$A19="So")</formula>
    </cfRule>
    <cfRule type="expression" dxfId="4765" priority="799">
      <formula>AND(BN19&gt;0,INDIRECT("Basistabelle!G" &amp; ($A$1+BO$1+BN19))&lt;="",INDIRECT("Basistabelle!H" &amp; ($A$1+BO$1+BN19))&gt;"")</formula>
    </cfRule>
  </conditionalFormatting>
  <conditionalFormatting sqref="BO20">
    <cfRule type="expression" dxfId="4764" priority="796">
      <formula>OR($A20="Sa",$A20="So")</formula>
    </cfRule>
    <cfRule type="expression" dxfId="4763" priority="797">
      <formula>AND(BN20&gt;0,INDIRECT("Basistabelle!G" &amp; ($A$1+BO$1+BN20))&lt;="",INDIRECT("Basistabelle!H" &amp; ($A$1+BO$1+BN20))&gt;"")</formula>
    </cfRule>
  </conditionalFormatting>
  <conditionalFormatting sqref="BO21">
    <cfRule type="expression" dxfId="4762" priority="794">
      <formula>OR($A21="Sa",$A21="So")</formula>
    </cfRule>
    <cfRule type="expression" dxfId="4761" priority="795">
      <formula>AND(BN21&gt;0,INDIRECT("Basistabelle!G" &amp; ($A$1+BO$1+BN21))&lt;="",INDIRECT("Basistabelle!H" &amp; ($A$1+BO$1+BN21))&gt;"")</formula>
    </cfRule>
  </conditionalFormatting>
  <conditionalFormatting sqref="BO22">
    <cfRule type="expression" dxfId="4760" priority="792">
      <formula>OR($A22="Sa",$A22="So")</formula>
    </cfRule>
    <cfRule type="expression" dxfId="4759" priority="793">
      <formula>AND(BN22&gt;0,INDIRECT("Basistabelle!G" &amp; ($A$1+BO$1+BN22))&lt;="",INDIRECT("Basistabelle!H" &amp; ($A$1+BO$1+BN22))&gt;"")</formula>
    </cfRule>
  </conditionalFormatting>
  <conditionalFormatting sqref="BO23">
    <cfRule type="expression" dxfId="4758" priority="790">
      <formula>OR($A23="Sa",$A23="So")</formula>
    </cfRule>
    <cfRule type="expression" dxfId="4757" priority="791">
      <formula>AND(BN23&gt;0,INDIRECT("Basistabelle!G" &amp; ($A$1+BO$1+BN23))&lt;="",INDIRECT("Basistabelle!H" &amp; ($A$1+BO$1+BN23))&gt;"")</formula>
    </cfRule>
  </conditionalFormatting>
  <conditionalFormatting sqref="BO24">
    <cfRule type="expression" dxfId="4756" priority="788">
      <formula>OR($A24="Sa",$A24="So")</formula>
    </cfRule>
    <cfRule type="expression" dxfId="4755" priority="789">
      <formula>AND(BN24&gt;0,INDIRECT("Basistabelle!G" &amp; ($A$1+BO$1+BN24))&lt;="",INDIRECT("Basistabelle!H" &amp; ($A$1+BO$1+BN24))&gt;"")</formula>
    </cfRule>
  </conditionalFormatting>
  <conditionalFormatting sqref="BO25">
    <cfRule type="expression" dxfId="4754" priority="786">
      <formula>OR($A25="Sa",$A25="So")</formula>
    </cfRule>
    <cfRule type="expression" dxfId="4753" priority="787">
      <formula>AND(BN25&gt;0,INDIRECT("Basistabelle!G" &amp; ($A$1+BO$1+BN25))&lt;="",INDIRECT("Basistabelle!H" &amp; ($A$1+BO$1+BN25))&gt;"")</formula>
    </cfRule>
  </conditionalFormatting>
  <conditionalFormatting sqref="BO26">
    <cfRule type="expression" dxfId="4752" priority="784">
      <formula>OR($A26="Sa",$A26="So")</formula>
    </cfRule>
    <cfRule type="expression" dxfId="4751" priority="785">
      <formula>AND(BN26&gt;0,INDIRECT("Basistabelle!G" &amp; ($A$1+BO$1+BN26))&lt;="",INDIRECT("Basistabelle!H" &amp; ($A$1+BO$1+BN26))&gt;"")</formula>
    </cfRule>
  </conditionalFormatting>
  <conditionalFormatting sqref="BO27">
    <cfRule type="expression" dxfId="4750" priority="782">
      <formula>OR($A27="Sa",$A27="So")</formula>
    </cfRule>
    <cfRule type="expression" dxfId="4749" priority="783">
      <formula>AND(BN27&gt;0,INDIRECT("Basistabelle!G" &amp; ($A$1+BO$1+BN27))&lt;="",INDIRECT("Basistabelle!H" &amp; ($A$1+BO$1+BN27))&gt;"")</formula>
    </cfRule>
  </conditionalFormatting>
  <conditionalFormatting sqref="BO28">
    <cfRule type="expression" dxfId="4748" priority="780">
      <formula>OR($A28="Sa",$A28="So")</formula>
    </cfRule>
    <cfRule type="expression" dxfId="4747" priority="781">
      <formula>AND(BN28&gt;0,INDIRECT("Basistabelle!G" &amp; ($A$1+BO$1+BN28))&lt;="",INDIRECT("Basistabelle!H" &amp; ($A$1+BO$1+BN28))&gt;"")</formula>
    </cfRule>
  </conditionalFormatting>
  <conditionalFormatting sqref="BO29">
    <cfRule type="expression" dxfId="4746" priority="778">
      <formula>OR($A29="Sa",$A29="So")</formula>
    </cfRule>
    <cfRule type="expression" dxfId="4745" priority="779">
      <formula>AND(BN29&gt;0,INDIRECT("Basistabelle!G" &amp; ($A$1+BO$1+BN29))&lt;="",INDIRECT("Basistabelle!H" &amp; ($A$1+BO$1+BN29))&gt;"")</formula>
    </cfRule>
  </conditionalFormatting>
  <conditionalFormatting sqref="BO30">
    <cfRule type="expression" dxfId="4744" priority="776">
      <formula>OR($A30="Sa",$A30="So")</formula>
    </cfRule>
    <cfRule type="expression" dxfId="4743" priority="777">
      <formula>AND(BN30&gt;0,INDIRECT("Basistabelle!G" &amp; ($A$1+BO$1+BN30))&lt;="",INDIRECT("Basistabelle!H" &amp; ($A$1+BO$1+BN30))&gt;"")</formula>
    </cfRule>
  </conditionalFormatting>
  <conditionalFormatting sqref="BO31">
    <cfRule type="expression" dxfId="4742" priority="774">
      <formula>OR($A31="Sa",$A31="So")</formula>
    </cfRule>
    <cfRule type="expression" dxfId="4741" priority="775">
      <formula>AND(BN31&gt;0,INDIRECT("Basistabelle!G" &amp; ($A$1+BO$1+BN31))&lt;="",INDIRECT("Basistabelle!H" &amp; ($A$1+BO$1+BN31))&gt;"")</formula>
    </cfRule>
  </conditionalFormatting>
  <conditionalFormatting sqref="BO32">
    <cfRule type="expression" dxfId="4740" priority="772">
      <formula>OR($A32="Sa",$A32="So")</formula>
    </cfRule>
    <cfRule type="expression" dxfId="4739" priority="773">
      <formula>AND(BN32&gt;0,INDIRECT("Basistabelle!G" &amp; ($A$1+BO$1+BN32))&lt;="",INDIRECT("Basistabelle!H" &amp; ($A$1+BO$1+BN32))&gt;"")</formula>
    </cfRule>
  </conditionalFormatting>
  <conditionalFormatting sqref="BO33">
    <cfRule type="expression" dxfId="4738" priority="770">
      <formula>OR($A33="Sa",$A33="So")</formula>
    </cfRule>
    <cfRule type="expression" dxfId="4737" priority="771">
      <formula>AND(BN33&gt;0,INDIRECT("Basistabelle!G" &amp; ($A$1+BO$1+BN33))&lt;="",INDIRECT("Basistabelle!H" &amp; ($A$1+BO$1+BN33))&gt;"")</formula>
    </cfRule>
  </conditionalFormatting>
  <conditionalFormatting sqref="BO34">
    <cfRule type="expression" dxfId="4736" priority="768">
      <formula>OR($A34="Sa",$A34="So")</formula>
    </cfRule>
    <cfRule type="expression" dxfId="4735" priority="769">
      <formula>AND(BN34&gt;0,INDIRECT("Basistabelle!G" &amp; ($A$1+BO$1+BN34))&lt;="",INDIRECT("Basistabelle!H" &amp; ($A$1+BO$1+BN34))&gt;"")</formula>
    </cfRule>
  </conditionalFormatting>
  <conditionalFormatting sqref="BO35">
    <cfRule type="expression" dxfId="4734" priority="766">
      <formula>OR($A35="Sa",$A35="So")</formula>
    </cfRule>
    <cfRule type="expression" dxfId="4733" priority="767">
      <formula>AND(BN35&gt;0,INDIRECT("Basistabelle!G" &amp; ($A$1+BO$1+BN35))&lt;="",INDIRECT("Basistabelle!H" &amp; ($A$1+BO$1+BN35))&gt;"")</formula>
    </cfRule>
  </conditionalFormatting>
  <conditionalFormatting sqref="BO36">
    <cfRule type="expression" dxfId="4732" priority="764">
      <formula>OR($A36="Sa",$A36="So")</formula>
    </cfRule>
    <cfRule type="expression" dxfId="4731" priority="765">
      <formula>AND(BN36&gt;0,INDIRECT("Basistabelle!G" &amp; ($A$1+BO$1+BN36))&lt;="",INDIRECT("Basistabelle!H" &amp; ($A$1+BO$1+BN36))&gt;"")</formula>
    </cfRule>
  </conditionalFormatting>
  <conditionalFormatting sqref="BO37">
    <cfRule type="expression" dxfId="4730" priority="762">
      <formula>OR($A37="Sa",$A37="So")</formula>
    </cfRule>
    <cfRule type="expression" dxfId="4729" priority="763">
      <formula>AND(BN37&gt;0,INDIRECT("Basistabelle!G" &amp; ($A$1+BO$1+BN37))&lt;="",INDIRECT("Basistabelle!H" &amp; ($A$1+BO$1+BN37))&gt;"")</formula>
    </cfRule>
  </conditionalFormatting>
  <conditionalFormatting sqref="BO38">
    <cfRule type="expression" dxfId="4728" priority="760">
      <formula>OR($A38="Sa",$A38="So")</formula>
    </cfRule>
    <cfRule type="expression" dxfId="4727" priority="761">
      <formula>AND(BN38&gt;0,INDIRECT("Basistabelle!G" &amp; ($A$1+BO$1+BN38))&lt;="",INDIRECT("Basistabelle!H" &amp; ($A$1+BO$1+BN38))&gt;"")</formula>
    </cfRule>
  </conditionalFormatting>
  <conditionalFormatting sqref="BO39">
    <cfRule type="expression" dxfId="4726" priority="758">
      <formula>OR($A39="Sa",$A39="So")</formula>
    </cfRule>
    <cfRule type="expression" dxfId="4725" priority="759">
      <formula>AND(BN39&gt;0,INDIRECT("Basistabelle!G" &amp; ($A$1+BO$1+BN39))&lt;="",INDIRECT("Basistabelle!H" &amp; ($A$1+BO$1+BN39))&gt;"")</formula>
    </cfRule>
  </conditionalFormatting>
  <conditionalFormatting sqref="BO40">
    <cfRule type="expression" dxfId="4724" priority="756">
      <formula>OR($A40="Sa",$A40="So")</formula>
    </cfRule>
    <cfRule type="expression" dxfId="4723" priority="757">
      <formula>AND(BN40&gt;0,INDIRECT("Basistabelle!G" &amp; ($A$1+BO$1+BN40))&lt;="",INDIRECT("Basistabelle!H" &amp; ($A$1+BO$1+BN40))&gt;"")</formula>
    </cfRule>
  </conditionalFormatting>
  <conditionalFormatting sqref="BO41">
    <cfRule type="expression" dxfId="4722" priority="754">
      <formula>OR($A41="Sa",$A41="So")</formula>
    </cfRule>
    <cfRule type="expression" dxfId="4721" priority="755">
      <formula>AND(BN41&gt;0,INDIRECT("Basistabelle!G" &amp; ($A$1+BO$1+BN41))&lt;="",INDIRECT("Basistabelle!H" &amp; ($A$1+BO$1+BN41))&gt;"")</formula>
    </cfRule>
  </conditionalFormatting>
  <conditionalFormatting sqref="BW3:BW16">
    <cfRule type="expression" dxfId="4720" priority="752">
      <formula>OR($A3="Sa",$A3="So")</formula>
    </cfRule>
    <cfRule type="expression" dxfId="4719" priority="753">
      <formula>AND(BV3&gt;0,INDIRECT("Basistabelle!G" &amp; ($A$1+BW$1+BV3))&lt;="",INDIRECT("Basistabelle!H" &amp; ($A$1+BW$1+BV3))&gt;"")</formula>
    </cfRule>
  </conditionalFormatting>
  <conditionalFormatting sqref="BW17">
    <cfRule type="expression" dxfId="4718" priority="750">
      <formula>OR($A17="Sa",$A17="So")</formula>
    </cfRule>
    <cfRule type="expression" dxfId="4717" priority="751">
      <formula>AND(BV17&gt;0,INDIRECT("Basistabelle!G" &amp; ($A$1+BW$1+BV17))&lt;="",INDIRECT("Basistabelle!H" &amp; ($A$1+BW$1+BV17))&gt;"")</formula>
    </cfRule>
  </conditionalFormatting>
  <conditionalFormatting sqref="BW18">
    <cfRule type="expression" dxfId="4716" priority="748">
      <formula>OR($A18="Sa",$A18="So")</formula>
    </cfRule>
    <cfRule type="expression" dxfId="4715" priority="749">
      <formula>AND(BV18&gt;0,INDIRECT("Basistabelle!G" &amp; ($A$1+BW$1+BV18))&lt;="",INDIRECT("Basistabelle!H" &amp; ($A$1+BW$1+BV18))&gt;"")</formula>
    </cfRule>
  </conditionalFormatting>
  <conditionalFormatting sqref="BW19">
    <cfRule type="expression" dxfId="4714" priority="746">
      <formula>OR($A19="Sa",$A19="So")</formula>
    </cfRule>
    <cfRule type="expression" dxfId="4713" priority="747">
      <formula>AND(BV19&gt;0,INDIRECT("Basistabelle!G" &amp; ($A$1+BW$1+BV19))&lt;="",INDIRECT("Basistabelle!H" &amp; ($A$1+BW$1+BV19))&gt;"")</formula>
    </cfRule>
  </conditionalFormatting>
  <conditionalFormatting sqref="BW20">
    <cfRule type="expression" dxfId="4712" priority="744">
      <formula>OR($A20="Sa",$A20="So")</formula>
    </cfRule>
    <cfRule type="expression" dxfId="4711" priority="745">
      <formula>AND(BV20&gt;0,INDIRECT("Basistabelle!G" &amp; ($A$1+BW$1+BV20))&lt;="",INDIRECT("Basistabelle!H" &amp; ($A$1+BW$1+BV20))&gt;"")</formula>
    </cfRule>
  </conditionalFormatting>
  <conditionalFormatting sqref="BW21">
    <cfRule type="expression" dxfId="4710" priority="742">
      <formula>OR($A21="Sa",$A21="So")</formula>
    </cfRule>
    <cfRule type="expression" dxfId="4709" priority="743">
      <formula>AND(BV21&gt;0,INDIRECT("Basistabelle!G" &amp; ($A$1+BW$1+BV21))&lt;="",INDIRECT("Basistabelle!H" &amp; ($A$1+BW$1+BV21))&gt;"")</formula>
    </cfRule>
  </conditionalFormatting>
  <conditionalFormatting sqref="BW22">
    <cfRule type="expression" dxfId="4708" priority="740">
      <formula>OR($A22="Sa",$A22="So")</formula>
    </cfRule>
    <cfRule type="expression" dxfId="4707" priority="741">
      <formula>AND(BV22&gt;0,INDIRECT("Basistabelle!G" &amp; ($A$1+BW$1+BV22))&lt;="",INDIRECT("Basistabelle!H" &amp; ($A$1+BW$1+BV22))&gt;"")</formula>
    </cfRule>
  </conditionalFormatting>
  <conditionalFormatting sqref="BW23">
    <cfRule type="expression" dxfId="4706" priority="738">
      <formula>OR($A23="Sa",$A23="So")</formula>
    </cfRule>
    <cfRule type="expression" dxfId="4705" priority="739">
      <formula>AND(BV23&gt;0,INDIRECT("Basistabelle!G" &amp; ($A$1+BW$1+BV23))&lt;="",INDIRECT("Basistabelle!H" &amp; ($A$1+BW$1+BV23))&gt;"")</formula>
    </cfRule>
  </conditionalFormatting>
  <conditionalFormatting sqref="BW24">
    <cfRule type="expression" dxfId="4704" priority="736">
      <formula>OR($A24="Sa",$A24="So")</formula>
    </cfRule>
    <cfRule type="expression" dxfId="4703" priority="737">
      <formula>AND(BV24&gt;0,INDIRECT("Basistabelle!G" &amp; ($A$1+BW$1+BV24))&lt;="",INDIRECT("Basistabelle!H" &amp; ($A$1+BW$1+BV24))&gt;"")</formula>
    </cfRule>
  </conditionalFormatting>
  <conditionalFormatting sqref="BW25">
    <cfRule type="expression" dxfId="4702" priority="734">
      <formula>OR($A25="Sa",$A25="So")</formula>
    </cfRule>
    <cfRule type="expression" dxfId="4701" priority="735">
      <formula>AND(BV25&gt;0,INDIRECT("Basistabelle!G" &amp; ($A$1+BW$1+BV25))&lt;="",INDIRECT("Basistabelle!H" &amp; ($A$1+BW$1+BV25))&gt;"")</formula>
    </cfRule>
  </conditionalFormatting>
  <conditionalFormatting sqref="BW26">
    <cfRule type="expression" dxfId="4700" priority="732">
      <formula>OR($A26="Sa",$A26="So")</formula>
    </cfRule>
    <cfRule type="expression" dxfId="4699" priority="733">
      <formula>AND(BV26&gt;0,INDIRECT("Basistabelle!G" &amp; ($A$1+BW$1+BV26))&lt;="",INDIRECT("Basistabelle!H" &amp; ($A$1+BW$1+BV26))&gt;"")</formula>
    </cfRule>
  </conditionalFormatting>
  <conditionalFormatting sqref="BW27">
    <cfRule type="expression" dxfId="4698" priority="730">
      <formula>OR($A27="Sa",$A27="So")</formula>
    </cfRule>
    <cfRule type="expression" dxfId="4697" priority="731">
      <formula>AND(BV27&gt;0,INDIRECT("Basistabelle!G" &amp; ($A$1+BW$1+BV27))&lt;="",INDIRECT("Basistabelle!H" &amp; ($A$1+BW$1+BV27))&gt;"")</formula>
    </cfRule>
  </conditionalFormatting>
  <conditionalFormatting sqref="BW28">
    <cfRule type="expression" dxfId="4696" priority="728">
      <formula>OR($A28="Sa",$A28="So")</formula>
    </cfRule>
    <cfRule type="expression" dxfId="4695" priority="729">
      <formula>AND(BV28&gt;0,INDIRECT("Basistabelle!G" &amp; ($A$1+BW$1+BV28))&lt;="",INDIRECT("Basistabelle!H" &amp; ($A$1+BW$1+BV28))&gt;"")</formula>
    </cfRule>
  </conditionalFormatting>
  <conditionalFormatting sqref="BW29">
    <cfRule type="expression" dxfId="4694" priority="726">
      <formula>OR($A29="Sa",$A29="So")</formula>
    </cfRule>
    <cfRule type="expression" dxfId="4693" priority="727">
      <formula>AND(BV29&gt;0,INDIRECT("Basistabelle!G" &amp; ($A$1+BW$1+BV29))&lt;="",INDIRECT("Basistabelle!H" &amp; ($A$1+BW$1+BV29))&gt;"")</formula>
    </cfRule>
  </conditionalFormatting>
  <conditionalFormatting sqref="BW30">
    <cfRule type="expression" dxfId="4692" priority="724">
      <formula>OR($A30="Sa",$A30="So")</formula>
    </cfRule>
    <cfRule type="expression" dxfId="4691" priority="725">
      <formula>AND(BV30&gt;0,INDIRECT("Basistabelle!G" &amp; ($A$1+BW$1+BV30))&lt;="",INDIRECT("Basistabelle!H" &amp; ($A$1+BW$1+BV30))&gt;"")</formula>
    </cfRule>
  </conditionalFormatting>
  <conditionalFormatting sqref="BW31">
    <cfRule type="expression" dxfId="4690" priority="722">
      <formula>OR($A31="Sa",$A31="So")</formula>
    </cfRule>
    <cfRule type="expression" dxfId="4689" priority="723">
      <formula>AND(BV31&gt;0,INDIRECT("Basistabelle!G" &amp; ($A$1+BW$1+BV31))&lt;="",INDIRECT("Basistabelle!H" &amp; ($A$1+BW$1+BV31))&gt;"")</formula>
    </cfRule>
  </conditionalFormatting>
  <conditionalFormatting sqref="BW32">
    <cfRule type="expression" dxfId="4688" priority="720">
      <formula>OR($A32="Sa",$A32="So")</formula>
    </cfRule>
    <cfRule type="expression" dxfId="4687" priority="721">
      <formula>AND(BV32&gt;0,INDIRECT("Basistabelle!G" &amp; ($A$1+BW$1+BV32))&lt;="",INDIRECT("Basistabelle!H" &amp; ($A$1+BW$1+BV32))&gt;"")</formula>
    </cfRule>
  </conditionalFormatting>
  <conditionalFormatting sqref="BW33">
    <cfRule type="expression" dxfId="4686" priority="718">
      <formula>OR($A33="Sa",$A33="So")</formula>
    </cfRule>
    <cfRule type="expression" dxfId="4685" priority="719">
      <formula>AND(BV33&gt;0,INDIRECT("Basistabelle!G" &amp; ($A$1+BW$1+BV33))&lt;="",INDIRECT("Basistabelle!H" &amp; ($A$1+BW$1+BV33))&gt;"")</formula>
    </cfRule>
  </conditionalFormatting>
  <conditionalFormatting sqref="BW34">
    <cfRule type="expression" dxfId="4684" priority="716">
      <formula>OR($A34="Sa",$A34="So")</formula>
    </cfRule>
    <cfRule type="expression" dxfId="4683" priority="717">
      <formula>AND(BV34&gt;0,INDIRECT("Basistabelle!G" &amp; ($A$1+BW$1+BV34))&lt;="",INDIRECT("Basistabelle!H" &amp; ($A$1+BW$1+BV34))&gt;"")</formula>
    </cfRule>
  </conditionalFormatting>
  <conditionalFormatting sqref="BW35">
    <cfRule type="expression" dxfId="4682" priority="714">
      <formula>OR($A35="Sa",$A35="So")</formula>
    </cfRule>
    <cfRule type="expression" dxfId="4681" priority="715">
      <formula>AND(BV35&gt;0,INDIRECT("Basistabelle!G" &amp; ($A$1+BW$1+BV35))&lt;="",INDIRECT("Basistabelle!H" &amp; ($A$1+BW$1+BV35))&gt;"")</formula>
    </cfRule>
  </conditionalFormatting>
  <conditionalFormatting sqref="BW36">
    <cfRule type="expression" dxfId="4680" priority="712">
      <formula>OR($A36="Sa",$A36="So")</formula>
    </cfRule>
    <cfRule type="expression" dxfId="4679" priority="713">
      <formula>AND(BV36&gt;0,INDIRECT("Basistabelle!G" &amp; ($A$1+BW$1+BV36))&lt;="",INDIRECT("Basistabelle!H" &amp; ($A$1+BW$1+BV36))&gt;"")</formula>
    </cfRule>
  </conditionalFormatting>
  <conditionalFormatting sqref="BW37">
    <cfRule type="expression" dxfId="4678" priority="710">
      <formula>OR($A37="Sa",$A37="So")</formula>
    </cfRule>
    <cfRule type="expression" dxfId="4677" priority="711">
      <formula>AND(BV37&gt;0,INDIRECT("Basistabelle!G" &amp; ($A$1+BW$1+BV37))&lt;="",INDIRECT("Basistabelle!H" &amp; ($A$1+BW$1+BV37))&gt;"")</formula>
    </cfRule>
  </conditionalFormatting>
  <conditionalFormatting sqref="BW38">
    <cfRule type="expression" dxfId="4676" priority="708">
      <formula>OR($A38="Sa",$A38="So")</formula>
    </cfRule>
    <cfRule type="expression" dxfId="4675" priority="709">
      <formula>AND(BV38&gt;0,INDIRECT("Basistabelle!G" &amp; ($A$1+BW$1+BV38))&lt;="",INDIRECT("Basistabelle!H" &amp; ($A$1+BW$1+BV38))&gt;"")</formula>
    </cfRule>
  </conditionalFormatting>
  <conditionalFormatting sqref="BW39">
    <cfRule type="expression" dxfId="4674" priority="706">
      <formula>OR($A39="Sa",$A39="So")</formula>
    </cfRule>
    <cfRule type="expression" dxfId="4673" priority="707">
      <formula>AND(BV39&gt;0,INDIRECT("Basistabelle!G" &amp; ($A$1+BW$1+BV39))&lt;="",INDIRECT("Basistabelle!H" &amp; ($A$1+BW$1+BV39))&gt;"")</formula>
    </cfRule>
  </conditionalFormatting>
  <conditionalFormatting sqref="BW40">
    <cfRule type="expression" dxfId="4672" priority="704">
      <formula>OR($A40="Sa",$A40="So")</formula>
    </cfRule>
    <cfRule type="expression" dxfId="4671" priority="705">
      <formula>AND(BV40&gt;0,INDIRECT("Basistabelle!G" &amp; ($A$1+BW$1+BV40))&lt;="",INDIRECT("Basistabelle!H" &amp; ($A$1+BW$1+BV40))&gt;"")</formula>
    </cfRule>
  </conditionalFormatting>
  <conditionalFormatting sqref="BW41">
    <cfRule type="expression" dxfId="4670" priority="702">
      <formula>OR($A41="Sa",$A41="So")</formula>
    </cfRule>
    <cfRule type="expression" dxfId="4669" priority="703">
      <formula>AND(BV41&gt;0,INDIRECT("Basistabelle!G" &amp; ($A$1+BW$1+BV41))&lt;="",INDIRECT("Basistabelle!H" &amp; ($A$1+BW$1+BV41))&gt;"")</formula>
    </cfRule>
  </conditionalFormatting>
  <conditionalFormatting sqref="CE3">
    <cfRule type="expression" dxfId="4668" priority="700">
      <formula>OR($A3="Sa",$A3="So")</formula>
    </cfRule>
    <cfRule type="expression" dxfId="4667" priority="701">
      <formula>AND(CD3&gt;0,INDIRECT("Basistabelle!G" &amp; ($A$1+CE$1+CD3))&lt;="",INDIRECT("Basistabelle!H" &amp; ($A$1+CE$1+CD3))&gt;"")</formula>
    </cfRule>
  </conditionalFormatting>
  <conditionalFormatting sqref="CE4">
    <cfRule type="expression" dxfId="4666" priority="698">
      <formula>OR($A4="Sa",$A4="So")</formula>
    </cfRule>
    <cfRule type="expression" dxfId="4665" priority="699">
      <formula>AND(CD4&gt;0,INDIRECT("Basistabelle!G" &amp; ($A$1+CE$1+CD4))&lt;="",INDIRECT("Basistabelle!H" &amp; ($A$1+CE$1+CD4))&gt;"")</formula>
    </cfRule>
  </conditionalFormatting>
  <conditionalFormatting sqref="CE5">
    <cfRule type="expression" dxfId="4664" priority="696">
      <formula>OR($A5="Sa",$A5="So")</formula>
    </cfRule>
    <cfRule type="expression" dxfId="4663" priority="697">
      <formula>AND(CD5&gt;0,INDIRECT("Basistabelle!G" &amp; ($A$1+CE$1+CD5))&lt;="",INDIRECT("Basistabelle!H" &amp; ($A$1+CE$1+CD5))&gt;"")</formula>
    </cfRule>
  </conditionalFormatting>
  <conditionalFormatting sqref="CE6">
    <cfRule type="expression" dxfId="4662" priority="694">
      <formula>OR($A6="Sa",$A6="So")</formula>
    </cfRule>
    <cfRule type="expression" dxfId="4661" priority="695">
      <formula>AND(CD6&gt;0,INDIRECT("Basistabelle!G" &amp; ($A$1+CE$1+CD6))&lt;="",INDIRECT("Basistabelle!H" &amp; ($A$1+CE$1+CD6))&gt;"")</formula>
    </cfRule>
  </conditionalFormatting>
  <conditionalFormatting sqref="CE7">
    <cfRule type="expression" dxfId="4660" priority="692">
      <formula>OR($A7="Sa",$A7="So")</formula>
    </cfRule>
    <cfRule type="expression" dxfId="4659" priority="693">
      <formula>AND(CD7&gt;0,INDIRECT("Basistabelle!G" &amp; ($A$1+CE$1+CD7))&lt;="",INDIRECT("Basistabelle!H" &amp; ($A$1+CE$1+CD7))&gt;"")</formula>
    </cfRule>
  </conditionalFormatting>
  <conditionalFormatting sqref="CE8">
    <cfRule type="expression" dxfId="4658" priority="690">
      <formula>OR($A8="Sa",$A8="So")</formula>
    </cfRule>
    <cfRule type="expression" dxfId="4657" priority="691">
      <formula>AND(CD8&gt;0,INDIRECT("Basistabelle!G" &amp; ($A$1+CE$1+CD8))&lt;="",INDIRECT("Basistabelle!H" &amp; ($A$1+CE$1+CD8))&gt;"")</formula>
    </cfRule>
  </conditionalFormatting>
  <conditionalFormatting sqref="CE9">
    <cfRule type="expression" dxfId="4656" priority="688">
      <formula>OR($A9="Sa",$A9="So")</formula>
    </cfRule>
    <cfRule type="expression" dxfId="4655" priority="689">
      <formula>AND(CD9&gt;0,INDIRECT("Basistabelle!G" &amp; ($A$1+CE$1+CD9))&lt;="",INDIRECT("Basistabelle!H" &amp; ($A$1+CE$1+CD9))&gt;"")</formula>
    </cfRule>
  </conditionalFormatting>
  <conditionalFormatting sqref="CE10">
    <cfRule type="expression" dxfId="4654" priority="686">
      <formula>OR($A10="Sa",$A10="So")</formula>
    </cfRule>
    <cfRule type="expression" dxfId="4653" priority="687">
      <formula>AND(CD10&gt;0,INDIRECT("Basistabelle!G" &amp; ($A$1+CE$1+CD10))&lt;="",INDIRECT("Basistabelle!H" &amp; ($A$1+CE$1+CD10))&gt;"")</formula>
    </cfRule>
  </conditionalFormatting>
  <conditionalFormatting sqref="CE11">
    <cfRule type="expression" dxfId="4652" priority="684">
      <formula>OR($A11="Sa",$A11="So")</formula>
    </cfRule>
    <cfRule type="expression" dxfId="4651" priority="685">
      <formula>AND(CD11&gt;0,INDIRECT("Basistabelle!G" &amp; ($A$1+CE$1+CD11))&lt;="",INDIRECT("Basistabelle!H" &amp; ($A$1+CE$1+CD11))&gt;"")</formula>
    </cfRule>
  </conditionalFormatting>
  <conditionalFormatting sqref="CE12">
    <cfRule type="expression" dxfId="4650" priority="682">
      <formula>OR($A12="Sa",$A12="So")</formula>
    </cfRule>
    <cfRule type="expression" dxfId="4649" priority="683">
      <formula>AND(CD12&gt;0,INDIRECT("Basistabelle!G" &amp; ($A$1+CE$1+CD12))&lt;="",INDIRECT("Basistabelle!H" &amp; ($A$1+CE$1+CD12))&gt;"")</formula>
    </cfRule>
  </conditionalFormatting>
  <conditionalFormatting sqref="CE13">
    <cfRule type="expression" dxfId="4648" priority="680">
      <formula>OR($A13="Sa",$A13="So")</formula>
    </cfRule>
    <cfRule type="expression" dxfId="4647" priority="681">
      <formula>AND(CD13&gt;0,INDIRECT("Basistabelle!G" &amp; ($A$1+CE$1+CD13))&lt;="",INDIRECT("Basistabelle!H" &amp; ($A$1+CE$1+CD13))&gt;"")</formula>
    </cfRule>
  </conditionalFormatting>
  <conditionalFormatting sqref="CE14">
    <cfRule type="expression" dxfId="4646" priority="678">
      <formula>OR($A14="Sa",$A14="So")</formula>
    </cfRule>
    <cfRule type="expression" dxfId="4645" priority="679">
      <formula>AND(CD14&gt;0,INDIRECT("Basistabelle!G" &amp; ($A$1+CE$1+CD14))&lt;="",INDIRECT("Basistabelle!H" &amp; ($A$1+CE$1+CD14))&gt;"")</formula>
    </cfRule>
  </conditionalFormatting>
  <conditionalFormatting sqref="CE15">
    <cfRule type="expression" dxfId="4644" priority="676">
      <formula>OR($A15="Sa",$A15="So")</formula>
    </cfRule>
    <cfRule type="expression" dxfId="4643" priority="677">
      <formula>AND(CD15&gt;0,INDIRECT("Basistabelle!G" &amp; ($A$1+CE$1+CD15))&lt;="",INDIRECT("Basistabelle!H" &amp; ($A$1+CE$1+CD15))&gt;"")</formula>
    </cfRule>
  </conditionalFormatting>
  <conditionalFormatting sqref="CE16">
    <cfRule type="expression" dxfId="4642" priority="674">
      <formula>OR($A16="Sa",$A16="So")</formula>
    </cfRule>
    <cfRule type="expression" dxfId="4641" priority="675">
      <formula>AND(CD16&gt;0,INDIRECT("Basistabelle!G" &amp; ($A$1+CE$1+CD16))&lt;="",INDIRECT("Basistabelle!H" &amp; ($A$1+CE$1+CD16))&gt;"")</formula>
    </cfRule>
  </conditionalFormatting>
  <conditionalFormatting sqref="CE17">
    <cfRule type="expression" dxfId="4640" priority="672">
      <formula>OR($A17="Sa",$A17="So")</formula>
    </cfRule>
    <cfRule type="expression" dxfId="4639" priority="673">
      <formula>AND(CD17&gt;0,INDIRECT("Basistabelle!G" &amp; ($A$1+CE$1+CD17))&lt;="",INDIRECT("Basistabelle!H" &amp; ($A$1+CE$1+CD17))&gt;"")</formula>
    </cfRule>
  </conditionalFormatting>
  <conditionalFormatting sqref="CE18">
    <cfRule type="expression" dxfId="4638" priority="670">
      <formula>OR($A18="Sa",$A18="So")</formula>
    </cfRule>
    <cfRule type="expression" dxfId="4637" priority="671">
      <formula>AND(CD18&gt;0,INDIRECT("Basistabelle!G" &amp; ($A$1+CE$1+CD18))&lt;="",INDIRECT("Basistabelle!H" &amp; ($A$1+CE$1+CD18))&gt;"")</formula>
    </cfRule>
  </conditionalFormatting>
  <conditionalFormatting sqref="CE19">
    <cfRule type="expression" dxfId="4636" priority="668">
      <formula>OR($A19="Sa",$A19="So")</formula>
    </cfRule>
    <cfRule type="expression" dxfId="4635" priority="669">
      <formula>AND(CD19&gt;0,INDIRECT("Basistabelle!G" &amp; ($A$1+CE$1+CD19))&lt;="",INDIRECT("Basistabelle!H" &amp; ($A$1+CE$1+CD19))&gt;"")</formula>
    </cfRule>
  </conditionalFormatting>
  <conditionalFormatting sqref="CE20">
    <cfRule type="expression" dxfId="4634" priority="666">
      <formula>OR($A20="Sa",$A20="So")</formula>
    </cfRule>
    <cfRule type="expression" dxfId="4633" priority="667">
      <formula>AND(CD20&gt;0,INDIRECT("Basistabelle!G" &amp; ($A$1+CE$1+CD20))&lt;="",INDIRECT("Basistabelle!H" &amp; ($A$1+CE$1+CD20))&gt;"")</formula>
    </cfRule>
  </conditionalFormatting>
  <conditionalFormatting sqref="CE21">
    <cfRule type="expression" dxfId="4632" priority="664">
      <formula>OR($A21="Sa",$A21="So")</formula>
    </cfRule>
    <cfRule type="expression" dxfId="4631" priority="665">
      <formula>AND(CD21&gt;0,INDIRECT("Basistabelle!G" &amp; ($A$1+CE$1+CD21))&lt;="",INDIRECT("Basistabelle!H" &amp; ($A$1+CE$1+CD21))&gt;"")</formula>
    </cfRule>
  </conditionalFormatting>
  <conditionalFormatting sqref="CE22">
    <cfRule type="expression" dxfId="4630" priority="662">
      <formula>OR($A22="Sa",$A22="So")</formula>
    </cfRule>
    <cfRule type="expression" dxfId="4629" priority="663">
      <formula>AND(CD22&gt;0,INDIRECT("Basistabelle!G" &amp; ($A$1+CE$1+CD22))&lt;="",INDIRECT("Basistabelle!H" &amp; ($A$1+CE$1+CD22))&gt;"")</formula>
    </cfRule>
  </conditionalFormatting>
  <conditionalFormatting sqref="CE23">
    <cfRule type="expression" dxfId="4628" priority="660">
      <formula>OR($A23="Sa",$A23="So")</formula>
    </cfRule>
    <cfRule type="expression" dxfId="4627" priority="661">
      <formula>AND(CD23&gt;0,INDIRECT("Basistabelle!G" &amp; ($A$1+CE$1+CD23))&lt;="",INDIRECT("Basistabelle!H" &amp; ($A$1+CE$1+CD23))&gt;"")</formula>
    </cfRule>
  </conditionalFormatting>
  <conditionalFormatting sqref="CE24">
    <cfRule type="expression" dxfId="4626" priority="658">
      <formula>OR($A24="Sa",$A24="So")</formula>
    </cfRule>
    <cfRule type="expression" dxfId="4625" priority="659">
      <formula>AND(CD24&gt;0,INDIRECT("Basistabelle!G" &amp; ($A$1+CE$1+CD24))&lt;="",INDIRECT("Basistabelle!H" &amp; ($A$1+CE$1+CD24))&gt;"")</formula>
    </cfRule>
  </conditionalFormatting>
  <conditionalFormatting sqref="CE25">
    <cfRule type="expression" dxfId="4624" priority="656">
      <formula>OR($A25="Sa",$A25="So")</formula>
    </cfRule>
    <cfRule type="expression" dxfId="4623" priority="657">
      <formula>AND(CD25&gt;0,INDIRECT("Basistabelle!G" &amp; ($A$1+CE$1+CD25))&lt;="",INDIRECT("Basistabelle!H" &amp; ($A$1+CE$1+CD25))&gt;"")</formula>
    </cfRule>
  </conditionalFormatting>
  <conditionalFormatting sqref="CE26">
    <cfRule type="expression" dxfId="4622" priority="654">
      <formula>OR($A26="Sa",$A26="So")</formula>
    </cfRule>
    <cfRule type="expression" dxfId="4621" priority="655">
      <formula>AND(CD26&gt;0,INDIRECT("Basistabelle!G" &amp; ($A$1+CE$1+CD26))&lt;="",INDIRECT("Basistabelle!H" &amp; ($A$1+CE$1+CD26))&gt;"")</formula>
    </cfRule>
  </conditionalFormatting>
  <conditionalFormatting sqref="CE27">
    <cfRule type="expression" dxfId="4620" priority="652">
      <formula>OR($A27="Sa",$A27="So")</formula>
    </cfRule>
    <cfRule type="expression" dxfId="4619" priority="653">
      <formula>AND(CD27&gt;0,INDIRECT("Basistabelle!G" &amp; ($A$1+CE$1+CD27))&lt;="",INDIRECT("Basistabelle!H" &amp; ($A$1+CE$1+CD27))&gt;"")</formula>
    </cfRule>
  </conditionalFormatting>
  <conditionalFormatting sqref="CE28">
    <cfRule type="expression" dxfId="4618" priority="650">
      <formula>OR($A28="Sa",$A28="So")</formula>
    </cfRule>
    <cfRule type="expression" dxfId="4617" priority="651">
      <formula>AND(CD28&gt;0,INDIRECT("Basistabelle!G" &amp; ($A$1+CE$1+CD28))&lt;="",INDIRECT("Basistabelle!H" &amp; ($A$1+CE$1+CD28))&gt;"")</formula>
    </cfRule>
  </conditionalFormatting>
  <conditionalFormatting sqref="CE29">
    <cfRule type="expression" dxfId="4616" priority="648">
      <formula>OR($A29="Sa",$A29="So")</formula>
    </cfRule>
    <cfRule type="expression" dxfId="4615" priority="649">
      <formula>AND(CD29&gt;0,INDIRECT("Basistabelle!G" &amp; ($A$1+CE$1+CD29))&lt;="",INDIRECT("Basistabelle!H" &amp; ($A$1+CE$1+CD29))&gt;"")</formula>
    </cfRule>
  </conditionalFormatting>
  <conditionalFormatting sqref="CE30">
    <cfRule type="expression" dxfId="4614" priority="646">
      <formula>OR($A30="Sa",$A30="So")</formula>
    </cfRule>
    <cfRule type="expression" dxfId="4613" priority="647">
      <formula>AND(CD30&gt;0,INDIRECT("Basistabelle!G" &amp; ($A$1+CE$1+CD30))&lt;="",INDIRECT("Basistabelle!H" &amp; ($A$1+CE$1+CD30))&gt;"")</formula>
    </cfRule>
  </conditionalFormatting>
  <conditionalFormatting sqref="CE31">
    <cfRule type="expression" dxfId="4612" priority="644">
      <formula>OR($A31="Sa",$A31="So")</formula>
    </cfRule>
    <cfRule type="expression" dxfId="4611" priority="645">
      <formula>AND(CD31&gt;0,INDIRECT("Basistabelle!G" &amp; ($A$1+CE$1+CD31))&lt;="",INDIRECT("Basistabelle!H" &amp; ($A$1+CE$1+CD31))&gt;"")</formula>
    </cfRule>
  </conditionalFormatting>
  <conditionalFormatting sqref="CE32">
    <cfRule type="expression" dxfId="4610" priority="642">
      <formula>OR($A32="Sa",$A32="So")</formula>
    </cfRule>
    <cfRule type="expression" dxfId="4609" priority="643">
      <formula>AND(CD32&gt;0,INDIRECT("Basistabelle!G" &amp; ($A$1+CE$1+CD32))&lt;="",INDIRECT("Basistabelle!H" &amp; ($A$1+CE$1+CD32))&gt;"")</formula>
    </cfRule>
  </conditionalFormatting>
  <conditionalFormatting sqref="CE33">
    <cfRule type="expression" dxfId="4608" priority="640">
      <formula>OR($A33="Sa",$A33="So")</formula>
    </cfRule>
    <cfRule type="expression" dxfId="4607" priority="641">
      <formula>AND(CD33&gt;0,INDIRECT("Basistabelle!G" &amp; ($A$1+CE$1+CD33))&lt;="",INDIRECT("Basistabelle!H" &amp; ($A$1+CE$1+CD33))&gt;"")</formula>
    </cfRule>
  </conditionalFormatting>
  <conditionalFormatting sqref="CE34">
    <cfRule type="expression" dxfId="4606" priority="638">
      <formula>OR($A34="Sa",$A34="So")</formula>
    </cfRule>
    <cfRule type="expression" dxfId="4605" priority="639">
      <formula>AND(CD34&gt;0,INDIRECT("Basistabelle!G" &amp; ($A$1+CE$1+CD34))&lt;="",INDIRECT("Basistabelle!H" &amp; ($A$1+CE$1+CD34))&gt;"")</formula>
    </cfRule>
  </conditionalFormatting>
  <conditionalFormatting sqref="CE35">
    <cfRule type="expression" dxfId="4604" priority="636">
      <formula>OR($A35="Sa",$A35="So")</formula>
    </cfRule>
    <cfRule type="expression" dxfId="4603" priority="637">
      <formula>AND(CD35&gt;0,INDIRECT("Basistabelle!G" &amp; ($A$1+CE$1+CD35))&lt;="",INDIRECT("Basistabelle!H" &amp; ($A$1+CE$1+CD35))&gt;"")</formula>
    </cfRule>
  </conditionalFormatting>
  <conditionalFormatting sqref="CE36">
    <cfRule type="expression" dxfId="4602" priority="634">
      <formula>OR($A36="Sa",$A36="So")</formula>
    </cfRule>
    <cfRule type="expression" dxfId="4601" priority="635">
      <formula>AND(CD36&gt;0,INDIRECT("Basistabelle!G" &amp; ($A$1+CE$1+CD36))&lt;="",INDIRECT("Basistabelle!H" &amp; ($A$1+CE$1+CD36))&gt;"")</formula>
    </cfRule>
  </conditionalFormatting>
  <conditionalFormatting sqref="CE37">
    <cfRule type="expression" dxfId="4600" priority="632">
      <formula>OR($A37="Sa",$A37="So")</formula>
    </cfRule>
    <cfRule type="expression" dxfId="4599" priority="633">
      <formula>AND(CD37&gt;0,INDIRECT("Basistabelle!G" &amp; ($A$1+CE$1+CD37))&lt;="",INDIRECT("Basistabelle!H" &amp; ($A$1+CE$1+CD37))&gt;"")</formula>
    </cfRule>
  </conditionalFormatting>
  <conditionalFormatting sqref="CE38">
    <cfRule type="expression" dxfId="4598" priority="630">
      <formula>OR($A38="Sa",$A38="So")</formula>
    </cfRule>
    <cfRule type="expression" dxfId="4597" priority="631">
      <formula>AND(CD38&gt;0,INDIRECT("Basistabelle!G" &amp; ($A$1+CE$1+CD38))&lt;="",INDIRECT("Basistabelle!H" &amp; ($A$1+CE$1+CD38))&gt;"")</formula>
    </cfRule>
  </conditionalFormatting>
  <conditionalFormatting sqref="CE39">
    <cfRule type="expression" dxfId="4596" priority="628">
      <formula>OR($A39="Sa",$A39="So")</formula>
    </cfRule>
    <cfRule type="expression" dxfId="4595" priority="629">
      <formula>AND(CD39&gt;0,INDIRECT("Basistabelle!G" &amp; ($A$1+CE$1+CD39))&lt;="",INDIRECT("Basistabelle!H" &amp; ($A$1+CE$1+CD39))&gt;"")</formula>
    </cfRule>
  </conditionalFormatting>
  <conditionalFormatting sqref="CE40">
    <cfRule type="expression" dxfId="4594" priority="626">
      <formula>OR($A40="Sa",$A40="So")</formula>
    </cfRule>
    <cfRule type="expression" dxfId="4593" priority="627">
      <formula>AND(CD40&gt;0,INDIRECT("Basistabelle!G" &amp; ($A$1+CE$1+CD40))&lt;="",INDIRECT("Basistabelle!H" &amp; ($A$1+CE$1+CD40))&gt;"")</formula>
    </cfRule>
  </conditionalFormatting>
  <conditionalFormatting sqref="CE41">
    <cfRule type="expression" dxfId="4592" priority="624">
      <formula>OR($A41="Sa",$A41="So")</formula>
    </cfRule>
    <cfRule type="expression" dxfId="4591" priority="625">
      <formula>AND(CD41&gt;0,INDIRECT("Basistabelle!G" &amp; ($A$1+CE$1+CD41))&lt;="",INDIRECT("Basistabelle!H" &amp; ($A$1+CE$1+CD41))&gt;"")</formula>
    </cfRule>
  </conditionalFormatting>
  <conditionalFormatting sqref="CM3">
    <cfRule type="expression" dxfId="4590" priority="622">
      <formula>OR($A3="Sa",$A3="So")</formula>
    </cfRule>
    <cfRule type="expression" dxfId="4589" priority="623">
      <formula>AND(CL3&gt;0,INDIRECT("Basistabelle!G" &amp; ($A$1+CM$1+CL3))&lt;="",INDIRECT("Basistabelle!H" &amp; ($A$1+CM$1+CL3))&gt;"")</formula>
    </cfRule>
  </conditionalFormatting>
  <conditionalFormatting sqref="CM4">
    <cfRule type="expression" dxfId="4588" priority="620">
      <formula>OR($A4="Sa",$A4="So")</formula>
    </cfRule>
    <cfRule type="expression" dxfId="4587" priority="621">
      <formula>AND(CL4&gt;0,INDIRECT("Basistabelle!G" &amp; ($A$1+CM$1+CL4))&lt;="",INDIRECT("Basistabelle!H" &amp; ($A$1+CM$1+CL4))&gt;"")</formula>
    </cfRule>
  </conditionalFormatting>
  <conditionalFormatting sqref="CM5">
    <cfRule type="expression" dxfId="4586" priority="618">
      <formula>OR($A5="Sa",$A5="So")</formula>
    </cfRule>
    <cfRule type="expression" dxfId="4585" priority="619">
      <formula>AND(CL5&gt;0,INDIRECT("Basistabelle!G" &amp; ($A$1+CM$1+CL5))&lt;="",INDIRECT("Basistabelle!H" &amp; ($A$1+CM$1+CL5))&gt;"")</formula>
    </cfRule>
  </conditionalFormatting>
  <conditionalFormatting sqref="CM6">
    <cfRule type="expression" dxfId="4584" priority="616">
      <formula>OR($A6="Sa",$A6="So")</formula>
    </cfRule>
    <cfRule type="expression" dxfId="4583" priority="617">
      <formula>AND(CL6&gt;0,INDIRECT("Basistabelle!G" &amp; ($A$1+CM$1+CL6))&lt;="",INDIRECT("Basistabelle!H" &amp; ($A$1+CM$1+CL6))&gt;"")</formula>
    </cfRule>
  </conditionalFormatting>
  <conditionalFormatting sqref="CM7">
    <cfRule type="expression" dxfId="4582" priority="614">
      <formula>OR($A7="Sa",$A7="So")</formula>
    </cfRule>
    <cfRule type="expression" dxfId="4581" priority="615">
      <formula>AND(CL7&gt;0,INDIRECT("Basistabelle!G" &amp; ($A$1+CM$1+CL7))&lt;="",INDIRECT("Basistabelle!H" &amp; ($A$1+CM$1+CL7))&gt;"")</formula>
    </cfRule>
  </conditionalFormatting>
  <conditionalFormatting sqref="CM8">
    <cfRule type="expression" dxfId="4580" priority="612">
      <formula>OR($A8="Sa",$A8="So")</formula>
    </cfRule>
    <cfRule type="expression" dxfId="4579" priority="613">
      <formula>AND(CL8&gt;0,INDIRECT("Basistabelle!G" &amp; ($A$1+CM$1+CL8))&lt;="",INDIRECT("Basistabelle!H" &amp; ($A$1+CM$1+CL8))&gt;"")</formula>
    </cfRule>
  </conditionalFormatting>
  <conditionalFormatting sqref="CM9">
    <cfRule type="expression" dxfId="4578" priority="610">
      <formula>OR($A9="Sa",$A9="So")</formula>
    </cfRule>
    <cfRule type="expression" dxfId="4577" priority="611">
      <formula>AND(CL9&gt;0,INDIRECT("Basistabelle!G" &amp; ($A$1+CM$1+CL9))&lt;="",INDIRECT("Basistabelle!H" &amp; ($A$1+CM$1+CL9))&gt;"")</formula>
    </cfRule>
  </conditionalFormatting>
  <conditionalFormatting sqref="CM10">
    <cfRule type="expression" dxfId="4576" priority="608">
      <formula>OR($A10="Sa",$A10="So")</formula>
    </cfRule>
    <cfRule type="expression" dxfId="4575" priority="609">
      <formula>AND(CL10&gt;0,INDIRECT("Basistabelle!G" &amp; ($A$1+CM$1+CL10))&lt;="",INDIRECT("Basistabelle!H" &amp; ($A$1+CM$1+CL10))&gt;"")</formula>
    </cfRule>
  </conditionalFormatting>
  <conditionalFormatting sqref="CM11">
    <cfRule type="expression" dxfId="4574" priority="606">
      <formula>OR($A11="Sa",$A11="So")</formula>
    </cfRule>
    <cfRule type="expression" dxfId="4573" priority="607">
      <formula>AND(CL11&gt;0,INDIRECT("Basistabelle!G" &amp; ($A$1+CM$1+CL11))&lt;="",INDIRECT("Basistabelle!H" &amp; ($A$1+CM$1+CL11))&gt;"")</formula>
    </cfRule>
  </conditionalFormatting>
  <conditionalFormatting sqref="CM12">
    <cfRule type="expression" dxfId="4572" priority="604">
      <formula>OR($A12="Sa",$A12="So")</formula>
    </cfRule>
    <cfRule type="expression" dxfId="4571" priority="605">
      <formula>AND(CL12&gt;0,INDIRECT("Basistabelle!G" &amp; ($A$1+CM$1+CL12))&lt;="",INDIRECT("Basistabelle!H" &amp; ($A$1+CM$1+CL12))&gt;"")</formula>
    </cfRule>
  </conditionalFormatting>
  <conditionalFormatting sqref="CM13">
    <cfRule type="expression" dxfId="4570" priority="602">
      <formula>OR($A13="Sa",$A13="So")</formula>
    </cfRule>
    <cfRule type="expression" dxfId="4569" priority="603">
      <formula>AND(CL13&gt;0,INDIRECT("Basistabelle!G" &amp; ($A$1+CM$1+CL13))&lt;="",INDIRECT("Basistabelle!H" &amp; ($A$1+CM$1+CL13))&gt;"")</formula>
    </cfRule>
  </conditionalFormatting>
  <conditionalFormatting sqref="CM14">
    <cfRule type="expression" dxfId="4568" priority="600">
      <formula>OR($A14="Sa",$A14="So")</formula>
    </cfRule>
    <cfRule type="expression" dxfId="4567" priority="601">
      <formula>AND(CL14&gt;0,INDIRECT("Basistabelle!G" &amp; ($A$1+CM$1+CL14))&lt;="",INDIRECT("Basistabelle!H" &amp; ($A$1+CM$1+CL14))&gt;"")</formula>
    </cfRule>
  </conditionalFormatting>
  <conditionalFormatting sqref="CM15">
    <cfRule type="expression" dxfId="4566" priority="598">
      <formula>OR($A15="Sa",$A15="So")</formula>
    </cfRule>
    <cfRule type="expression" dxfId="4565" priority="599">
      <formula>AND(CL15&gt;0,INDIRECT("Basistabelle!G" &amp; ($A$1+CM$1+CL15))&lt;="",INDIRECT("Basistabelle!H" &amp; ($A$1+CM$1+CL15))&gt;"")</formula>
    </cfRule>
  </conditionalFormatting>
  <conditionalFormatting sqref="CM16">
    <cfRule type="expression" dxfId="4564" priority="596">
      <formula>OR($A16="Sa",$A16="So")</formula>
    </cfRule>
    <cfRule type="expression" dxfId="4563" priority="597">
      <formula>AND(CL16&gt;0,INDIRECT("Basistabelle!G" &amp; ($A$1+CM$1+CL16))&lt;="",INDIRECT("Basistabelle!H" &amp; ($A$1+CM$1+CL16))&gt;"")</formula>
    </cfRule>
  </conditionalFormatting>
  <conditionalFormatting sqref="CM17">
    <cfRule type="expression" dxfId="4562" priority="594">
      <formula>OR($A17="Sa",$A17="So")</formula>
    </cfRule>
    <cfRule type="expression" dxfId="4561" priority="595">
      <formula>AND(CL17&gt;0,INDIRECT("Basistabelle!G" &amp; ($A$1+CM$1+CL17))&lt;="",INDIRECT("Basistabelle!H" &amp; ($A$1+CM$1+CL17))&gt;"")</formula>
    </cfRule>
  </conditionalFormatting>
  <conditionalFormatting sqref="CM18">
    <cfRule type="expression" dxfId="4560" priority="592">
      <formula>OR($A18="Sa",$A18="So")</formula>
    </cfRule>
    <cfRule type="expression" dxfId="4559" priority="593">
      <formula>AND(CL18&gt;0,INDIRECT("Basistabelle!G" &amp; ($A$1+CM$1+CL18))&lt;="",INDIRECT("Basistabelle!H" &amp; ($A$1+CM$1+CL18))&gt;"")</formula>
    </cfRule>
  </conditionalFormatting>
  <conditionalFormatting sqref="CM19">
    <cfRule type="expression" dxfId="4558" priority="590">
      <formula>OR($A19="Sa",$A19="So")</formula>
    </cfRule>
    <cfRule type="expression" dxfId="4557" priority="591">
      <formula>AND(CL19&gt;0,INDIRECT("Basistabelle!G" &amp; ($A$1+CM$1+CL19))&lt;="",INDIRECT("Basistabelle!H" &amp; ($A$1+CM$1+CL19))&gt;"")</formula>
    </cfRule>
  </conditionalFormatting>
  <conditionalFormatting sqref="CM20">
    <cfRule type="expression" dxfId="4556" priority="588">
      <formula>OR($A20="Sa",$A20="So")</formula>
    </cfRule>
    <cfRule type="expression" dxfId="4555" priority="589">
      <formula>AND(CL20&gt;0,INDIRECT("Basistabelle!G" &amp; ($A$1+CM$1+CL20))&lt;="",INDIRECT("Basistabelle!H" &amp; ($A$1+CM$1+CL20))&gt;"")</formula>
    </cfRule>
  </conditionalFormatting>
  <conditionalFormatting sqref="CM21">
    <cfRule type="expression" dxfId="4554" priority="586">
      <formula>OR($A21="Sa",$A21="So")</formula>
    </cfRule>
    <cfRule type="expression" dxfId="4553" priority="587">
      <formula>AND(CL21&gt;0,INDIRECT("Basistabelle!G" &amp; ($A$1+CM$1+CL21))&lt;="",INDIRECT("Basistabelle!H" &amp; ($A$1+CM$1+CL21))&gt;"")</formula>
    </cfRule>
  </conditionalFormatting>
  <conditionalFormatting sqref="CM22">
    <cfRule type="expression" dxfId="4552" priority="584">
      <formula>OR($A22="Sa",$A22="So")</formula>
    </cfRule>
    <cfRule type="expression" dxfId="4551" priority="585">
      <formula>AND(CL22&gt;0,INDIRECT("Basistabelle!G" &amp; ($A$1+CM$1+CL22))&lt;="",INDIRECT("Basistabelle!H" &amp; ($A$1+CM$1+CL22))&gt;"")</formula>
    </cfRule>
  </conditionalFormatting>
  <conditionalFormatting sqref="CM23">
    <cfRule type="expression" dxfId="4550" priority="582">
      <formula>OR($A23="Sa",$A23="So")</formula>
    </cfRule>
    <cfRule type="expression" dxfId="4549" priority="583">
      <formula>AND(CL23&gt;0,INDIRECT("Basistabelle!G" &amp; ($A$1+CM$1+CL23))&lt;="",INDIRECT("Basistabelle!H" &amp; ($A$1+CM$1+CL23))&gt;"")</formula>
    </cfRule>
  </conditionalFormatting>
  <conditionalFormatting sqref="CM24">
    <cfRule type="expression" dxfId="4548" priority="580">
      <formula>OR($A24="Sa",$A24="So")</formula>
    </cfRule>
    <cfRule type="expression" dxfId="4547" priority="581">
      <formula>AND(CL24&gt;0,INDIRECT("Basistabelle!G" &amp; ($A$1+CM$1+CL24))&lt;="",INDIRECT("Basistabelle!H" &amp; ($A$1+CM$1+CL24))&gt;"")</formula>
    </cfRule>
  </conditionalFormatting>
  <conditionalFormatting sqref="CM25">
    <cfRule type="expression" dxfId="4546" priority="578">
      <formula>OR($A25="Sa",$A25="So")</formula>
    </cfRule>
    <cfRule type="expression" dxfId="4545" priority="579">
      <formula>AND(CL25&gt;0,INDIRECT("Basistabelle!G" &amp; ($A$1+CM$1+CL25))&lt;="",INDIRECT("Basistabelle!H" &amp; ($A$1+CM$1+CL25))&gt;"")</formula>
    </cfRule>
  </conditionalFormatting>
  <conditionalFormatting sqref="CM26">
    <cfRule type="expression" dxfId="4544" priority="576">
      <formula>OR($A26="Sa",$A26="So")</formula>
    </cfRule>
    <cfRule type="expression" dxfId="4543" priority="577">
      <formula>AND(CL26&gt;0,INDIRECT("Basistabelle!G" &amp; ($A$1+CM$1+CL26))&lt;="",INDIRECT("Basistabelle!H" &amp; ($A$1+CM$1+CL26))&gt;"")</formula>
    </cfRule>
  </conditionalFormatting>
  <conditionalFormatting sqref="CM27">
    <cfRule type="expression" dxfId="4542" priority="574">
      <formula>OR($A27="Sa",$A27="So")</formula>
    </cfRule>
    <cfRule type="expression" dxfId="4541" priority="575">
      <formula>AND(CL27&gt;0,INDIRECT("Basistabelle!G" &amp; ($A$1+CM$1+CL27))&lt;="",INDIRECT("Basistabelle!H" &amp; ($A$1+CM$1+CL27))&gt;"")</formula>
    </cfRule>
  </conditionalFormatting>
  <conditionalFormatting sqref="CM28">
    <cfRule type="expression" dxfId="4540" priority="572">
      <formula>OR($A28="Sa",$A28="So")</formula>
    </cfRule>
    <cfRule type="expression" dxfId="4539" priority="573">
      <formula>AND(CL28&gt;0,INDIRECT("Basistabelle!G" &amp; ($A$1+CM$1+CL28))&lt;="",INDIRECT("Basistabelle!H" &amp; ($A$1+CM$1+CL28))&gt;"")</formula>
    </cfRule>
  </conditionalFormatting>
  <conditionalFormatting sqref="CM29">
    <cfRule type="expression" dxfId="4538" priority="570">
      <formula>OR($A29="Sa",$A29="So")</formula>
    </cfRule>
    <cfRule type="expression" dxfId="4537" priority="571">
      <formula>AND(CL29&gt;0,INDIRECT("Basistabelle!G" &amp; ($A$1+CM$1+CL29))&lt;="",INDIRECT("Basistabelle!H" &amp; ($A$1+CM$1+CL29))&gt;"")</formula>
    </cfRule>
  </conditionalFormatting>
  <conditionalFormatting sqref="CM30">
    <cfRule type="expression" dxfId="4536" priority="568">
      <formula>OR($A30="Sa",$A30="So")</formula>
    </cfRule>
    <cfRule type="expression" dxfId="4535" priority="569">
      <formula>AND(CL30&gt;0,INDIRECT("Basistabelle!G" &amp; ($A$1+CM$1+CL30))&lt;="",INDIRECT("Basistabelle!H" &amp; ($A$1+CM$1+CL30))&gt;"")</formula>
    </cfRule>
  </conditionalFormatting>
  <conditionalFormatting sqref="CM31">
    <cfRule type="expression" dxfId="4534" priority="566">
      <formula>OR($A31="Sa",$A31="So")</formula>
    </cfRule>
    <cfRule type="expression" dxfId="4533" priority="567">
      <formula>AND(CL31&gt;0,INDIRECT("Basistabelle!G" &amp; ($A$1+CM$1+CL31))&lt;="",INDIRECT("Basistabelle!H" &amp; ($A$1+CM$1+CL31))&gt;"")</formula>
    </cfRule>
  </conditionalFormatting>
  <conditionalFormatting sqref="CM32">
    <cfRule type="expression" dxfId="4532" priority="564">
      <formula>OR($A32="Sa",$A32="So")</formula>
    </cfRule>
    <cfRule type="expression" dxfId="4531" priority="565">
      <formula>AND(CL32&gt;0,INDIRECT("Basistabelle!G" &amp; ($A$1+CM$1+CL32))&lt;="",INDIRECT("Basistabelle!H" &amp; ($A$1+CM$1+CL32))&gt;"")</formula>
    </cfRule>
  </conditionalFormatting>
  <conditionalFormatting sqref="CM33">
    <cfRule type="expression" dxfId="4530" priority="562">
      <formula>OR($A33="Sa",$A33="So")</formula>
    </cfRule>
    <cfRule type="expression" dxfId="4529" priority="563">
      <formula>AND(CL33&gt;0,INDIRECT("Basistabelle!G" &amp; ($A$1+CM$1+CL33))&lt;="",INDIRECT("Basistabelle!H" &amp; ($A$1+CM$1+CL33))&gt;"")</formula>
    </cfRule>
  </conditionalFormatting>
  <conditionalFormatting sqref="CM34">
    <cfRule type="expression" dxfId="4528" priority="560">
      <formula>OR($A34="Sa",$A34="So")</formula>
    </cfRule>
    <cfRule type="expression" dxfId="4527" priority="561">
      <formula>AND(CL34&gt;0,INDIRECT("Basistabelle!G" &amp; ($A$1+CM$1+CL34))&lt;="",INDIRECT("Basistabelle!H" &amp; ($A$1+CM$1+CL34))&gt;"")</formula>
    </cfRule>
  </conditionalFormatting>
  <conditionalFormatting sqref="CM35">
    <cfRule type="expression" dxfId="4526" priority="558">
      <formula>OR($A35="Sa",$A35="So")</formula>
    </cfRule>
    <cfRule type="expression" dxfId="4525" priority="559">
      <formula>AND(CL35&gt;0,INDIRECT("Basistabelle!G" &amp; ($A$1+CM$1+CL35))&lt;="",INDIRECT("Basistabelle!H" &amp; ($A$1+CM$1+CL35))&gt;"")</formula>
    </cfRule>
  </conditionalFormatting>
  <conditionalFormatting sqref="CM36">
    <cfRule type="expression" dxfId="4524" priority="556">
      <formula>OR($A36="Sa",$A36="So")</formula>
    </cfRule>
    <cfRule type="expression" dxfId="4523" priority="557">
      <formula>AND(CL36&gt;0,INDIRECT("Basistabelle!G" &amp; ($A$1+CM$1+CL36))&lt;="",INDIRECT("Basistabelle!H" &amp; ($A$1+CM$1+CL36))&gt;"")</formula>
    </cfRule>
  </conditionalFormatting>
  <conditionalFormatting sqref="CM37">
    <cfRule type="expression" dxfId="4522" priority="554">
      <formula>OR($A37="Sa",$A37="So")</formula>
    </cfRule>
    <cfRule type="expression" dxfId="4521" priority="555">
      <formula>AND(CL37&gt;0,INDIRECT("Basistabelle!G" &amp; ($A$1+CM$1+CL37))&lt;="",INDIRECT("Basistabelle!H" &amp; ($A$1+CM$1+CL37))&gt;"")</formula>
    </cfRule>
  </conditionalFormatting>
  <conditionalFormatting sqref="CM38">
    <cfRule type="expression" dxfId="4520" priority="552">
      <formula>OR($A38="Sa",$A38="So")</formula>
    </cfRule>
    <cfRule type="expression" dxfId="4519" priority="553">
      <formula>AND(CL38&gt;0,INDIRECT("Basistabelle!G" &amp; ($A$1+CM$1+CL38))&lt;="",INDIRECT("Basistabelle!H" &amp; ($A$1+CM$1+CL38))&gt;"")</formula>
    </cfRule>
  </conditionalFormatting>
  <conditionalFormatting sqref="CM39">
    <cfRule type="expression" dxfId="4518" priority="550">
      <formula>OR($A39="Sa",$A39="So")</formula>
    </cfRule>
    <cfRule type="expression" dxfId="4517" priority="551">
      <formula>AND(CL39&gt;0,INDIRECT("Basistabelle!G" &amp; ($A$1+CM$1+CL39))&lt;="",INDIRECT("Basistabelle!H" &amp; ($A$1+CM$1+CL39))&gt;"")</formula>
    </cfRule>
  </conditionalFormatting>
  <conditionalFormatting sqref="CM40">
    <cfRule type="expression" dxfId="4516" priority="548">
      <formula>OR($A40="Sa",$A40="So")</formula>
    </cfRule>
    <cfRule type="expression" dxfId="4515" priority="549">
      <formula>AND(CL40&gt;0,INDIRECT("Basistabelle!G" &amp; ($A$1+CM$1+CL40))&lt;="",INDIRECT("Basistabelle!H" &amp; ($A$1+CM$1+CL40))&gt;"")</formula>
    </cfRule>
  </conditionalFormatting>
  <conditionalFormatting sqref="CM41">
    <cfRule type="expression" dxfId="4514" priority="546">
      <formula>OR($A41="Sa",$A41="So")</formula>
    </cfRule>
    <cfRule type="expression" dxfId="4513" priority="547">
      <formula>AND(CL41&gt;0,INDIRECT("Basistabelle!G" &amp; ($A$1+CM$1+CL41))&lt;="",INDIRECT("Basistabelle!H" &amp; ($A$1+CM$1+CL41))&gt;"")</formula>
    </cfRule>
  </conditionalFormatting>
  <conditionalFormatting sqref="BG3">
    <cfRule type="expression" dxfId="4512" priority="544">
      <formula>OR($A3="Sa",$A3="So")</formula>
    </cfRule>
    <cfRule type="expression" dxfId="4511" priority="545">
      <formula>AND(BF3&gt;0,INDIRECT("Basistabelle!G" &amp; ($A$1+BG$1+BF3))&lt;="",INDIRECT("Basistabelle!H" &amp; ($A$1+BG$1+BF3))&gt;"")</formula>
    </cfRule>
  </conditionalFormatting>
  <conditionalFormatting sqref="BG4">
    <cfRule type="expression" dxfId="4510" priority="542">
      <formula>OR($A4="Sa",$A4="So")</formula>
    </cfRule>
    <cfRule type="expression" dxfId="4509" priority="543">
      <formula>AND(BF4&gt;0,INDIRECT("Basistabelle!G" &amp; ($A$1+BG$1+BF4))&lt;="",INDIRECT("Basistabelle!H" &amp; ($A$1+BG$1+BF4))&gt;"")</formula>
    </cfRule>
  </conditionalFormatting>
  <conditionalFormatting sqref="BG5">
    <cfRule type="expression" dxfId="4508" priority="540">
      <formula>OR($A5="Sa",$A5="So")</formula>
    </cfRule>
    <cfRule type="expression" dxfId="4507" priority="541">
      <formula>AND(BF5&gt;0,INDIRECT("Basistabelle!G" &amp; ($A$1+BG$1+BF5))&lt;="",INDIRECT("Basistabelle!H" &amp; ($A$1+BG$1+BF5))&gt;"")</formula>
    </cfRule>
  </conditionalFormatting>
  <conditionalFormatting sqref="BG6">
    <cfRule type="expression" dxfId="4506" priority="538">
      <formula>OR($A6="Sa",$A6="So")</formula>
    </cfRule>
    <cfRule type="expression" dxfId="4505" priority="539">
      <formula>AND(BF6&gt;0,INDIRECT("Basistabelle!G" &amp; ($A$1+BG$1+BF6))&lt;="",INDIRECT("Basistabelle!H" &amp; ($A$1+BG$1+BF6))&gt;"")</formula>
    </cfRule>
  </conditionalFormatting>
  <conditionalFormatting sqref="BG7">
    <cfRule type="expression" dxfId="4504" priority="536">
      <formula>OR($A7="Sa",$A7="So")</formula>
    </cfRule>
    <cfRule type="expression" dxfId="4503" priority="537">
      <formula>AND(BF7&gt;0,INDIRECT("Basistabelle!G" &amp; ($A$1+BG$1+BF7))&lt;="",INDIRECT("Basistabelle!H" &amp; ($A$1+BG$1+BF7))&gt;"")</formula>
    </cfRule>
  </conditionalFormatting>
  <conditionalFormatting sqref="BG8">
    <cfRule type="expression" dxfId="4502" priority="534">
      <formula>OR($A8="Sa",$A8="So")</formula>
    </cfRule>
    <cfRule type="expression" dxfId="4501" priority="535">
      <formula>AND(BF8&gt;0,INDIRECT("Basistabelle!G" &amp; ($A$1+BG$1+BF8))&lt;="",INDIRECT("Basistabelle!H" &amp; ($A$1+BG$1+BF8))&gt;"")</formula>
    </cfRule>
  </conditionalFormatting>
  <conditionalFormatting sqref="BG9">
    <cfRule type="expression" dxfId="4500" priority="532">
      <formula>OR($A9="Sa",$A9="So")</formula>
    </cfRule>
    <cfRule type="expression" dxfId="4499" priority="533">
      <formula>AND(BF9&gt;0,INDIRECT("Basistabelle!G" &amp; ($A$1+BG$1+BF9))&lt;="",INDIRECT("Basistabelle!H" &amp; ($A$1+BG$1+BF9))&gt;"")</formula>
    </cfRule>
  </conditionalFormatting>
  <conditionalFormatting sqref="BG10">
    <cfRule type="expression" dxfId="4498" priority="530">
      <formula>OR($A10="Sa",$A10="So")</formula>
    </cfRule>
    <cfRule type="expression" dxfId="4497" priority="531">
      <formula>AND(BF10&gt;0,INDIRECT("Basistabelle!G" &amp; ($A$1+BG$1+BF10))&lt;="",INDIRECT("Basistabelle!H" &amp; ($A$1+BG$1+BF10))&gt;"")</formula>
    </cfRule>
  </conditionalFormatting>
  <conditionalFormatting sqref="BG11">
    <cfRule type="expression" dxfId="4496" priority="528">
      <formula>OR($A11="Sa",$A11="So")</formula>
    </cfRule>
    <cfRule type="expression" dxfId="4495" priority="529">
      <formula>AND(BF11&gt;0,INDIRECT("Basistabelle!G" &amp; ($A$1+BG$1+BF11))&lt;="",INDIRECT("Basistabelle!H" &amp; ($A$1+BG$1+BF11))&gt;"")</formula>
    </cfRule>
  </conditionalFormatting>
  <conditionalFormatting sqref="BG12">
    <cfRule type="expression" dxfId="4494" priority="526">
      <formula>OR($A12="Sa",$A12="So")</formula>
    </cfRule>
    <cfRule type="expression" dxfId="4493" priority="527">
      <formula>AND(BF12&gt;0,INDIRECT("Basistabelle!G" &amp; ($A$1+BG$1+BF12))&lt;="",INDIRECT("Basistabelle!H" &amp; ($A$1+BG$1+BF12))&gt;"")</formula>
    </cfRule>
  </conditionalFormatting>
  <conditionalFormatting sqref="BG13">
    <cfRule type="expression" dxfId="4492" priority="524">
      <formula>OR($A13="Sa",$A13="So")</formula>
    </cfRule>
    <cfRule type="expression" dxfId="4491" priority="525">
      <formula>AND(BF13&gt;0,INDIRECT("Basistabelle!G" &amp; ($A$1+BG$1+BF13))&lt;="",INDIRECT("Basistabelle!H" &amp; ($A$1+BG$1+BF13))&gt;"")</formula>
    </cfRule>
  </conditionalFormatting>
  <conditionalFormatting sqref="BG14">
    <cfRule type="expression" dxfId="4490" priority="522">
      <formula>OR($A14="Sa",$A14="So")</formula>
    </cfRule>
    <cfRule type="expression" dxfId="4489" priority="523">
      <formula>AND(BF14&gt;0,INDIRECT("Basistabelle!G" &amp; ($A$1+BG$1+BF14))&lt;="",INDIRECT("Basistabelle!H" &amp; ($A$1+BG$1+BF14))&gt;"")</formula>
    </cfRule>
  </conditionalFormatting>
  <conditionalFormatting sqref="BG15">
    <cfRule type="expression" dxfId="4488" priority="520">
      <formula>OR($A15="Sa",$A15="So")</formula>
    </cfRule>
    <cfRule type="expression" dxfId="4487" priority="521">
      <formula>AND(BF15&gt;0,INDIRECT("Basistabelle!G" &amp; ($A$1+BG$1+BF15))&lt;="",INDIRECT("Basistabelle!H" &amp; ($A$1+BG$1+BF15))&gt;"")</formula>
    </cfRule>
  </conditionalFormatting>
  <conditionalFormatting sqref="BG16">
    <cfRule type="expression" dxfId="4486" priority="518">
      <formula>OR($A16="Sa",$A16="So")</formula>
    </cfRule>
    <cfRule type="expression" dxfId="4485" priority="519">
      <formula>AND(BF16&gt;0,INDIRECT("Basistabelle!G" &amp; ($A$1+BG$1+BF16))&lt;="",INDIRECT("Basistabelle!H" &amp; ($A$1+BG$1+BF16))&gt;"")</formula>
    </cfRule>
  </conditionalFormatting>
  <conditionalFormatting sqref="BG17">
    <cfRule type="expression" dxfId="4484" priority="516">
      <formula>OR($A17="Sa",$A17="So")</formula>
    </cfRule>
    <cfRule type="expression" dxfId="4483" priority="517">
      <formula>AND(BF17&gt;0,INDIRECT("Basistabelle!G" &amp; ($A$1+BG$1+BF17))&lt;="",INDIRECT("Basistabelle!H" &amp; ($A$1+BG$1+BF17))&gt;"")</formula>
    </cfRule>
  </conditionalFormatting>
  <conditionalFormatting sqref="BG18">
    <cfRule type="expression" dxfId="4482" priority="514">
      <formula>OR($A18="Sa",$A18="So")</formula>
    </cfRule>
    <cfRule type="expression" dxfId="4481" priority="515">
      <formula>AND(BF18&gt;0,INDIRECT("Basistabelle!G" &amp; ($A$1+BG$1+BF18))&lt;="",INDIRECT("Basistabelle!H" &amp; ($A$1+BG$1+BF18))&gt;"")</formula>
    </cfRule>
  </conditionalFormatting>
  <conditionalFormatting sqref="BG19">
    <cfRule type="expression" dxfId="4480" priority="512">
      <formula>OR($A19="Sa",$A19="So")</formula>
    </cfRule>
    <cfRule type="expression" dxfId="4479" priority="513">
      <formula>AND(BF19&gt;0,INDIRECT("Basistabelle!G" &amp; ($A$1+BG$1+BF19))&lt;="",INDIRECT("Basistabelle!H" &amp; ($A$1+BG$1+BF19))&gt;"")</formula>
    </cfRule>
  </conditionalFormatting>
  <conditionalFormatting sqref="BG20">
    <cfRule type="expression" dxfId="4478" priority="510">
      <formula>OR($A20="Sa",$A20="So")</formula>
    </cfRule>
    <cfRule type="expression" dxfId="4477" priority="511">
      <formula>AND(BF20&gt;0,INDIRECT("Basistabelle!G" &amp; ($A$1+BG$1+BF20))&lt;="",INDIRECT("Basistabelle!H" &amp; ($A$1+BG$1+BF20))&gt;"")</formula>
    </cfRule>
  </conditionalFormatting>
  <conditionalFormatting sqref="BG21">
    <cfRule type="expression" dxfId="4476" priority="508">
      <formula>OR($A21="Sa",$A21="So")</formula>
    </cfRule>
    <cfRule type="expression" dxfId="4475" priority="509">
      <formula>AND(BF21&gt;0,INDIRECT("Basistabelle!G" &amp; ($A$1+BG$1+BF21))&lt;="",INDIRECT("Basistabelle!H" &amp; ($A$1+BG$1+BF21))&gt;"")</formula>
    </cfRule>
  </conditionalFormatting>
  <conditionalFormatting sqref="BG22">
    <cfRule type="expression" dxfId="4474" priority="506">
      <formula>OR($A22="Sa",$A22="So")</formula>
    </cfRule>
    <cfRule type="expression" dxfId="4473" priority="507">
      <formula>AND(BF22&gt;0,INDIRECT("Basistabelle!G" &amp; ($A$1+BG$1+BF22))&lt;="",INDIRECT("Basistabelle!H" &amp; ($A$1+BG$1+BF22))&gt;"")</formula>
    </cfRule>
  </conditionalFormatting>
  <conditionalFormatting sqref="BG23">
    <cfRule type="expression" dxfId="4472" priority="504">
      <formula>OR($A23="Sa",$A23="So")</formula>
    </cfRule>
    <cfRule type="expression" dxfId="4471" priority="505">
      <formula>AND(BF23&gt;0,INDIRECT("Basistabelle!G" &amp; ($A$1+BG$1+BF23))&lt;="",INDIRECT("Basistabelle!H" &amp; ($A$1+BG$1+BF23))&gt;"")</formula>
    </cfRule>
  </conditionalFormatting>
  <conditionalFormatting sqref="BG24">
    <cfRule type="expression" dxfId="4470" priority="502">
      <formula>OR($A24="Sa",$A24="So")</formula>
    </cfRule>
    <cfRule type="expression" dxfId="4469" priority="503">
      <formula>AND(BF24&gt;0,INDIRECT("Basistabelle!G" &amp; ($A$1+BG$1+BF24))&lt;="",INDIRECT("Basistabelle!H" &amp; ($A$1+BG$1+BF24))&gt;"")</formula>
    </cfRule>
  </conditionalFormatting>
  <conditionalFormatting sqref="BG25">
    <cfRule type="expression" dxfId="4468" priority="500">
      <formula>OR($A25="Sa",$A25="So")</formula>
    </cfRule>
    <cfRule type="expression" dxfId="4467" priority="501">
      <formula>AND(BF25&gt;0,INDIRECT("Basistabelle!G" &amp; ($A$1+BG$1+BF25))&lt;="",INDIRECT("Basistabelle!H" &amp; ($A$1+BG$1+BF25))&gt;"")</formula>
    </cfRule>
  </conditionalFormatting>
  <conditionalFormatting sqref="BG26">
    <cfRule type="expression" dxfId="4466" priority="498">
      <formula>OR($A26="Sa",$A26="So")</formula>
    </cfRule>
    <cfRule type="expression" dxfId="4465" priority="499">
      <formula>AND(BF26&gt;0,INDIRECT("Basistabelle!G" &amp; ($A$1+BG$1+BF26))&lt;="",INDIRECT("Basistabelle!H" &amp; ($A$1+BG$1+BF26))&gt;"")</formula>
    </cfRule>
  </conditionalFormatting>
  <conditionalFormatting sqref="BG27">
    <cfRule type="expression" dxfId="4464" priority="496">
      <formula>OR($A27="Sa",$A27="So")</formula>
    </cfRule>
    <cfRule type="expression" dxfId="4463" priority="497">
      <formula>AND(BF27&gt;0,INDIRECT("Basistabelle!G" &amp; ($A$1+BG$1+BF27))&lt;="",INDIRECT("Basistabelle!H" &amp; ($A$1+BG$1+BF27))&gt;"")</formula>
    </cfRule>
  </conditionalFormatting>
  <conditionalFormatting sqref="BG28">
    <cfRule type="expression" dxfId="4462" priority="494">
      <formula>OR($A28="Sa",$A28="So")</formula>
    </cfRule>
    <cfRule type="expression" dxfId="4461" priority="495">
      <formula>AND(BF28&gt;0,INDIRECT("Basistabelle!G" &amp; ($A$1+BG$1+BF28))&lt;="",INDIRECT("Basistabelle!H" &amp; ($A$1+BG$1+BF28))&gt;"")</formula>
    </cfRule>
  </conditionalFormatting>
  <conditionalFormatting sqref="BG29">
    <cfRule type="expression" dxfId="4460" priority="492">
      <formula>OR($A29="Sa",$A29="So")</formula>
    </cfRule>
    <cfRule type="expression" dxfId="4459" priority="493">
      <formula>AND(BF29&gt;0,INDIRECT("Basistabelle!G" &amp; ($A$1+BG$1+BF29))&lt;="",INDIRECT("Basistabelle!H" &amp; ($A$1+BG$1+BF29))&gt;"")</formula>
    </cfRule>
  </conditionalFormatting>
  <conditionalFormatting sqref="BG30">
    <cfRule type="expression" dxfId="4458" priority="490">
      <formula>OR($A30="Sa",$A30="So")</formula>
    </cfRule>
    <cfRule type="expression" dxfId="4457" priority="491">
      <formula>AND(BF30&gt;0,INDIRECT("Basistabelle!G" &amp; ($A$1+BG$1+BF30))&lt;="",INDIRECT("Basistabelle!H" &amp; ($A$1+BG$1+BF30))&gt;"")</formula>
    </cfRule>
  </conditionalFormatting>
  <conditionalFormatting sqref="BG31">
    <cfRule type="expression" dxfId="4456" priority="488">
      <formula>OR($A31="Sa",$A31="So")</formula>
    </cfRule>
    <cfRule type="expression" dxfId="4455" priority="489">
      <formula>AND(BF31&gt;0,INDIRECT("Basistabelle!G" &amp; ($A$1+BG$1+BF31))&lt;="",INDIRECT("Basistabelle!H" &amp; ($A$1+BG$1+BF31))&gt;"")</formula>
    </cfRule>
  </conditionalFormatting>
  <conditionalFormatting sqref="BG32">
    <cfRule type="expression" dxfId="4454" priority="486">
      <formula>OR($A32="Sa",$A32="So")</formula>
    </cfRule>
    <cfRule type="expression" dxfId="4453" priority="487">
      <formula>AND(BF32&gt;0,INDIRECT("Basistabelle!G" &amp; ($A$1+BG$1+BF32))&lt;="",INDIRECT("Basistabelle!H" &amp; ($A$1+BG$1+BF32))&gt;"")</formula>
    </cfRule>
  </conditionalFormatting>
  <conditionalFormatting sqref="BG33">
    <cfRule type="expression" dxfId="4452" priority="484">
      <formula>OR($A33="Sa",$A33="So")</formula>
    </cfRule>
    <cfRule type="expression" dxfId="4451" priority="485">
      <formula>AND(BF33&gt;0,INDIRECT("Basistabelle!G" &amp; ($A$1+BG$1+BF33))&lt;="",INDIRECT("Basistabelle!H" &amp; ($A$1+BG$1+BF33))&gt;"")</formula>
    </cfRule>
  </conditionalFormatting>
  <conditionalFormatting sqref="BG34">
    <cfRule type="expression" dxfId="4450" priority="482">
      <formula>OR($A34="Sa",$A34="So")</formula>
    </cfRule>
    <cfRule type="expression" dxfId="4449" priority="483">
      <formula>AND(BF34&gt;0,INDIRECT("Basistabelle!G" &amp; ($A$1+BG$1+BF34))&lt;="",INDIRECT("Basistabelle!H" &amp; ($A$1+BG$1+BF34))&gt;"")</formula>
    </cfRule>
  </conditionalFormatting>
  <conditionalFormatting sqref="BG35">
    <cfRule type="expression" dxfId="4448" priority="480">
      <formula>OR($A35="Sa",$A35="So")</formula>
    </cfRule>
    <cfRule type="expression" dxfId="4447" priority="481">
      <formula>AND(BF35&gt;0,INDIRECT("Basistabelle!G" &amp; ($A$1+BG$1+BF35))&lt;="",INDIRECT("Basistabelle!H" &amp; ($A$1+BG$1+BF35))&gt;"")</formula>
    </cfRule>
  </conditionalFormatting>
  <conditionalFormatting sqref="BG36">
    <cfRule type="expression" dxfId="4446" priority="478">
      <formula>OR($A36="Sa",$A36="So")</formula>
    </cfRule>
    <cfRule type="expression" dxfId="4445" priority="479">
      <formula>AND(BF36&gt;0,INDIRECT("Basistabelle!G" &amp; ($A$1+BG$1+BF36))&lt;="",INDIRECT("Basistabelle!H" &amp; ($A$1+BG$1+BF36))&gt;"")</formula>
    </cfRule>
  </conditionalFormatting>
  <conditionalFormatting sqref="BG37">
    <cfRule type="expression" dxfId="4444" priority="476">
      <formula>OR($A37="Sa",$A37="So")</formula>
    </cfRule>
    <cfRule type="expression" dxfId="4443" priority="477">
      <formula>AND(BF37&gt;0,INDIRECT("Basistabelle!G" &amp; ($A$1+BG$1+BF37))&lt;="",INDIRECT("Basistabelle!H" &amp; ($A$1+BG$1+BF37))&gt;"")</formula>
    </cfRule>
  </conditionalFormatting>
  <conditionalFormatting sqref="BG38">
    <cfRule type="expression" dxfId="4442" priority="474">
      <formula>OR($A38="Sa",$A38="So")</formula>
    </cfRule>
    <cfRule type="expression" dxfId="4441" priority="475">
      <formula>AND(BF38&gt;0,INDIRECT("Basistabelle!G" &amp; ($A$1+BG$1+BF38))&lt;="",INDIRECT("Basistabelle!H" &amp; ($A$1+BG$1+BF38))&gt;"")</formula>
    </cfRule>
  </conditionalFormatting>
  <conditionalFormatting sqref="BG39">
    <cfRule type="expression" dxfId="4440" priority="472">
      <formula>OR($A39="Sa",$A39="So")</formula>
    </cfRule>
    <cfRule type="expression" dxfId="4439" priority="473">
      <formula>AND(BF39&gt;0,INDIRECT("Basistabelle!G" &amp; ($A$1+BG$1+BF39))&lt;="",INDIRECT("Basistabelle!H" &amp; ($A$1+BG$1+BF39))&gt;"")</formula>
    </cfRule>
  </conditionalFormatting>
  <conditionalFormatting sqref="BG40">
    <cfRule type="expression" dxfId="4438" priority="470">
      <formula>OR($A40="Sa",$A40="So")</formula>
    </cfRule>
    <cfRule type="expression" dxfId="4437" priority="471">
      <formula>AND(BF40&gt;0,INDIRECT("Basistabelle!G" &amp; ($A$1+BG$1+BF40))&lt;="",INDIRECT("Basistabelle!H" &amp; ($A$1+BG$1+BF40))&gt;"")</formula>
    </cfRule>
  </conditionalFormatting>
  <conditionalFormatting sqref="BG41">
    <cfRule type="expression" dxfId="4436" priority="468">
      <formula>OR($A41="Sa",$A41="So")</formula>
    </cfRule>
    <cfRule type="expression" dxfId="4435" priority="469">
      <formula>AND(BF41&gt;0,INDIRECT("Basistabelle!G" &amp; ($A$1+BG$1+BF41))&lt;="",INDIRECT("Basistabelle!H" &amp; ($A$1+BG$1+BF41))&gt;"")</formula>
    </cfRule>
  </conditionalFormatting>
  <conditionalFormatting sqref="AY3">
    <cfRule type="expression" dxfId="4434" priority="466">
      <formula>OR($A3="Sa",$A3="So")</formula>
    </cfRule>
    <cfRule type="expression" dxfId="4433" priority="467">
      <formula>AND(AX3&gt;0,INDIRECT("Basistabelle!G" &amp; ($A$1+AY$1+AX3))&lt;="",INDIRECT("Basistabelle!H" &amp; ($A$1+AY$1+AX3))&gt;"")</formula>
    </cfRule>
  </conditionalFormatting>
  <conditionalFormatting sqref="AY4">
    <cfRule type="expression" dxfId="4432" priority="464">
      <formula>OR($A4="Sa",$A4="So")</formula>
    </cfRule>
    <cfRule type="expression" dxfId="4431" priority="465">
      <formula>AND(AX4&gt;0,INDIRECT("Basistabelle!G" &amp; ($A$1+AY$1+AX4))&lt;="",INDIRECT("Basistabelle!H" &amp; ($A$1+AY$1+AX4))&gt;"")</formula>
    </cfRule>
  </conditionalFormatting>
  <conditionalFormatting sqref="AY5">
    <cfRule type="expression" dxfId="4430" priority="462">
      <formula>OR($A5="Sa",$A5="So")</formula>
    </cfRule>
    <cfRule type="expression" dxfId="4429" priority="463">
      <formula>AND(AX5&gt;0,INDIRECT("Basistabelle!G" &amp; ($A$1+AY$1+AX5))&lt;="",INDIRECT("Basistabelle!H" &amp; ($A$1+AY$1+AX5))&gt;"")</formula>
    </cfRule>
  </conditionalFormatting>
  <conditionalFormatting sqref="AY6">
    <cfRule type="expression" dxfId="4428" priority="460">
      <formula>OR($A6="Sa",$A6="So")</formula>
    </cfRule>
    <cfRule type="expression" dxfId="4427" priority="461">
      <formula>AND(AX6&gt;0,INDIRECT("Basistabelle!G" &amp; ($A$1+AY$1+AX6))&lt;="",INDIRECT("Basistabelle!H" &amp; ($A$1+AY$1+AX6))&gt;"")</formula>
    </cfRule>
  </conditionalFormatting>
  <conditionalFormatting sqref="AY7">
    <cfRule type="expression" dxfId="4426" priority="458">
      <formula>OR($A7="Sa",$A7="So")</formula>
    </cfRule>
    <cfRule type="expression" dxfId="4425" priority="459">
      <formula>AND(AX7&gt;0,INDIRECT("Basistabelle!G" &amp; ($A$1+AY$1+AX7))&lt;="",INDIRECT("Basistabelle!H" &amp; ($A$1+AY$1+AX7))&gt;"")</formula>
    </cfRule>
  </conditionalFormatting>
  <conditionalFormatting sqref="AY8">
    <cfRule type="expression" dxfId="4424" priority="456">
      <formula>OR($A8="Sa",$A8="So")</formula>
    </cfRule>
    <cfRule type="expression" dxfId="4423" priority="457">
      <formula>AND(AX8&gt;0,INDIRECT("Basistabelle!G" &amp; ($A$1+AY$1+AX8))&lt;="",INDIRECT("Basistabelle!H" &amp; ($A$1+AY$1+AX8))&gt;"")</formula>
    </cfRule>
  </conditionalFormatting>
  <conditionalFormatting sqref="AY9">
    <cfRule type="expression" dxfId="4422" priority="454">
      <formula>OR($A9="Sa",$A9="So")</formula>
    </cfRule>
    <cfRule type="expression" dxfId="4421" priority="455">
      <formula>AND(AX9&gt;0,INDIRECT("Basistabelle!G" &amp; ($A$1+AY$1+AX9))&lt;="",INDIRECT("Basistabelle!H" &amp; ($A$1+AY$1+AX9))&gt;"")</formula>
    </cfRule>
  </conditionalFormatting>
  <conditionalFormatting sqref="AY10">
    <cfRule type="expression" dxfId="4420" priority="452">
      <formula>OR($A10="Sa",$A10="So")</formula>
    </cfRule>
    <cfRule type="expression" dxfId="4419" priority="453">
      <formula>AND(AX10&gt;0,INDIRECT("Basistabelle!G" &amp; ($A$1+AY$1+AX10))&lt;="",INDIRECT("Basistabelle!H" &amp; ($A$1+AY$1+AX10))&gt;"")</formula>
    </cfRule>
  </conditionalFormatting>
  <conditionalFormatting sqref="AY11">
    <cfRule type="expression" dxfId="4418" priority="450">
      <formula>OR($A11="Sa",$A11="So")</formula>
    </cfRule>
    <cfRule type="expression" dxfId="4417" priority="451">
      <formula>AND(AX11&gt;0,INDIRECT("Basistabelle!G" &amp; ($A$1+AY$1+AX11))&lt;="",INDIRECT("Basistabelle!H" &amp; ($A$1+AY$1+AX11))&gt;"")</formula>
    </cfRule>
  </conditionalFormatting>
  <conditionalFormatting sqref="AY12">
    <cfRule type="expression" dxfId="4416" priority="448">
      <formula>OR($A12="Sa",$A12="So")</formula>
    </cfRule>
    <cfRule type="expression" dxfId="4415" priority="449">
      <formula>AND(AX12&gt;0,INDIRECT("Basistabelle!G" &amp; ($A$1+AY$1+AX12))&lt;="",INDIRECT("Basistabelle!H" &amp; ($A$1+AY$1+AX12))&gt;"")</formula>
    </cfRule>
  </conditionalFormatting>
  <conditionalFormatting sqref="AY13">
    <cfRule type="expression" dxfId="4414" priority="446">
      <formula>OR($A13="Sa",$A13="So")</formula>
    </cfRule>
    <cfRule type="expression" dxfId="4413" priority="447">
      <formula>AND(AX13&gt;0,INDIRECT("Basistabelle!G" &amp; ($A$1+AY$1+AX13))&lt;="",INDIRECT("Basistabelle!H" &amp; ($A$1+AY$1+AX13))&gt;"")</formula>
    </cfRule>
  </conditionalFormatting>
  <conditionalFormatting sqref="AY14">
    <cfRule type="expression" dxfId="4412" priority="444">
      <formula>OR($A14="Sa",$A14="So")</formula>
    </cfRule>
    <cfRule type="expression" dxfId="4411" priority="445">
      <formula>AND(AX14&gt;0,INDIRECT("Basistabelle!G" &amp; ($A$1+AY$1+AX14))&lt;="",INDIRECT("Basistabelle!H" &amp; ($A$1+AY$1+AX14))&gt;"")</formula>
    </cfRule>
  </conditionalFormatting>
  <conditionalFormatting sqref="AY15">
    <cfRule type="expression" dxfId="4410" priority="442">
      <formula>OR($A15="Sa",$A15="So")</formula>
    </cfRule>
    <cfRule type="expression" dxfId="4409" priority="443">
      <formula>AND(AX15&gt;0,INDIRECT("Basistabelle!G" &amp; ($A$1+AY$1+AX15))&lt;="",INDIRECT("Basistabelle!H" &amp; ($A$1+AY$1+AX15))&gt;"")</formula>
    </cfRule>
  </conditionalFormatting>
  <conditionalFormatting sqref="AY16">
    <cfRule type="expression" dxfId="4408" priority="440">
      <formula>OR($A16="Sa",$A16="So")</formula>
    </cfRule>
    <cfRule type="expression" dxfId="4407" priority="441">
      <formula>AND(AX16&gt;0,INDIRECT("Basistabelle!G" &amp; ($A$1+AY$1+AX16))&lt;="",INDIRECT("Basistabelle!H" &amp; ($A$1+AY$1+AX16))&gt;"")</formula>
    </cfRule>
  </conditionalFormatting>
  <conditionalFormatting sqref="AY17">
    <cfRule type="expression" dxfId="4406" priority="438">
      <formula>OR($A17="Sa",$A17="So")</formula>
    </cfRule>
    <cfRule type="expression" dxfId="4405" priority="439">
      <formula>AND(AX17&gt;0,INDIRECT("Basistabelle!G" &amp; ($A$1+AY$1+AX17))&lt;="",INDIRECT("Basistabelle!H" &amp; ($A$1+AY$1+AX17))&gt;"")</formula>
    </cfRule>
  </conditionalFormatting>
  <conditionalFormatting sqref="AY18">
    <cfRule type="expression" dxfId="4404" priority="436">
      <formula>OR($A18="Sa",$A18="So")</formula>
    </cfRule>
    <cfRule type="expression" dxfId="4403" priority="437">
      <formula>AND(AX18&gt;0,INDIRECT("Basistabelle!G" &amp; ($A$1+AY$1+AX18))&lt;="",INDIRECT("Basistabelle!H" &amp; ($A$1+AY$1+AX18))&gt;"")</formula>
    </cfRule>
  </conditionalFormatting>
  <conditionalFormatting sqref="AY19">
    <cfRule type="expression" dxfId="4402" priority="434">
      <formula>OR($A19="Sa",$A19="So")</formula>
    </cfRule>
    <cfRule type="expression" dxfId="4401" priority="435">
      <formula>AND(AX19&gt;0,INDIRECT("Basistabelle!G" &amp; ($A$1+AY$1+AX19))&lt;="",INDIRECT("Basistabelle!H" &amp; ($A$1+AY$1+AX19))&gt;"")</formula>
    </cfRule>
  </conditionalFormatting>
  <conditionalFormatting sqref="AY20">
    <cfRule type="expression" dxfId="4400" priority="432">
      <formula>OR($A20="Sa",$A20="So")</formula>
    </cfRule>
    <cfRule type="expression" dxfId="4399" priority="433">
      <formula>AND(AX20&gt;0,INDIRECT("Basistabelle!G" &amp; ($A$1+AY$1+AX20))&lt;="",INDIRECT("Basistabelle!H" &amp; ($A$1+AY$1+AX20))&gt;"")</formula>
    </cfRule>
  </conditionalFormatting>
  <conditionalFormatting sqref="AY21">
    <cfRule type="expression" dxfId="4398" priority="430">
      <formula>OR($A21="Sa",$A21="So")</formula>
    </cfRule>
    <cfRule type="expression" dxfId="4397" priority="431">
      <formula>AND(AX21&gt;0,INDIRECT("Basistabelle!G" &amp; ($A$1+AY$1+AX21))&lt;="",INDIRECT("Basistabelle!H" &amp; ($A$1+AY$1+AX21))&gt;"")</formula>
    </cfRule>
  </conditionalFormatting>
  <conditionalFormatting sqref="AY22">
    <cfRule type="expression" dxfId="4396" priority="428">
      <formula>OR($A22="Sa",$A22="So")</formula>
    </cfRule>
    <cfRule type="expression" dxfId="4395" priority="429">
      <formula>AND(AX22&gt;0,INDIRECT("Basistabelle!G" &amp; ($A$1+AY$1+AX22))&lt;="",INDIRECT("Basistabelle!H" &amp; ($A$1+AY$1+AX22))&gt;"")</formula>
    </cfRule>
  </conditionalFormatting>
  <conditionalFormatting sqref="AY23">
    <cfRule type="expression" dxfId="4394" priority="426">
      <formula>OR($A23="Sa",$A23="So")</formula>
    </cfRule>
    <cfRule type="expression" dxfId="4393" priority="427">
      <formula>AND(AX23&gt;0,INDIRECT("Basistabelle!G" &amp; ($A$1+AY$1+AX23))&lt;="",INDIRECT("Basistabelle!H" &amp; ($A$1+AY$1+AX23))&gt;"")</formula>
    </cfRule>
  </conditionalFormatting>
  <conditionalFormatting sqref="AY24">
    <cfRule type="expression" dxfId="4392" priority="424">
      <formula>OR($A24="Sa",$A24="So")</formula>
    </cfRule>
    <cfRule type="expression" dxfId="4391" priority="425">
      <formula>AND(AX24&gt;0,INDIRECT("Basistabelle!G" &amp; ($A$1+AY$1+AX24))&lt;="",INDIRECT("Basistabelle!H" &amp; ($A$1+AY$1+AX24))&gt;"")</formula>
    </cfRule>
  </conditionalFormatting>
  <conditionalFormatting sqref="AY25">
    <cfRule type="expression" dxfId="4390" priority="422">
      <formula>OR($A25="Sa",$A25="So")</formula>
    </cfRule>
    <cfRule type="expression" dxfId="4389" priority="423">
      <formula>AND(AX25&gt;0,INDIRECT("Basistabelle!G" &amp; ($A$1+AY$1+AX25))&lt;="",INDIRECT("Basistabelle!H" &amp; ($A$1+AY$1+AX25))&gt;"")</formula>
    </cfRule>
  </conditionalFormatting>
  <conditionalFormatting sqref="AY26">
    <cfRule type="expression" dxfId="4388" priority="420">
      <formula>OR($A26="Sa",$A26="So")</formula>
    </cfRule>
    <cfRule type="expression" dxfId="4387" priority="421">
      <formula>AND(AX26&gt;0,INDIRECT("Basistabelle!G" &amp; ($A$1+AY$1+AX26))&lt;="",INDIRECT("Basistabelle!H" &amp; ($A$1+AY$1+AX26))&gt;"")</formula>
    </cfRule>
  </conditionalFormatting>
  <conditionalFormatting sqref="AY27">
    <cfRule type="expression" dxfId="4386" priority="418">
      <formula>OR($A27="Sa",$A27="So")</formula>
    </cfRule>
    <cfRule type="expression" dxfId="4385" priority="419">
      <formula>AND(AX27&gt;0,INDIRECT("Basistabelle!G" &amp; ($A$1+AY$1+AX27))&lt;="",INDIRECT("Basistabelle!H" &amp; ($A$1+AY$1+AX27))&gt;"")</formula>
    </cfRule>
  </conditionalFormatting>
  <conditionalFormatting sqref="AY28">
    <cfRule type="expression" dxfId="4384" priority="416">
      <formula>OR($A28="Sa",$A28="So")</formula>
    </cfRule>
    <cfRule type="expression" dxfId="4383" priority="417">
      <formula>AND(AX28&gt;0,INDIRECT("Basistabelle!G" &amp; ($A$1+AY$1+AX28))&lt;="",INDIRECT("Basistabelle!H" &amp; ($A$1+AY$1+AX28))&gt;"")</formula>
    </cfRule>
  </conditionalFormatting>
  <conditionalFormatting sqref="AY29">
    <cfRule type="expression" dxfId="4382" priority="414">
      <formula>OR($A29="Sa",$A29="So")</formula>
    </cfRule>
    <cfRule type="expression" dxfId="4381" priority="415">
      <formula>AND(AX29&gt;0,INDIRECT("Basistabelle!G" &amp; ($A$1+AY$1+AX29))&lt;="",INDIRECT("Basistabelle!H" &amp; ($A$1+AY$1+AX29))&gt;"")</formula>
    </cfRule>
  </conditionalFormatting>
  <conditionalFormatting sqref="AY30">
    <cfRule type="expression" dxfId="4380" priority="412">
      <formula>OR($A30="Sa",$A30="So")</formula>
    </cfRule>
    <cfRule type="expression" dxfId="4379" priority="413">
      <formula>AND(AX30&gt;0,INDIRECT("Basistabelle!G" &amp; ($A$1+AY$1+AX30))&lt;="",INDIRECT("Basistabelle!H" &amp; ($A$1+AY$1+AX30))&gt;"")</formula>
    </cfRule>
  </conditionalFormatting>
  <conditionalFormatting sqref="AY31">
    <cfRule type="expression" dxfId="4378" priority="410">
      <formula>OR($A31="Sa",$A31="So")</formula>
    </cfRule>
    <cfRule type="expression" dxfId="4377" priority="411">
      <formula>AND(AX31&gt;0,INDIRECT("Basistabelle!G" &amp; ($A$1+AY$1+AX31))&lt;="",INDIRECT("Basistabelle!H" &amp; ($A$1+AY$1+AX31))&gt;"")</formula>
    </cfRule>
  </conditionalFormatting>
  <conditionalFormatting sqref="AY32">
    <cfRule type="expression" dxfId="4376" priority="408">
      <formula>OR($A32="Sa",$A32="So")</formula>
    </cfRule>
    <cfRule type="expression" dxfId="4375" priority="409">
      <formula>AND(AX32&gt;0,INDIRECT("Basistabelle!G" &amp; ($A$1+AY$1+AX32))&lt;="",INDIRECT("Basistabelle!H" &amp; ($A$1+AY$1+AX32))&gt;"")</formula>
    </cfRule>
  </conditionalFormatting>
  <conditionalFormatting sqref="AY33">
    <cfRule type="expression" dxfId="4374" priority="406">
      <formula>OR($A33="Sa",$A33="So")</formula>
    </cfRule>
    <cfRule type="expression" dxfId="4373" priority="407">
      <formula>AND(AX33&gt;0,INDIRECT("Basistabelle!G" &amp; ($A$1+AY$1+AX33))&lt;="",INDIRECT("Basistabelle!H" &amp; ($A$1+AY$1+AX33))&gt;"")</formula>
    </cfRule>
  </conditionalFormatting>
  <conditionalFormatting sqref="AY34">
    <cfRule type="expression" dxfId="4372" priority="404">
      <formula>OR($A34="Sa",$A34="So")</formula>
    </cfRule>
    <cfRule type="expression" dxfId="4371" priority="405">
      <formula>AND(AX34&gt;0,INDIRECT("Basistabelle!G" &amp; ($A$1+AY$1+AX34))&lt;="",INDIRECT("Basistabelle!H" &amp; ($A$1+AY$1+AX34))&gt;"")</formula>
    </cfRule>
  </conditionalFormatting>
  <conditionalFormatting sqref="AY35">
    <cfRule type="expression" dxfId="4370" priority="402">
      <formula>OR($A35="Sa",$A35="So")</formula>
    </cfRule>
    <cfRule type="expression" dxfId="4369" priority="403">
      <formula>AND(AX35&gt;0,INDIRECT("Basistabelle!G" &amp; ($A$1+AY$1+AX35))&lt;="",INDIRECT("Basistabelle!H" &amp; ($A$1+AY$1+AX35))&gt;"")</formula>
    </cfRule>
  </conditionalFormatting>
  <conditionalFormatting sqref="AY36">
    <cfRule type="expression" dxfId="4368" priority="400">
      <formula>OR($A36="Sa",$A36="So")</formula>
    </cfRule>
    <cfRule type="expression" dxfId="4367" priority="401">
      <formula>AND(AX36&gt;0,INDIRECT("Basistabelle!G" &amp; ($A$1+AY$1+AX36))&lt;="",INDIRECT("Basistabelle!H" &amp; ($A$1+AY$1+AX36))&gt;"")</formula>
    </cfRule>
  </conditionalFormatting>
  <conditionalFormatting sqref="AY37">
    <cfRule type="expression" dxfId="4366" priority="398">
      <formula>OR($A37="Sa",$A37="So")</formula>
    </cfRule>
    <cfRule type="expression" dxfId="4365" priority="399">
      <formula>AND(AX37&gt;0,INDIRECT("Basistabelle!G" &amp; ($A$1+AY$1+AX37))&lt;="",INDIRECT("Basistabelle!H" &amp; ($A$1+AY$1+AX37))&gt;"")</formula>
    </cfRule>
  </conditionalFormatting>
  <conditionalFormatting sqref="AY38">
    <cfRule type="expression" dxfId="4364" priority="396">
      <formula>OR($A38="Sa",$A38="So")</formula>
    </cfRule>
    <cfRule type="expression" dxfId="4363" priority="397">
      <formula>AND(AX38&gt;0,INDIRECT("Basistabelle!G" &amp; ($A$1+AY$1+AX38))&lt;="",INDIRECT("Basistabelle!H" &amp; ($A$1+AY$1+AX38))&gt;"")</formula>
    </cfRule>
  </conditionalFormatting>
  <conditionalFormatting sqref="AY39">
    <cfRule type="expression" dxfId="4362" priority="394">
      <formula>OR($A39="Sa",$A39="So")</formula>
    </cfRule>
    <cfRule type="expression" dxfId="4361" priority="395">
      <formula>AND(AX39&gt;0,INDIRECT("Basistabelle!G" &amp; ($A$1+AY$1+AX39))&lt;="",INDIRECT("Basistabelle!H" &amp; ($A$1+AY$1+AX39))&gt;"")</formula>
    </cfRule>
  </conditionalFormatting>
  <conditionalFormatting sqref="AY40">
    <cfRule type="expression" dxfId="4360" priority="392">
      <formula>OR($A40="Sa",$A40="So")</formula>
    </cfRule>
    <cfRule type="expression" dxfId="4359" priority="393">
      <formula>AND(AX40&gt;0,INDIRECT("Basistabelle!G" &amp; ($A$1+AY$1+AX40))&lt;="",INDIRECT("Basistabelle!H" &amp; ($A$1+AY$1+AX40))&gt;"")</formula>
    </cfRule>
  </conditionalFormatting>
  <conditionalFormatting sqref="AY41">
    <cfRule type="expression" dxfId="4358" priority="390">
      <formula>OR($A41="Sa",$A41="So")</formula>
    </cfRule>
    <cfRule type="expression" dxfId="4357" priority="391">
      <formula>AND(AX41&gt;0,INDIRECT("Basistabelle!G" &amp; ($A$1+AY$1+AX41))&lt;="",INDIRECT("Basistabelle!H" &amp; ($A$1+AY$1+AX41))&gt;"")</formula>
    </cfRule>
  </conditionalFormatting>
  <conditionalFormatting sqref="AQ3">
    <cfRule type="expression" dxfId="4356" priority="388">
      <formula>OR($A3="Sa",$A3="So")</formula>
    </cfRule>
    <cfRule type="expression" dxfId="4355" priority="389">
      <formula>AND(AP3&gt;0,INDIRECT("Basistabelle!G" &amp; ($A$1+AQ$1+AP3))&lt;="",INDIRECT("Basistabelle!H" &amp; ($A$1+AQ$1+AP3))&gt;"")</formula>
    </cfRule>
  </conditionalFormatting>
  <conditionalFormatting sqref="AQ4">
    <cfRule type="expression" dxfId="4354" priority="386">
      <formula>OR($A4="Sa",$A4="So")</formula>
    </cfRule>
    <cfRule type="expression" dxfId="4353" priority="387">
      <formula>AND(AP4&gt;0,INDIRECT("Basistabelle!G" &amp; ($A$1+AQ$1+AP4))&lt;="",INDIRECT("Basistabelle!H" &amp; ($A$1+AQ$1+AP4))&gt;"")</formula>
    </cfRule>
  </conditionalFormatting>
  <conditionalFormatting sqref="AQ5">
    <cfRule type="expression" dxfId="4352" priority="384">
      <formula>OR($A5="Sa",$A5="So")</formula>
    </cfRule>
    <cfRule type="expression" dxfId="4351" priority="385">
      <formula>AND(AP5&gt;0,INDIRECT("Basistabelle!G" &amp; ($A$1+AQ$1+AP5))&lt;="",INDIRECT("Basistabelle!H" &amp; ($A$1+AQ$1+AP5))&gt;"")</formula>
    </cfRule>
  </conditionalFormatting>
  <conditionalFormatting sqref="AQ6">
    <cfRule type="expression" dxfId="4350" priority="382">
      <formula>OR($A6="Sa",$A6="So")</formula>
    </cfRule>
    <cfRule type="expression" dxfId="4349" priority="383">
      <formula>AND(AP6&gt;0,INDIRECT("Basistabelle!G" &amp; ($A$1+AQ$1+AP6))&lt;="",INDIRECT("Basistabelle!H" &amp; ($A$1+AQ$1+AP6))&gt;"")</formula>
    </cfRule>
  </conditionalFormatting>
  <conditionalFormatting sqref="AQ7">
    <cfRule type="expression" dxfId="4348" priority="380">
      <formula>OR($A7="Sa",$A7="So")</formula>
    </cfRule>
    <cfRule type="expression" dxfId="4347" priority="381">
      <formula>AND(AP7&gt;0,INDIRECT("Basistabelle!G" &amp; ($A$1+AQ$1+AP7))&lt;="",INDIRECT("Basistabelle!H" &amp; ($A$1+AQ$1+AP7))&gt;"")</formula>
    </cfRule>
  </conditionalFormatting>
  <conditionalFormatting sqref="AQ8">
    <cfRule type="expression" dxfId="4346" priority="378">
      <formula>OR($A8="Sa",$A8="So")</formula>
    </cfRule>
    <cfRule type="expression" dxfId="4345" priority="379">
      <formula>AND(AP8&gt;0,INDIRECT("Basistabelle!G" &amp; ($A$1+AQ$1+AP8))&lt;="",INDIRECT("Basistabelle!H" &amp; ($A$1+AQ$1+AP8))&gt;"")</formula>
    </cfRule>
  </conditionalFormatting>
  <conditionalFormatting sqref="AQ9">
    <cfRule type="expression" dxfId="4344" priority="376">
      <formula>OR($A9="Sa",$A9="So")</formula>
    </cfRule>
    <cfRule type="expression" dxfId="4343" priority="377">
      <formula>AND(AP9&gt;0,INDIRECT("Basistabelle!G" &amp; ($A$1+AQ$1+AP9))&lt;="",INDIRECT("Basistabelle!H" &amp; ($A$1+AQ$1+AP9))&gt;"")</formula>
    </cfRule>
  </conditionalFormatting>
  <conditionalFormatting sqref="AQ10">
    <cfRule type="expression" dxfId="4342" priority="374">
      <formula>OR($A10="Sa",$A10="So")</formula>
    </cfRule>
    <cfRule type="expression" dxfId="4341" priority="375">
      <formula>AND(AP10&gt;0,INDIRECT("Basistabelle!G" &amp; ($A$1+AQ$1+AP10))&lt;="",INDIRECT("Basistabelle!H" &amp; ($A$1+AQ$1+AP10))&gt;"")</formula>
    </cfRule>
  </conditionalFormatting>
  <conditionalFormatting sqref="AQ11">
    <cfRule type="expression" dxfId="4340" priority="372">
      <formula>OR($A11="Sa",$A11="So")</formula>
    </cfRule>
    <cfRule type="expression" dxfId="4339" priority="373">
      <formula>AND(AP11&gt;0,INDIRECT("Basistabelle!G" &amp; ($A$1+AQ$1+AP11))&lt;="",INDIRECT("Basistabelle!H" &amp; ($A$1+AQ$1+AP11))&gt;"")</formula>
    </cfRule>
  </conditionalFormatting>
  <conditionalFormatting sqref="AQ12">
    <cfRule type="expression" dxfId="4338" priority="370">
      <formula>OR($A12="Sa",$A12="So")</formula>
    </cfRule>
    <cfRule type="expression" dxfId="4337" priority="371">
      <formula>AND(AP12&gt;0,INDIRECT("Basistabelle!G" &amp; ($A$1+AQ$1+AP12))&lt;="",INDIRECT("Basistabelle!H" &amp; ($A$1+AQ$1+AP12))&gt;"")</formula>
    </cfRule>
  </conditionalFormatting>
  <conditionalFormatting sqref="AQ13">
    <cfRule type="expression" dxfId="4336" priority="368">
      <formula>OR($A13="Sa",$A13="So")</formula>
    </cfRule>
    <cfRule type="expression" dxfId="4335" priority="369">
      <formula>AND(AP13&gt;0,INDIRECT("Basistabelle!G" &amp; ($A$1+AQ$1+AP13))&lt;="",INDIRECT("Basistabelle!H" &amp; ($A$1+AQ$1+AP13))&gt;"")</formula>
    </cfRule>
  </conditionalFormatting>
  <conditionalFormatting sqref="AQ14">
    <cfRule type="expression" dxfId="4334" priority="366">
      <formula>OR($A14="Sa",$A14="So")</formula>
    </cfRule>
    <cfRule type="expression" dxfId="4333" priority="367">
      <formula>AND(AP14&gt;0,INDIRECT("Basistabelle!G" &amp; ($A$1+AQ$1+AP14))&lt;="",INDIRECT("Basistabelle!H" &amp; ($A$1+AQ$1+AP14))&gt;"")</formula>
    </cfRule>
  </conditionalFormatting>
  <conditionalFormatting sqref="AQ15">
    <cfRule type="expression" dxfId="4332" priority="364">
      <formula>OR($A15="Sa",$A15="So")</formula>
    </cfRule>
    <cfRule type="expression" dxfId="4331" priority="365">
      <formula>AND(AP15&gt;0,INDIRECT("Basistabelle!G" &amp; ($A$1+AQ$1+AP15))&lt;="",INDIRECT("Basistabelle!H" &amp; ($A$1+AQ$1+AP15))&gt;"")</formula>
    </cfRule>
  </conditionalFormatting>
  <conditionalFormatting sqref="AQ16">
    <cfRule type="expression" dxfId="4330" priority="362">
      <formula>OR($A16="Sa",$A16="So")</formula>
    </cfRule>
    <cfRule type="expression" dxfId="4329" priority="363">
      <formula>AND(AP16&gt;0,INDIRECT("Basistabelle!G" &amp; ($A$1+AQ$1+AP16))&lt;="",INDIRECT("Basistabelle!H" &amp; ($A$1+AQ$1+AP16))&gt;"")</formula>
    </cfRule>
  </conditionalFormatting>
  <conditionalFormatting sqref="AQ17">
    <cfRule type="expression" dxfId="4328" priority="360">
      <formula>OR($A17="Sa",$A17="So")</formula>
    </cfRule>
    <cfRule type="expression" dxfId="4327" priority="361">
      <formula>AND(AP17&gt;0,INDIRECT("Basistabelle!G" &amp; ($A$1+AQ$1+AP17))&lt;="",INDIRECT("Basistabelle!H" &amp; ($A$1+AQ$1+AP17))&gt;"")</formula>
    </cfRule>
  </conditionalFormatting>
  <conditionalFormatting sqref="AQ18">
    <cfRule type="expression" dxfId="4326" priority="358">
      <formula>OR($A18="Sa",$A18="So")</formula>
    </cfRule>
    <cfRule type="expression" dxfId="4325" priority="359">
      <formula>AND(AP18&gt;0,INDIRECT("Basistabelle!G" &amp; ($A$1+AQ$1+AP18))&lt;="",INDIRECT("Basistabelle!H" &amp; ($A$1+AQ$1+AP18))&gt;"")</formula>
    </cfRule>
  </conditionalFormatting>
  <conditionalFormatting sqref="AQ19">
    <cfRule type="expression" dxfId="4324" priority="356">
      <formula>OR($A19="Sa",$A19="So")</formula>
    </cfRule>
    <cfRule type="expression" dxfId="4323" priority="357">
      <formula>AND(AP19&gt;0,INDIRECT("Basistabelle!G" &amp; ($A$1+AQ$1+AP19))&lt;="",INDIRECT("Basistabelle!H" &amp; ($A$1+AQ$1+AP19))&gt;"")</formula>
    </cfRule>
  </conditionalFormatting>
  <conditionalFormatting sqref="AQ20">
    <cfRule type="expression" dxfId="4322" priority="354">
      <formula>OR($A20="Sa",$A20="So")</formula>
    </cfRule>
    <cfRule type="expression" dxfId="4321" priority="355">
      <formula>AND(AP20&gt;0,INDIRECT("Basistabelle!G" &amp; ($A$1+AQ$1+AP20))&lt;="",INDIRECT("Basistabelle!H" &amp; ($A$1+AQ$1+AP20))&gt;"")</formula>
    </cfRule>
  </conditionalFormatting>
  <conditionalFormatting sqref="AQ21">
    <cfRule type="expression" dxfId="4320" priority="352">
      <formula>OR($A21="Sa",$A21="So")</formula>
    </cfRule>
    <cfRule type="expression" dxfId="4319" priority="353">
      <formula>AND(AP21&gt;0,INDIRECT("Basistabelle!G" &amp; ($A$1+AQ$1+AP21))&lt;="",INDIRECT("Basistabelle!H" &amp; ($A$1+AQ$1+AP21))&gt;"")</formula>
    </cfRule>
  </conditionalFormatting>
  <conditionalFormatting sqref="AQ22">
    <cfRule type="expression" dxfId="4318" priority="350">
      <formula>OR($A22="Sa",$A22="So")</formula>
    </cfRule>
    <cfRule type="expression" dxfId="4317" priority="351">
      <formula>AND(AP22&gt;0,INDIRECT("Basistabelle!G" &amp; ($A$1+AQ$1+AP22))&lt;="",INDIRECT("Basistabelle!H" &amp; ($A$1+AQ$1+AP22))&gt;"")</formula>
    </cfRule>
  </conditionalFormatting>
  <conditionalFormatting sqref="AQ23">
    <cfRule type="expression" dxfId="4316" priority="348">
      <formula>OR($A23="Sa",$A23="So")</formula>
    </cfRule>
    <cfRule type="expression" dxfId="4315" priority="349">
      <formula>AND(AP23&gt;0,INDIRECT("Basistabelle!G" &amp; ($A$1+AQ$1+AP23))&lt;="",INDIRECT("Basistabelle!H" &amp; ($A$1+AQ$1+AP23))&gt;"")</formula>
    </cfRule>
  </conditionalFormatting>
  <conditionalFormatting sqref="AQ24">
    <cfRule type="expression" dxfId="4314" priority="346">
      <formula>OR($A24="Sa",$A24="So")</formula>
    </cfRule>
    <cfRule type="expression" dxfId="4313" priority="347">
      <formula>AND(AP24&gt;0,INDIRECT("Basistabelle!G" &amp; ($A$1+AQ$1+AP24))&lt;="",INDIRECT("Basistabelle!H" &amp; ($A$1+AQ$1+AP24))&gt;"")</formula>
    </cfRule>
  </conditionalFormatting>
  <conditionalFormatting sqref="AQ25">
    <cfRule type="expression" dxfId="4312" priority="344">
      <formula>OR($A25="Sa",$A25="So")</formula>
    </cfRule>
    <cfRule type="expression" dxfId="4311" priority="345">
      <formula>AND(AP25&gt;0,INDIRECT("Basistabelle!G" &amp; ($A$1+AQ$1+AP25))&lt;="",INDIRECT("Basistabelle!H" &amp; ($A$1+AQ$1+AP25))&gt;"")</formula>
    </cfRule>
  </conditionalFormatting>
  <conditionalFormatting sqref="AQ26">
    <cfRule type="expression" dxfId="4310" priority="342">
      <formula>OR($A26="Sa",$A26="So")</formula>
    </cfRule>
    <cfRule type="expression" dxfId="4309" priority="343">
      <formula>AND(AP26&gt;0,INDIRECT("Basistabelle!G" &amp; ($A$1+AQ$1+AP26))&lt;="",INDIRECT("Basistabelle!H" &amp; ($A$1+AQ$1+AP26))&gt;"")</formula>
    </cfRule>
  </conditionalFormatting>
  <conditionalFormatting sqref="AQ27">
    <cfRule type="expression" dxfId="4308" priority="340">
      <formula>OR($A27="Sa",$A27="So")</formula>
    </cfRule>
    <cfRule type="expression" dxfId="4307" priority="341">
      <formula>AND(AP27&gt;0,INDIRECT("Basistabelle!G" &amp; ($A$1+AQ$1+AP27))&lt;="",INDIRECT("Basistabelle!H" &amp; ($A$1+AQ$1+AP27))&gt;"")</formula>
    </cfRule>
  </conditionalFormatting>
  <conditionalFormatting sqref="AQ28">
    <cfRule type="expression" dxfId="4306" priority="338">
      <formula>OR($A28="Sa",$A28="So")</formula>
    </cfRule>
    <cfRule type="expression" dxfId="4305" priority="339">
      <formula>AND(AP28&gt;0,INDIRECT("Basistabelle!G" &amp; ($A$1+AQ$1+AP28))&lt;="",INDIRECT("Basistabelle!H" &amp; ($A$1+AQ$1+AP28))&gt;"")</formula>
    </cfRule>
  </conditionalFormatting>
  <conditionalFormatting sqref="AQ29">
    <cfRule type="expression" dxfId="4304" priority="336">
      <formula>OR($A29="Sa",$A29="So")</formula>
    </cfRule>
    <cfRule type="expression" dxfId="4303" priority="337">
      <formula>AND(AP29&gt;0,INDIRECT("Basistabelle!G" &amp; ($A$1+AQ$1+AP29))&lt;="",INDIRECT("Basistabelle!H" &amp; ($A$1+AQ$1+AP29))&gt;"")</formula>
    </cfRule>
  </conditionalFormatting>
  <conditionalFormatting sqref="AQ30">
    <cfRule type="expression" dxfId="4302" priority="334">
      <formula>OR($A30="Sa",$A30="So")</formula>
    </cfRule>
    <cfRule type="expression" dxfId="4301" priority="335">
      <formula>AND(AP30&gt;0,INDIRECT("Basistabelle!G" &amp; ($A$1+AQ$1+AP30))&lt;="",INDIRECT("Basistabelle!H" &amp; ($A$1+AQ$1+AP30))&gt;"")</formula>
    </cfRule>
  </conditionalFormatting>
  <conditionalFormatting sqref="AQ31">
    <cfRule type="expression" dxfId="4300" priority="332">
      <formula>OR($A31="Sa",$A31="So")</formula>
    </cfRule>
    <cfRule type="expression" dxfId="4299" priority="333">
      <formula>AND(AP31&gt;0,INDIRECT("Basistabelle!G" &amp; ($A$1+AQ$1+AP31))&lt;="",INDIRECT("Basistabelle!H" &amp; ($A$1+AQ$1+AP31))&gt;"")</formula>
    </cfRule>
  </conditionalFormatting>
  <conditionalFormatting sqref="AQ32">
    <cfRule type="expression" dxfId="4298" priority="330">
      <formula>OR($A32="Sa",$A32="So")</formula>
    </cfRule>
    <cfRule type="expression" dxfId="4297" priority="331">
      <formula>AND(AP32&gt;0,INDIRECT("Basistabelle!G" &amp; ($A$1+AQ$1+AP32))&lt;="",INDIRECT("Basistabelle!H" &amp; ($A$1+AQ$1+AP32))&gt;"")</formula>
    </cfRule>
  </conditionalFormatting>
  <conditionalFormatting sqref="AQ33">
    <cfRule type="expression" dxfId="4296" priority="328">
      <formula>OR($A33="Sa",$A33="So")</formula>
    </cfRule>
    <cfRule type="expression" dxfId="4295" priority="329">
      <formula>AND(AP33&gt;0,INDIRECT("Basistabelle!G" &amp; ($A$1+AQ$1+AP33))&lt;="",INDIRECT("Basistabelle!H" &amp; ($A$1+AQ$1+AP33))&gt;"")</formula>
    </cfRule>
  </conditionalFormatting>
  <conditionalFormatting sqref="AQ34">
    <cfRule type="expression" dxfId="4294" priority="326">
      <formula>OR($A34="Sa",$A34="So")</formula>
    </cfRule>
    <cfRule type="expression" dxfId="4293" priority="327">
      <formula>AND(AP34&gt;0,INDIRECT("Basistabelle!G" &amp; ($A$1+AQ$1+AP34))&lt;="",INDIRECT("Basistabelle!H" &amp; ($A$1+AQ$1+AP34))&gt;"")</formula>
    </cfRule>
  </conditionalFormatting>
  <conditionalFormatting sqref="AQ35">
    <cfRule type="expression" dxfId="4292" priority="324">
      <formula>OR($A35="Sa",$A35="So")</formula>
    </cfRule>
    <cfRule type="expression" dxfId="4291" priority="325">
      <formula>AND(AP35&gt;0,INDIRECT("Basistabelle!G" &amp; ($A$1+AQ$1+AP35))&lt;="",INDIRECT("Basistabelle!H" &amp; ($A$1+AQ$1+AP35))&gt;"")</formula>
    </cfRule>
  </conditionalFormatting>
  <conditionalFormatting sqref="AQ36">
    <cfRule type="expression" dxfId="4290" priority="322">
      <formula>OR($A36="Sa",$A36="So")</formula>
    </cfRule>
    <cfRule type="expression" dxfId="4289" priority="323">
      <formula>AND(AP36&gt;0,INDIRECT("Basistabelle!G" &amp; ($A$1+AQ$1+AP36))&lt;="",INDIRECT("Basistabelle!H" &amp; ($A$1+AQ$1+AP36))&gt;"")</formula>
    </cfRule>
  </conditionalFormatting>
  <conditionalFormatting sqref="AQ37">
    <cfRule type="expression" dxfId="4288" priority="320">
      <formula>OR($A37="Sa",$A37="So")</formula>
    </cfRule>
    <cfRule type="expression" dxfId="4287" priority="321">
      <formula>AND(AP37&gt;0,INDIRECT("Basistabelle!G" &amp; ($A$1+AQ$1+AP37))&lt;="",INDIRECT("Basistabelle!H" &amp; ($A$1+AQ$1+AP37))&gt;"")</formula>
    </cfRule>
  </conditionalFormatting>
  <conditionalFormatting sqref="AQ38">
    <cfRule type="expression" dxfId="4286" priority="318">
      <formula>OR($A38="Sa",$A38="So")</formula>
    </cfRule>
    <cfRule type="expression" dxfId="4285" priority="319">
      <formula>AND(AP38&gt;0,INDIRECT("Basistabelle!G" &amp; ($A$1+AQ$1+AP38))&lt;="",INDIRECT("Basistabelle!H" &amp; ($A$1+AQ$1+AP38))&gt;"")</formula>
    </cfRule>
  </conditionalFormatting>
  <conditionalFormatting sqref="AQ39">
    <cfRule type="expression" dxfId="4284" priority="316">
      <formula>OR($A39="Sa",$A39="So")</formula>
    </cfRule>
    <cfRule type="expression" dxfId="4283" priority="317">
      <formula>AND(AP39&gt;0,INDIRECT("Basistabelle!G" &amp; ($A$1+AQ$1+AP39))&lt;="",INDIRECT("Basistabelle!H" &amp; ($A$1+AQ$1+AP39))&gt;"")</formula>
    </cfRule>
  </conditionalFormatting>
  <conditionalFormatting sqref="AI3">
    <cfRule type="expression" dxfId="4282" priority="314">
      <formula>OR($A3="Sa",$A3="So")</formula>
    </cfRule>
    <cfRule type="expression" dxfId="4281" priority="315">
      <formula>AND(AH3&gt;0,INDIRECT("Basistabelle!G" &amp; ($A$1+AI$1+AH3))&lt;="",INDIRECT("Basistabelle!H" &amp; ($A$1+AI$1+AH3))&gt;"")</formula>
    </cfRule>
  </conditionalFormatting>
  <conditionalFormatting sqref="AI6">
    <cfRule type="expression" dxfId="4280" priority="312">
      <formula>OR($A6="Sa",$A6="So")</formula>
    </cfRule>
    <cfRule type="expression" dxfId="4279" priority="313">
      <formula>AND(AH6&gt;0,INDIRECT("Basistabelle!G" &amp; ($A$1+AI$1+AH6))&lt;="",INDIRECT("Basistabelle!H" &amp; ($A$1+AI$1+AH6))&gt;"")</formula>
    </cfRule>
  </conditionalFormatting>
  <conditionalFormatting sqref="AI7">
    <cfRule type="expression" dxfId="4278" priority="310">
      <formula>OR($A7="Sa",$A7="So")</formula>
    </cfRule>
    <cfRule type="expression" dxfId="4277" priority="311">
      <formula>AND(AH7&gt;0,INDIRECT("Basistabelle!G" &amp; ($A$1+AI$1+AH7))&lt;="",INDIRECT("Basistabelle!H" &amp; ($A$1+AI$1+AH7))&gt;"")</formula>
    </cfRule>
  </conditionalFormatting>
  <conditionalFormatting sqref="AI8">
    <cfRule type="expression" dxfId="4276" priority="308">
      <formula>OR($A8="Sa",$A8="So")</formula>
    </cfRule>
    <cfRule type="expression" dxfId="4275" priority="309">
      <formula>AND(AH8&gt;0,INDIRECT("Basistabelle!G" &amp; ($A$1+AI$1+AH8))&lt;="",INDIRECT("Basistabelle!H" &amp; ($A$1+AI$1+AH8))&gt;"")</formula>
    </cfRule>
  </conditionalFormatting>
  <conditionalFormatting sqref="AI9">
    <cfRule type="expression" dxfId="4274" priority="306">
      <formula>OR($A9="Sa",$A9="So")</formula>
    </cfRule>
    <cfRule type="expression" dxfId="4273" priority="307">
      <formula>AND(AH9&gt;0,INDIRECT("Basistabelle!G" &amp; ($A$1+AI$1+AH9))&lt;="",INDIRECT("Basistabelle!H" &amp; ($A$1+AI$1+AH9))&gt;"")</formula>
    </cfRule>
  </conditionalFormatting>
  <conditionalFormatting sqref="AI10">
    <cfRule type="expression" dxfId="4272" priority="304">
      <formula>OR($A10="Sa",$A10="So")</formula>
    </cfRule>
    <cfRule type="expression" dxfId="4271" priority="305">
      <formula>AND(AH10&gt;0,INDIRECT("Basistabelle!G" &amp; ($A$1+AI$1+AH10))&lt;="",INDIRECT("Basistabelle!H" &amp; ($A$1+AI$1+AH10))&gt;"")</formula>
    </cfRule>
  </conditionalFormatting>
  <conditionalFormatting sqref="AI11">
    <cfRule type="expression" dxfId="4270" priority="302">
      <formula>OR($A11="Sa",$A11="So")</formula>
    </cfRule>
    <cfRule type="expression" dxfId="4269" priority="303">
      <formula>AND(AH11&gt;0,INDIRECT("Basistabelle!G" &amp; ($A$1+AI$1+AH11))&lt;="",INDIRECT("Basistabelle!H" &amp; ($A$1+AI$1+AH11))&gt;"")</formula>
    </cfRule>
  </conditionalFormatting>
  <conditionalFormatting sqref="AI12">
    <cfRule type="expression" dxfId="4268" priority="300">
      <formula>OR($A12="Sa",$A12="So")</formula>
    </cfRule>
    <cfRule type="expression" dxfId="4267" priority="301">
      <formula>AND(AH12&gt;0,INDIRECT("Basistabelle!G" &amp; ($A$1+AI$1+AH12))&lt;="",INDIRECT("Basistabelle!H" &amp; ($A$1+AI$1+AH12))&gt;"")</formula>
    </cfRule>
  </conditionalFormatting>
  <conditionalFormatting sqref="AI13">
    <cfRule type="expression" dxfId="4266" priority="298">
      <formula>OR($A13="Sa",$A13="So")</formula>
    </cfRule>
    <cfRule type="expression" dxfId="4265" priority="299">
      <formula>AND(AH13&gt;0,INDIRECT("Basistabelle!G" &amp; ($A$1+AI$1+AH13))&lt;="",INDIRECT("Basistabelle!H" &amp; ($A$1+AI$1+AH13))&gt;"")</formula>
    </cfRule>
  </conditionalFormatting>
  <conditionalFormatting sqref="AI14">
    <cfRule type="expression" dxfId="4264" priority="296">
      <formula>OR($A14="Sa",$A14="So")</formula>
    </cfRule>
    <cfRule type="expression" dxfId="4263" priority="297">
      <formula>AND(AH14&gt;0,INDIRECT("Basistabelle!G" &amp; ($A$1+AI$1+AH14))&lt;="",INDIRECT("Basistabelle!H" &amp; ($A$1+AI$1+AH14))&gt;"")</formula>
    </cfRule>
  </conditionalFormatting>
  <conditionalFormatting sqref="AI15">
    <cfRule type="expression" dxfId="4262" priority="294">
      <formula>OR($A15="Sa",$A15="So")</formula>
    </cfRule>
    <cfRule type="expression" dxfId="4261" priority="295">
      <formula>AND(AH15&gt;0,INDIRECT("Basistabelle!G" &amp; ($A$1+AI$1+AH15))&lt;="",INDIRECT("Basistabelle!H" &amp; ($A$1+AI$1+AH15))&gt;"")</formula>
    </cfRule>
  </conditionalFormatting>
  <conditionalFormatting sqref="AI16">
    <cfRule type="expression" dxfId="4260" priority="292">
      <formula>OR($A16="Sa",$A16="So")</formula>
    </cfRule>
    <cfRule type="expression" dxfId="4259" priority="293">
      <formula>AND(AH16&gt;0,INDIRECT("Basistabelle!G" &amp; ($A$1+AI$1+AH16))&lt;="",INDIRECT("Basistabelle!H" &amp; ($A$1+AI$1+AH16))&gt;"")</formula>
    </cfRule>
  </conditionalFormatting>
  <conditionalFormatting sqref="AI17">
    <cfRule type="expression" dxfId="4258" priority="290">
      <formula>OR($A17="Sa",$A17="So")</formula>
    </cfRule>
    <cfRule type="expression" dxfId="4257" priority="291">
      <formula>AND(AH17&gt;0,INDIRECT("Basistabelle!G" &amp; ($A$1+AI$1+AH17))&lt;="",INDIRECT("Basistabelle!H" &amp; ($A$1+AI$1+AH17))&gt;"")</formula>
    </cfRule>
  </conditionalFormatting>
  <conditionalFormatting sqref="AI18">
    <cfRule type="expression" dxfId="4256" priority="288">
      <formula>OR($A18="Sa",$A18="So")</formula>
    </cfRule>
    <cfRule type="expression" dxfId="4255" priority="289">
      <formula>AND(AH18&gt;0,INDIRECT("Basistabelle!G" &amp; ($A$1+AI$1+AH18))&lt;="",INDIRECT("Basistabelle!H" &amp; ($A$1+AI$1+AH18))&gt;"")</formula>
    </cfRule>
  </conditionalFormatting>
  <conditionalFormatting sqref="AI19">
    <cfRule type="expression" dxfId="4254" priority="286">
      <formula>OR($A19="Sa",$A19="So")</formula>
    </cfRule>
    <cfRule type="expression" dxfId="4253" priority="287">
      <formula>AND(AH19&gt;0,INDIRECT("Basistabelle!G" &amp; ($A$1+AI$1+AH19))&lt;="",INDIRECT("Basistabelle!H" &amp; ($A$1+AI$1+AH19))&gt;"")</formula>
    </cfRule>
  </conditionalFormatting>
  <conditionalFormatting sqref="AI20">
    <cfRule type="expression" dxfId="4252" priority="284">
      <formula>OR($A20="Sa",$A20="So")</formula>
    </cfRule>
    <cfRule type="expression" dxfId="4251" priority="285">
      <formula>AND(AH20&gt;0,INDIRECT("Basistabelle!G" &amp; ($A$1+AI$1+AH20))&lt;="",INDIRECT("Basistabelle!H" &amp; ($A$1+AI$1+AH20))&gt;"")</formula>
    </cfRule>
  </conditionalFormatting>
  <conditionalFormatting sqref="AI21">
    <cfRule type="expression" dxfId="4250" priority="282">
      <formula>OR($A21="Sa",$A21="So")</formula>
    </cfRule>
    <cfRule type="expression" dxfId="4249" priority="283">
      <formula>AND(AH21&gt;0,INDIRECT("Basistabelle!G" &amp; ($A$1+AI$1+AH21))&lt;="",INDIRECT("Basistabelle!H" &amp; ($A$1+AI$1+AH21))&gt;"")</formula>
    </cfRule>
  </conditionalFormatting>
  <conditionalFormatting sqref="AI22">
    <cfRule type="expression" dxfId="4248" priority="280">
      <formula>OR($A22="Sa",$A22="So")</formula>
    </cfRule>
    <cfRule type="expression" dxfId="4247" priority="281">
      <formula>AND(AH22&gt;0,INDIRECT("Basistabelle!G" &amp; ($A$1+AI$1+AH22))&lt;="",INDIRECT("Basistabelle!H" &amp; ($A$1+AI$1+AH22))&gt;"")</formula>
    </cfRule>
  </conditionalFormatting>
  <conditionalFormatting sqref="AI23">
    <cfRule type="expression" dxfId="4246" priority="278">
      <formula>OR($A23="Sa",$A23="So")</formula>
    </cfRule>
    <cfRule type="expression" dxfId="4245" priority="279">
      <formula>AND(AH23&gt;0,INDIRECT("Basistabelle!G" &amp; ($A$1+AI$1+AH23))&lt;="",INDIRECT("Basistabelle!H" &amp; ($A$1+AI$1+AH23))&gt;"")</formula>
    </cfRule>
  </conditionalFormatting>
  <conditionalFormatting sqref="AI24">
    <cfRule type="expression" dxfId="4244" priority="276">
      <formula>OR($A24="Sa",$A24="So")</formula>
    </cfRule>
    <cfRule type="expression" dxfId="4243" priority="277">
      <formula>AND(AH24&gt;0,INDIRECT("Basistabelle!G" &amp; ($A$1+AI$1+AH24))&lt;="",INDIRECT("Basistabelle!H" &amp; ($A$1+AI$1+AH24))&gt;"")</formula>
    </cfRule>
  </conditionalFormatting>
  <conditionalFormatting sqref="AI25">
    <cfRule type="expression" dxfId="4242" priority="274">
      <formula>OR($A25="Sa",$A25="So")</formula>
    </cfRule>
    <cfRule type="expression" dxfId="4241" priority="275">
      <formula>AND(AH25&gt;0,INDIRECT("Basistabelle!G" &amp; ($A$1+AI$1+AH25))&lt;="",INDIRECT("Basistabelle!H" &amp; ($A$1+AI$1+AH25))&gt;"")</formula>
    </cfRule>
  </conditionalFormatting>
  <conditionalFormatting sqref="AI26">
    <cfRule type="expression" dxfId="4240" priority="272">
      <formula>OR($A26="Sa",$A26="So")</formula>
    </cfRule>
    <cfRule type="expression" dxfId="4239" priority="273">
      <formula>AND(AH26&gt;0,INDIRECT("Basistabelle!G" &amp; ($A$1+AI$1+AH26))&lt;="",INDIRECT("Basistabelle!H" &amp; ($A$1+AI$1+AH26))&gt;"")</formula>
    </cfRule>
  </conditionalFormatting>
  <conditionalFormatting sqref="AI27">
    <cfRule type="expression" dxfId="4238" priority="270">
      <formula>OR($A27="Sa",$A27="So")</formula>
    </cfRule>
    <cfRule type="expression" dxfId="4237" priority="271">
      <formula>AND(AH27&gt;0,INDIRECT("Basistabelle!G" &amp; ($A$1+AI$1+AH27))&lt;="",INDIRECT("Basistabelle!H" &amp; ($A$1+AI$1+AH27))&gt;"")</formula>
    </cfRule>
  </conditionalFormatting>
  <conditionalFormatting sqref="AI28">
    <cfRule type="expression" dxfId="4236" priority="268">
      <formula>OR($A28="Sa",$A28="So")</formula>
    </cfRule>
    <cfRule type="expression" dxfId="4235" priority="269">
      <formula>AND(AH28&gt;0,INDIRECT("Basistabelle!G" &amp; ($A$1+AI$1+AH28))&lt;="",INDIRECT("Basistabelle!H" &amp; ($A$1+AI$1+AH28))&gt;"")</formula>
    </cfRule>
  </conditionalFormatting>
  <conditionalFormatting sqref="AI29">
    <cfRule type="expression" dxfId="4234" priority="266">
      <formula>OR($A29="Sa",$A29="So")</formula>
    </cfRule>
    <cfRule type="expression" dxfId="4233" priority="267">
      <formula>AND(AH29&gt;0,INDIRECT("Basistabelle!G" &amp; ($A$1+AI$1+AH29))&lt;="",INDIRECT("Basistabelle!H" &amp; ($A$1+AI$1+AH29))&gt;"")</formula>
    </cfRule>
  </conditionalFormatting>
  <conditionalFormatting sqref="AI30">
    <cfRule type="expression" dxfId="4232" priority="264">
      <formula>OR($A30="Sa",$A30="So")</formula>
    </cfRule>
    <cfRule type="expression" dxfId="4231" priority="265">
      <formula>AND(AH30&gt;0,INDIRECT("Basistabelle!G" &amp; ($A$1+AI$1+AH30))&lt;="",INDIRECT("Basistabelle!H" &amp; ($A$1+AI$1+AH30))&gt;"")</formula>
    </cfRule>
  </conditionalFormatting>
  <conditionalFormatting sqref="AI31">
    <cfRule type="expression" dxfId="4230" priority="262">
      <formula>OR($A31="Sa",$A31="So")</formula>
    </cfRule>
    <cfRule type="expression" dxfId="4229" priority="263">
      <formula>AND(AH31&gt;0,INDIRECT("Basistabelle!G" &amp; ($A$1+AI$1+AH31))&lt;="",INDIRECT("Basistabelle!H" &amp; ($A$1+AI$1+AH31))&gt;"")</formula>
    </cfRule>
  </conditionalFormatting>
  <conditionalFormatting sqref="AI32">
    <cfRule type="expression" dxfId="4228" priority="260">
      <formula>OR($A32="Sa",$A32="So")</formula>
    </cfRule>
    <cfRule type="expression" dxfId="4227" priority="261">
      <formula>AND(AH32&gt;0,INDIRECT("Basistabelle!G" &amp; ($A$1+AI$1+AH32))&lt;="",INDIRECT("Basistabelle!H" &amp; ($A$1+AI$1+AH32))&gt;"")</formula>
    </cfRule>
  </conditionalFormatting>
  <conditionalFormatting sqref="AI33">
    <cfRule type="expression" dxfId="4226" priority="258">
      <formula>OR($A33="Sa",$A33="So")</formula>
    </cfRule>
    <cfRule type="expression" dxfId="4225" priority="259">
      <formula>AND(AH33&gt;0,INDIRECT("Basistabelle!G" &amp; ($A$1+AI$1+AH33))&lt;="",INDIRECT("Basistabelle!H" &amp; ($A$1+AI$1+AH33))&gt;"")</formula>
    </cfRule>
  </conditionalFormatting>
  <conditionalFormatting sqref="AI34">
    <cfRule type="expression" dxfId="4224" priority="256">
      <formula>OR($A34="Sa",$A34="So")</formula>
    </cfRule>
    <cfRule type="expression" dxfId="4223" priority="257">
      <formula>AND(AH34&gt;0,INDIRECT("Basistabelle!G" &amp; ($A$1+AI$1+AH34))&lt;="",INDIRECT("Basistabelle!H" &amp; ($A$1+AI$1+AH34))&gt;"")</formula>
    </cfRule>
  </conditionalFormatting>
  <conditionalFormatting sqref="AI35">
    <cfRule type="expression" dxfId="4222" priority="254">
      <formula>OR($A35="Sa",$A35="So")</formula>
    </cfRule>
    <cfRule type="expression" dxfId="4221" priority="255">
      <formula>AND(AH35&gt;0,INDIRECT("Basistabelle!G" &amp; ($A$1+AI$1+AH35))&lt;="",INDIRECT("Basistabelle!H" &amp; ($A$1+AI$1+AH35))&gt;"")</formula>
    </cfRule>
  </conditionalFormatting>
  <conditionalFormatting sqref="AI36">
    <cfRule type="expression" dxfId="4220" priority="252">
      <formula>OR($A36="Sa",$A36="So")</formula>
    </cfRule>
    <cfRule type="expression" dxfId="4219" priority="253">
      <formula>AND(AH36&gt;0,INDIRECT("Basistabelle!G" &amp; ($A$1+AI$1+AH36))&lt;="",INDIRECT("Basistabelle!H" &amp; ($A$1+AI$1+AH36))&gt;"")</formula>
    </cfRule>
  </conditionalFormatting>
  <conditionalFormatting sqref="AI37">
    <cfRule type="expression" dxfId="4218" priority="250">
      <formula>OR($A37="Sa",$A37="So")</formula>
    </cfRule>
    <cfRule type="expression" dxfId="4217" priority="251">
      <formula>AND(AH37&gt;0,INDIRECT("Basistabelle!G" &amp; ($A$1+AI$1+AH37))&lt;="",INDIRECT("Basistabelle!H" &amp; ($A$1+AI$1+AH37))&gt;"")</formula>
    </cfRule>
  </conditionalFormatting>
  <conditionalFormatting sqref="AI38">
    <cfRule type="expression" dxfId="4216" priority="248">
      <formula>OR($A38="Sa",$A38="So")</formula>
    </cfRule>
    <cfRule type="expression" dxfId="4215" priority="249">
      <formula>AND(AH38&gt;0,INDIRECT("Basistabelle!G" &amp; ($A$1+AI$1+AH38))&lt;="",INDIRECT("Basistabelle!H" &amp; ($A$1+AI$1+AH38))&gt;"")</formula>
    </cfRule>
  </conditionalFormatting>
  <conditionalFormatting sqref="AI39">
    <cfRule type="expression" dxfId="4214" priority="246">
      <formula>OR($A39="Sa",$A39="So")</formula>
    </cfRule>
    <cfRule type="expression" dxfId="4213" priority="247">
      <formula>AND(AH39&gt;0,INDIRECT("Basistabelle!G" &amp; ($A$1+AI$1+AH39))&lt;="",INDIRECT("Basistabelle!H" &amp; ($A$1+AI$1+AH39))&gt;"")</formula>
    </cfRule>
  </conditionalFormatting>
  <conditionalFormatting sqref="AI40">
    <cfRule type="expression" dxfId="4212" priority="244">
      <formula>OR($A40="Sa",$A40="So")</formula>
    </cfRule>
    <cfRule type="expression" dxfId="4211" priority="245">
      <formula>AND(AH40&gt;0,INDIRECT("Basistabelle!G" &amp; ($A$1+AI$1+AH40))&lt;="",INDIRECT("Basistabelle!H" &amp; ($A$1+AI$1+AH40))&gt;"")</formula>
    </cfRule>
  </conditionalFormatting>
  <conditionalFormatting sqref="AI41">
    <cfRule type="expression" dxfId="4210" priority="242">
      <formula>OR($A41="Sa",$A41="So")</formula>
    </cfRule>
    <cfRule type="expression" dxfId="4209" priority="243">
      <formula>AND(AH41&gt;0,INDIRECT("Basistabelle!G" &amp; ($A$1+AI$1+AH41))&lt;="",INDIRECT("Basistabelle!H" &amp; ($A$1+AI$1+AH41))&gt;"")</formula>
    </cfRule>
  </conditionalFormatting>
  <conditionalFormatting sqref="AA3">
    <cfRule type="expression" dxfId="4208" priority="240">
      <formula>OR($A3="Sa",$A3="So")</formula>
    </cfRule>
    <cfRule type="expression" dxfId="4207" priority="241">
      <formula>AND(Z3&gt;0,INDIRECT("Basistabelle!G" &amp; ($A$1+AA$1+Z3))&lt;="",INDIRECT("Basistabelle!H" &amp; ($A$1+AA$1+Z3))&gt;"")</formula>
    </cfRule>
  </conditionalFormatting>
  <conditionalFormatting sqref="AA4">
    <cfRule type="expression" dxfId="4206" priority="238">
      <formula>OR($A4="Sa",$A4="So")</formula>
    </cfRule>
    <cfRule type="expression" dxfId="4205" priority="239">
      <formula>AND(Z4&gt;0,INDIRECT("Basistabelle!G" &amp; ($A$1+AA$1+Z4))&lt;="",INDIRECT("Basistabelle!H" &amp; ($A$1+AA$1+Z4))&gt;"")</formula>
    </cfRule>
  </conditionalFormatting>
  <conditionalFormatting sqref="AA5">
    <cfRule type="expression" dxfId="4204" priority="236">
      <formula>OR($A5="Sa",$A5="So")</formula>
    </cfRule>
    <cfRule type="expression" dxfId="4203" priority="237">
      <formula>AND(Z5&gt;0,INDIRECT("Basistabelle!G" &amp; ($A$1+AA$1+Z5))&lt;="",INDIRECT("Basistabelle!H" &amp; ($A$1+AA$1+Z5))&gt;"")</formula>
    </cfRule>
  </conditionalFormatting>
  <conditionalFormatting sqref="AA6">
    <cfRule type="expression" dxfId="4202" priority="234">
      <formula>OR($A6="Sa",$A6="So")</formula>
    </cfRule>
    <cfRule type="expression" dxfId="4201" priority="235">
      <formula>AND(Z6&gt;0,INDIRECT("Basistabelle!G" &amp; ($A$1+AA$1+Z6))&lt;="",INDIRECT("Basistabelle!H" &amp; ($A$1+AA$1+Z6))&gt;"")</formula>
    </cfRule>
  </conditionalFormatting>
  <conditionalFormatting sqref="AA7">
    <cfRule type="expression" dxfId="4200" priority="232">
      <formula>OR($A7="Sa",$A7="So")</formula>
    </cfRule>
    <cfRule type="expression" dxfId="4199" priority="233">
      <formula>AND(Z7&gt;0,INDIRECT("Basistabelle!G" &amp; ($A$1+AA$1+Z7))&lt;="",INDIRECT("Basistabelle!H" &amp; ($A$1+AA$1+Z7))&gt;"")</formula>
    </cfRule>
  </conditionalFormatting>
  <conditionalFormatting sqref="AA8">
    <cfRule type="expression" dxfId="4198" priority="230">
      <formula>OR($A8="Sa",$A8="So")</formula>
    </cfRule>
    <cfRule type="expression" dxfId="4197" priority="231">
      <formula>AND(Z8&gt;0,INDIRECT("Basistabelle!G" &amp; ($A$1+AA$1+Z8))&lt;="",INDIRECT("Basistabelle!H" &amp; ($A$1+AA$1+Z8))&gt;"")</formula>
    </cfRule>
  </conditionalFormatting>
  <conditionalFormatting sqref="AA9">
    <cfRule type="expression" dxfId="4196" priority="228">
      <formula>OR($A9="Sa",$A9="So")</formula>
    </cfRule>
    <cfRule type="expression" dxfId="4195" priority="229">
      <formula>AND(Z9&gt;0,INDIRECT("Basistabelle!G" &amp; ($A$1+AA$1+Z9))&lt;="",INDIRECT("Basistabelle!H" &amp; ($A$1+AA$1+Z9))&gt;"")</formula>
    </cfRule>
  </conditionalFormatting>
  <conditionalFormatting sqref="AA10">
    <cfRule type="expression" dxfId="4194" priority="226">
      <formula>OR($A10="Sa",$A10="So")</formula>
    </cfRule>
    <cfRule type="expression" dxfId="4193" priority="227">
      <formula>AND(Z10&gt;0,INDIRECT("Basistabelle!G" &amp; ($A$1+AA$1+Z10))&lt;="",INDIRECT("Basistabelle!H" &amp; ($A$1+AA$1+Z10))&gt;"")</formula>
    </cfRule>
  </conditionalFormatting>
  <conditionalFormatting sqref="AA11">
    <cfRule type="expression" dxfId="4192" priority="224">
      <formula>OR($A11="Sa",$A11="So")</formula>
    </cfRule>
    <cfRule type="expression" dxfId="4191" priority="225">
      <formula>AND(Z11&gt;0,INDIRECT("Basistabelle!G" &amp; ($A$1+AA$1+Z11))&lt;="",INDIRECT("Basistabelle!H" &amp; ($A$1+AA$1+Z11))&gt;"")</formula>
    </cfRule>
  </conditionalFormatting>
  <conditionalFormatting sqref="AA12">
    <cfRule type="expression" dxfId="4190" priority="222">
      <formula>OR($A12="Sa",$A12="So")</formula>
    </cfRule>
    <cfRule type="expression" dxfId="4189" priority="223">
      <formula>AND(Z12&gt;0,INDIRECT("Basistabelle!G" &amp; ($A$1+AA$1+Z12))&lt;="",INDIRECT("Basistabelle!H" &amp; ($A$1+AA$1+Z12))&gt;"")</formula>
    </cfRule>
  </conditionalFormatting>
  <conditionalFormatting sqref="AA13">
    <cfRule type="expression" dxfId="4188" priority="220">
      <formula>OR($A13="Sa",$A13="So")</formula>
    </cfRule>
    <cfRule type="expression" dxfId="4187" priority="221">
      <formula>AND(Z13&gt;0,INDIRECT("Basistabelle!G" &amp; ($A$1+AA$1+Z13))&lt;="",INDIRECT("Basistabelle!H" &amp; ($A$1+AA$1+Z13))&gt;"")</formula>
    </cfRule>
  </conditionalFormatting>
  <conditionalFormatting sqref="AA14">
    <cfRule type="expression" dxfId="4186" priority="218">
      <formula>OR($A14="Sa",$A14="So")</formula>
    </cfRule>
    <cfRule type="expression" dxfId="4185" priority="219">
      <formula>AND(Z14&gt;0,INDIRECT("Basistabelle!G" &amp; ($A$1+AA$1+Z14))&lt;="",INDIRECT("Basistabelle!H" &amp; ($A$1+AA$1+Z14))&gt;"")</formula>
    </cfRule>
  </conditionalFormatting>
  <conditionalFormatting sqref="AA15">
    <cfRule type="expression" dxfId="4184" priority="216">
      <formula>OR($A15="Sa",$A15="So")</formula>
    </cfRule>
    <cfRule type="expression" dxfId="4183" priority="217">
      <formula>AND(Z15&gt;0,INDIRECT("Basistabelle!G" &amp; ($A$1+AA$1+Z15))&lt;="",INDIRECT("Basistabelle!H" &amp; ($A$1+AA$1+Z15))&gt;"")</formula>
    </cfRule>
  </conditionalFormatting>
  <conditionalFormatting sqref="AA16">
    <cfRule type="expression" dxfId="4182" priority="214">
      <formula>OR($A16="Sa",$A16="So")</formula>
    </cfRule>
    <cfRule type="expression" dxfId="4181" priority="215">
      <formula>AND(Z16&gt;0,INDIRECT("Basistabelle!G" &amp; ($A$1+AA$1+Z16))&lt;="",INDIRECT("Basistabelle!H" &amp; ($A$1+AA$1+Z16))&gt;"")</formula>
    </cfRule>
  </conditionalFormatting>
  <conditionalFormatting sqref="AA17">
    <cfRule type="expression" dxfId="4180" priority="212">
      <formula>OR($A17="Sa",$A17="So")</formula>
    </cfRule>
    <cfRule type="expression" dxfId="4179" priority="213">
      <formula>AND(Z17&gt;0,INDIRECT("Basistabelle!G" &amp; ($A$1+AA$1+Z17))&lt;="",INDIRECT("Basistabelle!H" &amp; ($A$1+AA$1+Z17))&gt;"")</formula>
    </cfRule>
  </conditionalFormatting>
  <conditionalFormatting sqref="AA18">
    <cfRule type="expression" dxfId="4178" priority="210">
      <formula>OR($A18="Sa",$A18="So")</formula>
    </cfRule>
    <cfRule type="expression" dxfId="4177" priority="211">
      <formula>AND(Z18&gt;0,INDIRECT("Basistabelle!G" &amp; ($A$1+AA$1+Z18))&lt;="",INDIRECT("Basistabelle!H" &amp; ($A$1+AA$1+Z18))&gt;"")</formula>
    </cfRule>
  </conditionalFormatting>
  <conditionalFormatting sqref="AA19">
    <cfRule type="expression" dxfId="4176" priority="208">
      <formula>OR($A19="Sa",$A19="So")</formula>
    </cfRule>
    <cfRule type="expression" dxfId="4175" priority="209">
      <formula>AND(Z19&gt;0,INDIRECT("Basistabelle!G" &amp; ($A$1+AA$1+Z19))&lt;="",INDIRECT("Basistabelle!H" &amp; ($A$1+AA$1+Z19))&gt;"")</formula>
    </cfRule>
  </conditionalFormatting>
  <conditionalFormatting sqref="AA20">
    <cfRule type="expression" dxfId="4174" priority="206">
      <formula>OR($A20="Sa",$A20="So")</formula>
    </cfRule>
    <cfRule type="expression" dxfId="4173" priority="207">
      <formula>AND(Z20&gt;0,INDIRECT("Basistabelle!G" &amp; ($A$1+AA$1+Z20))&lt;="",INDIRECT("Basistabelle!H" &amp; ($A$1+AA$1+Z20))&gt;"")</formula>
    </cfRule>
  </conditionalFormatting>
  <conditionalFormatting sqref="AA21">
    <cfRule type="expression" dxfId="4172" priority="204">
      <formula>OR($A21="Sa",$A21="So")</formula>
    </cfRule>
    <cfRule type="expression" dxfId="4171" priority="205">
      <formula>AND(Z21&gt;0,INDIRECT("Basistabelle!G" &amp; ($A$1+AA$1+Z21))&lt;="",INDIRECT("Basistabelle!H" &amp; ($A$1+AA$1+Z21))&gt;"")</formula>
    </cfRule>
  </conditionalFormatting>
  <conditionalFormatting sqref="AA22">
    <cfRule type="expression" dxfId="4170" priority="202">
      <formula>OR($A22="Sa",$A22="So")</formula>
    </cfRule>
    <cfRule type="expression" dxfId="4169" priority="203">
      <formula>AND(Z22&gt;0,INDIRECT("Basistabelle!G" &amp; ($A$1+AA$1+Z22))&lt;="",INDIRECT("Basistabelle!H" &amp; ($A$1+AA$1+Z22))&gt;"")</formula>
    </cfRule>
  </conditionalFormatting>
  <conditionalFormatting sqref="AA23">
    <cfRule type="expression" dxfId="4168" priority="200">
      <formula>OR($A23="Sa",$A23="So")</formula>
    </cfRule>
    <cfRule type="expression" dxfId="4167" priority="201">
      <formula>AND(Z23&gt;0,INDIRECT("Basistabelle!G" &amp; ($A$1+AA$1+Z23))&lt;="",INDIRECT("Basistabelle!H" &amp; ($A$1+AA$1+Z23))&gt;"")</formula>
    </cfRule>
  </conditionalFormatting>
  <conditionalFormatting sqref="AA24">
    <cfRule type="expression" dxfId="4166" priority="198">
      <formula>OR($A24="Sa",$A24="So")</formula>
    </cfRule>
    <cfRule type="expression" dxfId="4165" priority="199">
      <formula>AND(Z24&gt;0,INDIRECT("Basistabelle!G" &amp; ($A$1+AA$1+Z24))&lt;="",INDIRECT("Basistabelle!H" &amp; ($A$1+AA$1+Z24))&gt;"")</formula>
    </cfRule>
  </conditionalFormatting>
  <conditionalFormatting sqref="AA25">
    <cfRule type="expression" dxfId="4164" priority="196">
      <formula>OR($A25="Sa",$A25="So")</formula>
    </cfRule>
    <cfRule type="expression" dxfId="4163" priority="197">
      <formula>AND(Z25&gt;0,INDIRECT("Basistabelle!G" &amp; ($A$1+AA$1+Z25))&lt;="",INDIRECT("Basistabelle!H" &amp; ($A$1+AA$1+Z25))&gt;"")</formula>
    </cfRule>
  </conditionalFormatting>
  <conditionalFormatting sqref="AA26">
    <cfRule type="expression" dxfId="4162" priority="194">
      <formula>OR($A26="Sa",$A26="So")</formula>
    </cfRule>
    <cfRule type="expression" dxfId="4161" priority="195">
      <formula>AND(Z26&gt;0,INDIRECT("Basistabelle!G" &amp; ($A$1+AA$1+Z26))&lt;="",INDIRECT("Basistabelle!H" &amp; ($A$1+AA$1+Z26))&gt;"")</formula>
    </cfRule>
  </conditionalFormatting>
  <conditionalFormatting sqref="AA27">
    <cfRule type="expression" dxfId="4160" priority="192">
      <formula>OR($A27="Sa",$A27="So")</formula>
    </cfRule>
    <cfRule type="expression" dxfId="4159" priority="193">
      <formula>AND(Z27&gt;0,INDIRECT("Basistabelle!G" &amp; ($A$1+AA$1+Z27))&lt;="",INDIRECT("Basistabelle!H" &amp; ($A$1+AA$1+Z27))&gt;"")</formula>
    </cfRule>
  </conditionalFormatting>
  <conditionalFormatting sqref="AA28">
    <cfRule type="expression" dxfId="4158" priority="190">
      <formula>OR($A28="Sa",$A28="So")</formula>
    </cfRule>
    <cfRule type="expression" dxfId="4157" priority="191">
      <formula>AND(Z28&gt;0,INDIRECT("Basistabelle!G" &amp; ($A$1+AA$1+Z28))&lt;="",INDIRECT("Basistabelle!H" &amp; ($A$1+AA$1+Z28))&gt;"")</formula>
    </cfRule>
  </conditionalFormatting>
  <conditionalFormatting sqref="AA29">
    <cfRule type="expression" dxfId="4156" priority="188">
      <formula>OR($A29="Sa",$A29="So")</formula>
    </cfRule>
    <cfRule type="expression" dxfId="4155" priority="189">
      <formula>AND(Z29&gt;0,INDIRECT("Basistabelle!G" &amp; ($A$1+AA$1+Z29))&lt;="",INDIRECT("Basistabelle!H" &amp; ($A$1+AA$1+Z29))&gt;"")</formula>
    </cfRule>
  </conditionalFormatting>
  <conditionalFormatting sqref="AA30">
    <cfRule type="expression" dxfId="4154" priority="186">
      <formula>OR($A30="Sa",$A30="So")</formula>
    </cfRule>
    <cfRule type="expression" dxfId="4153" priority="187">
      <formula>AND(Z30&gt;0,INDIRECT("Basistabelle!G" &amp; ($A$1+AA$1+Z30))&lt;="",INDIRECT("Basistabelle!H" &amp; ($A$1+AA$1+Z30))&gt;"")</formula>
    </cfRule>
  </conditionalFormatting>
  <conditionalFormatting sqref="AA31">
    <cfRule type="expression" dxfId="4152" priority="184">
      <formula>OR($A31="Sa",$A31="So")</formula>
    </cfRule>
    <cfRule type="expression" dxfId="4151" priority="185">
      <formula>AND(Z31&gt;0,INDIRECT("Basistabelle!G" &amp; ($A$1+AA$1+Z31))&lt;="",INDIRECT("Basistabelle!H" &amp; ($A$1+AA$1+Z31))&gt;"")</formula>
    </cfRule>
  </conditionalFormatting>
  <conditionalFormatting sqref="AA32">
    <cfRule type="expression" dxfId="4150" priority="182">
      <formula>OR($A32="Sa",$A32="So")</formula>
    </cfRule>
    <cfRule type="expression" dxfId="4149" priority="183">
      <formula>AND(Z32&gt;0,INDIRECT("Basistabelle!G" &amp; ($A$1+AA$1+Z32))&lt;="",INDIRECT("Basistabelle!H" &amp; ($A$1+AA$1+Z32))&gt;"")</formula>
    </cfRule>
  </conditionalFormatting>
  <conditionalFormatting sqref="AA33">
    <cfRule type="expression" dxfId="4148" priority="180">
      <formula>OR($A33="Sa",$A33="So")</formula>
    </cfRule>
    <cfRule type="expression" dxfId="4147" priority="181">
      <formula>AND(Z33&gt;0,INDIRECT("Basistabelle!G" &amp; ($A$1+AA$1+Z33))&lt;="",INDIRECT("Basistabelle!H" &amp; ($A$1+AA$1+Z33))&gt;"")</formula>
    </cfRule>
  </conditionalFormatting>
  <conditionalFormatting sqref="AA34">
    <cfRule type="expression" dxfId="4146" priority="178">
      <formula>OR($A34="Sa",$A34="So")</formula>
    </cfRule>
    <cfRule type="expression" dxfId="4145" priority="179">
      <formula>AND(Z34&gt;0,INDIRECT("Basistabelle!G" &amp; ($A$1+AA$1+Z34))&lt;="",INDIRECT("Basistabelle!H" &amp; ($A$1+AA$1+Z34))&gt;"")</formula>
    </cfRule>
  </conditionalFormatting>
  <conditionalFormatting sqref="AA35">
    <cfRule type="expression" dxfId="4144" priority="176">
      <formula>OR($A35="Sa",$A35="So")</formula>
    </cfRule>
    <cfRule type="expression" dxfId="4143" priority="177">
      <formula>AND(Z35&gt;0,INDIRECT("Basistabelle!G" &amp; ($A$1+AA$1+Z35))&lt;="",INDIRECT("Basistabelle!H" &amp; ($A$1+AA$1+Z35))&gt;"")</formula>
    </cfRule>
  </conditionalFormatting>
  <conditionalFormatting sqref="AA36">
    <cfRule type="expression" dxfId="4142" priority="174">
      <formula>OR($A36="Sa",$A36="So")</formula>
    </cfRule>
    <cfRule type="expression" dxfId="4141" priority="175">
      <formula>AND(Z36&gt;0,INDIRECT("Basistabelle!G" &amp; ($A$1+AA$1+Z36))&lt;="",INDIRECT("Basistabelle!H" &amp; ($A$1+AA$1+Z36))&gt;"")</formula>
    </cfRule>
  </conditionalFormatting>
  <conditionalFormatting sqref="AA37">
    <cfRule type="expression" dxfId="4140" priority="172">
      <formula>OR($A37="Sa",$A37="So")</formula>
    </cfRule>
    <cfRule type="expression" dxfId="4139" priority="173">
      <formula>AND(Z37&gt;0,INDIRECT("Basistabelle!G" &amp; ($A$1+AA$1+Z37))&lt;="",INDIRECT("Basistabelle!H" &amp; ($A$1+AA$1+Z37))&gt;"")</formula>
    </cfRule>
  </conditionalFormatting>
  <conditionalFormatting sqref="AA38">
    <cfRule type="expression" dxfId="4138" priority="170">
      <formula>OR($A38="Sa",$A38="So")</formula>
    </cfRule>
    <cfRule type="expression" dxfId="4137" priority="171">
      <formula>AND(Z38&gt;0,INDIRECT("Basistabelle!G" &amp; ($A$1+AA$1+Z38))&lt;="",INDIRECT("Basistabelle!H" &amp; ($A$1+AA$1+Z38))&gt;"")</formula>
    </cfRule>
  </conditionalFormatting>
  <conditionalFormatting sqref="AA39">
    <cfRule type="expression" dxfId="4136" priority="168">
      <formula>OR($A39="Sa",$A39="So")</formula>
    </cfRule>
    <cfRule type="expression" dxfId="4135" priority="169">
      <formula>AND(Z39&gt;0,INDIRECT("Basistabelle!G" &amp; ($A$1+AA$1+Z39))&lt;="",INDIRECT("Basistabelle!H" &amp; ($A$1+AA$1+Z39))&gt;"")</formula>
    </cfRule>
  </conditionalFormatting>
  <conditionalFormatting sqref="AA40">
    <cfRule type="expression" dxfId="4134" priority="166">
      <formula>OR($A40="Sa",$A40="So")</formula>
    </cfRule>
    <cfRule type="expression" dxfId="4133" priority="167">
      <formula>AND(Z40&gt;0,INDIRECT("Basistabelle!G" &amp; ($A$1+AA$1+Z40))&lt;="",INDIRECT("Basistabelle!H" &amp; ($A$1+AA$1+Z40))&gt;"")</formula>
    </cfRule>
  </conditionalFormatting>
  <conditionalFormatting sqref="AA41">
    <cfRule type="expression" dxfId="4132" priority="164">
      <formula>OR($A41="Sa",$A41="So")</formula>
    </cfRule>
    <cfRule type="expression" dxfId="4131" priority="165">
      <formula>AND(Z41&gt;0,INDIRECT("Basistabelle!G" &amp; ($A$1+AA$1+Z41))&lt;="",INDIRECT("Basistabelle!H" &amp; ($A$1+AA$1+Z41))&gt;"")</formula>
    </cfRule>
  </conditionalFormatting>
  <conditionalFormatting sqref="AD5">
    <cfRule type="cellIs" dxfId="4130" priority="163" operator="equal">
      <formula>"x"</formula>
    </cfRule>
  </conditionalFormatting>
  <conditionalFormatting sqref="AD4">
    <cfRule type="cellIs" dxfId="4129" priority="162" operator="equal">
      <formula>"x"</formula>
    </cfRule>
  </conditionalFormatting>
  <conditionalFormatting sqref="AD3">
    <cfRule type="cellIs" dxfId="4128" priority="161" operator="equal">
      <formula>"x"</formula>
    </cfRule>
  </conditionalFormatting>
  <conditionalFormatting sqref="S3">
    <cfRule type="expression" dxfId="4127" priority="159">
      <formula>OR($A3="Sa",$A3="So")</formula>
    </cfRule>
    <cfRule type="expression" dxfId="4126" priority="160">
      <formula>AND(R3&gt;0,INDIRECT("Basistabelle!G" &amp; ($A$1+S$1+R3))&lt;="",INDIRECT("Basistabelle!H" &amp; ($A$1+S$1+R3))&gt;"")</formula>
    </cfRule>
  </conditionalFormatting>
  <conditionalFormatting sqref="S4">
    <cfRule type="expression" dxfId="4125" priority="157">
      <formula>OR($A4="Sa",$A4="So")</formula>
    </cfRule>
    <cfRule type="expression" dxfId="4124" priority="158">
      <formula>AND(R4&gt;0,INDIRECT("Basistabelle!G" &amp; ($A$1+S$1+R4))&lt;="",INDIRECT("Basistabelle!H" &amp; ($A$1+S$1+R4))&gt;"")</formula>
    </cfRule>
  </conditionalFormatting>
  <conditionalFormatting sqref="S5">
    <cfRule type="expression" dxfId="4123" priority="155">
      <formula>OR($A5="Sa",$A5="So")</formula>
    </cfRule>
    <cfRule type="expression" dxfId="4122" priority="156">
      <formula>AND(R5&gt;0,INDIRECT("Basistabelle!G" &amp; ($A$1+S$1+R5))&lt;="",INDIRECT("Basistabelle!H" &amp; ($A$1+S$1+R5))&gt;"")</formula>
    </cfRule>
  </conditionalFormatting>
  <conditionalFormatting sqref="S6">
    <cfRule type="expression" dxfId="4121" priority="153">
      <formula>OR($A6="Sa",$A6="So")</formula>
    </cfRule>
    <cfRule type="expression" dxfId="4120" priority="154">
      <formula>AND(R6&gt;0,INDIRECT("Basistabelle!G" &amp; ($A$1+S$1+R6))&lt;="",INDIRECT("Basistabelle!H" &amp; ($A$1+S$1+R6))&gt;"")</formula>
    </cfRule>
  </conditionalFormatting>
  <conditionalFormatting sqref="S7">
    <cfRule type="expression" dxfId="4119" priority="151">
      <formula>OR($A7="Sa",$A7="So")</formula>
    </cfRule>
    <cfRule type="expression" dxfId="4118" priority="152">
      <formula>AND(R7&gt;0,INDIRECT("Basistabelle!G" &amp; ($A$1+S$1+R7))&lt;="",INDIRECT("Basistabelle!H" &amp; ($A$1+S$1+R7))&gt;"")</formula>
    </cfRule>
  </conditionalFormatting>
  <conditionalFormatting sqref="S8">
    <cfRule type="expression" dxfId="4117" priority="149">
      <formula>OR($A8="Sa",$A8="So")</formula>
    </cfRule>
    <cfRule type="expression" dxfId="4116" priority="150">
      <formula>AND(R8&gt;0,INDIRECT("Basistabelle!G" &amp; ($A$1+S$1+R8))&lt;="",INDIRECT("Basistabelle!H" &amp; ($A$1+S$1+R8))&gt;"")</formula>
    </cfRule>
  </conditionalFormatting>
  <conditionalFormatting sqref="S9">
    <cfRule type="expression" dxfId="4115" priority="147">
      <formula>OR($A9="Sa",$A9="So")</formula>
    </cfRule>
    <cfRule type="expression" dxfId="4114" priority="148">
      <formula>AND(R9&gt;0,INDIRECT("Basistabelle!G" &amp; ($A$1+S$1+R9))&lt;="",INDIRECT("Basistabelle!H" &amp; ($A$1+S$1+R9))&gt;"")</formula>
    </cfRule>
  </conditionalFormatting>
  <conditionalFormatting sqref="S10">
    <cfRule type="expression" dxfId="4113" priority="145">
      <formula>OR($A10="Sa",$A10="So")</formula>
    </cfRule>
    <cfRule type="expression" dxfId="4112" priority="146">
      <formula>AND(R10&gt;0,INDIRECT("Basistabelle!G" &amp; ($A$1+S$1+R10))&lt;="",INDIRECT("Basistabelle!H" &amp; ($A$1+S$1+R10))&gt;"")</formula>
    </cfRule>
  </conditionalFormatting>
  <conditionalFormatting sqref="S11">
    <cfRule type="expression" dxfId="4111" priority="143">
      <formula>OR($A11="Sa",$A11="So")</formula>
    </cfRule>
    <cfRule type="expression" dxfId="4110" priority="144">
      <formula>AND(R11&gt;0,INDIRECT("Basistabelle!G" &amp; ($A$1+S$1+R11))&lt;="",INDIRECT("Basistabelle!H" &amp; ($A$1+S$1+R11))&gt;"")</formula>
    </cfRule>
  </conditionalFormatting>
  <conditionalFormatting sqref="S12">
    <cfRule type="expression" dxfId="4109" priority="141">
      <formula>OR($A12="Sa",$A12="So")</formula>
    </cfRule>
    <cfRule type="expression" dxfId="4108" priority="142">
      <formula>AND(R12&gt;0,INDIRECT("Basistabelle!G" &amp; ($A$1+S$1+R12))&lt;="",INDIRECT("Basistabelle!H" &amp; ($A$1+S$1+R12))&gt;"")</formula>
    </cfRule>
  </conditionalFormatting>
  <conditionalFormatting sqref="S13">
    <cfRule type="expression" dxfId="4107" priority="139">
      <formula>OR($A13="Sa",$A13="So")</formula>
    </cfRule>
    <cfRule type="expression" dxfId="4106" priority="140">
      <formula>AND(R13&gt;0,INDIRECT("Basistabelle!G" &amp; ($A$1+S$1+R13))&lt;="",INDIRECT("Basistabelle!H" &amp; ($A$1+S$1+R13))&gt;"")</formula>
    </cfRule>
  </conditionalFormatting>
  <conditionalFormatting sqref="S14">
    <cfRule type="expression" dxfId="4105" priority="137">
      <formula>OR($A14="Sa",$A14="So")</formula>
    </cfRule>
    <cfRule type="expression" dxfId="4104" priority="138">
      <formula>AND(R14&gt;0,INDIRECT("Basistabelle!G" &amp; ($A$1+S$1+R14))&lt;="",INDIRECT("Basistabelle!H" &amp; ($A$1+S$1+R14))&gt;"")</formula>
    </cfRule>
  </conditionalFormatting>
  <conditionalFormatting sqref="S15">
    <cfRule type="expression" dxfId="4103" priority="135">
      <formula>OR($A15="Sa",$A15="So")</formula>
    </cfRule>
    <cfRule type="expression" dxfId="4102" priority="136">
      <formula>AND(R15&gt;0,INDIRECT("Basistabelle!G" &amp; ($A$1+S$1+R15))&lt;="",INDIRECT("Basistabelle!H" &amp; ($A$1+S$1+R15))&gt;"")</formula>
    </cfRule>
  </conditionalFormatting>
  <conditionalFormatting sqref="S16">
    <cfRule type="expression" dxfId="4101" priority="133">
      <formula>OR($A16="Sa",$A16="So")</formula>
    </cfRule>
    <cfRule type="expression" dxfId="4100" priority="134">
      <formula>AND(R16&gt;0,INDIRECT("Basistabelle!G" &amp; ($A$1+S$1+R16))&lt;="",INDIRECT("Basistabelle!H" &amp; ($A$1+S$1+R16))&gt;"")</formula>
    </cfRule>
  </conditionalFormatting>
  <conditionalFormatting sqref="S17">
    <cfRule type="expression" dxfId="4099" priority="131">
      <formula>OR($A17="Sa",$A17="So")</formula>
    </cfRule>
    <cfRule type="expression" dxfId="4098" priority="132">
      <formula>AND(R17&gt;0,INDIRECT("Basistabelle!G" &amp; ($A$1+S$1+R17))&lt;="",INDIRECT("Basistabelle!H" &amp; ($A$1+S$1+R17))&gt;"")</formula>
    </cfRule>
  </conditionalFormatting>
  <conditionalFormatting sqref="S18">
    <cfRule type="expression" dxfId="4097" priority="129">
      <formula>OR($A18="Sa",$A18="So")</formula>
    </cfRule>
    <cfRule type="expression" dxfId="4096" priority="130">
      <formula>AND(R18&gt;0,INDIRECT("Basistabelle!G" &amp; ($A$1+S$1+R18))&lt;="",INDIRECT("Basistabelle!H" &amp; ($A$1+S$1+R18))&gt;"")</formula>
    </cfRule>
  </conditionalFormatting>
  <conditionalFormatting sqref="S19">
    <cfRule type="expression" dxfId="4095" priority="127">
      <formula>OR($A19="Sa",$A19="So")</formula>
    </cfRule>
    <cfRule type="expression" dxfId="4094" priority="128">
      <formula>AND(R19&gt;0,INDIRECT("Basistabelle!G" &amp; ($A$1+S$1+R19))&lt;="",INDIRECT("Basistabelle!H" &amp; ($A$1+S$1+R19))&gt;"")</formula>
    </cfRule>
  </conditionalFormatting>
  <conditionalFormatting sqref="S20">
    <cfRule type="expression" dxfId="4093" priority="125">
      <formula>OR($A20="Sa",$A20="So")</formula>
    </cfRule>
    <cfRule type="expression" dxfId="4092" priority="126">
      <formula>AND(R20&gt;0,INDIRECT("Basistabelle!G" &amp; ($A$1+S$1+R20))&lt;="",INDIRECT("Basistabelle!H" &amp; ($A$1+S$1+R20))&gt;"")</formula>
    </cfRule>
  </conditionalFormatting>
  <conditionalFormatting sqref="S21">
    <cfRule type="expression" dxfId="4091" priority="123">
      <formula>OR($A21="Sa",$A21="So")</formula>
    </cfRule>
    <cfRule type="expression" dxfId="4090" priority="124">
      <formula>AND(R21&gt;0,INDIRECT("Basistabelle!G" &amp; ($A$1+S$1+R21))&lt;="",INDIRECT("Basistabelle!H" &amp; ($A$1+S$1+R21))&gt;"")</formula>
    </cfRule>
  </conditionalFormatting>
  <conditionalFormatting sqref="S22">
    <cfRule type="expression" dxfId="4089" priority="121">
      <formula>OR($A22="Sa",$A22="So")</formula>
    </cfRule>
    <cfRule type="expression" dxfId="4088" priority="122">
      <formula>AND(R22&gt;0,INDIRECT("Basistabelle!G" &amp; ($A$1+S$1+R22))&lt;="",INDIRECT("Basistabelle!H" &amp; ($A$1+S$1+R22))&gt;"")</formula>
    </cfRule>
  </conditionalFormatting>
  <conditionalFormatting sqref="S23">
    <cfRule type="expression" dxfId="4087" priority="119">
      <formula>OR($A23="Sa",$A23="So")</formula>
    </cfRule>
    <cfRule type="expression" dxfId="4086" priority="120">
      <formula>AND(R23&gt;0,INDIRECT("Basistabelle!G" &amp; ($A$1+S$1+R23))&lt;="",INDIRECT("Basistabelle!H" &amp; ($A$1+S$1+R23))&gt;"")</formula>
    </cfRule>
  </conditionalFormatting>
  <conditionalFormatting sqref="S24">
    <cfRule type="expression" dxfId="4085" priority="117">
      <formula>OR($A24="Sa",$A24="So")</formula>
    </cfRule>
    <cfRule type="expression" dxfId="4084" priority="118">
      <formula>AND(R24&gt;0,INDIRECT("Basistabelle!G" &amp; ($A$1+S$1+R24))&lt;="",INDIRECT("Basistabelle!H" &amp; ($A$1+S$1+R24))&gt;"")</formula>
    </cfRule>
  </conditionalFormatting>
  <conditionalFormatting sqref="S25">
    <cfRule type="expression" dxfId="4083" priority="115">
      <formula>OR($A25="Sa",$A25="So")</formula>
    </cfRule>
    <cfRule type="expression" dxfId="4082" priority="116">
      <formula>AND(R25&gt;0,INDIRECT("Basistabelle!G" &amp; ($A$1+S$1+R25))&lt;="",INDIRECT("Basistabelle!H" &amp; ($A$1+S$1+R25))&gt;"")</formula>
    </cfRule>
  </conditionalFormatting>
  <conditionalFormatting sqref="S26">
    <cfRule type="expression" dxfId="4081" priority="113">
      <formula>OR($A26="Sa",$A26="So")</formula>
    </cfRule>
    <cfRule type="expression" dxfId="4080" priority="114">
      <formula>AND(R26&gt;0,INDIRECT("Basistabelle!G" &amp; ($A$1+S$1+R26))&lt;="",INDIRECT("Basistabelle!H" &amp; ($A$1+S$1+R26))&gt;"")</formula>
    </cfRule>
  </conditionalFormatting>
  <conditionalFormatting sqref="S27">
    <cfRule type="expression" dxfId="4079" priority="111">
      <formula>OR($A27="Sa",$A27="So")</formula>
    </cfRule>
    <cfRule type="expression" dxfId="4078" priority="112">
      <formula>AND(R27&gt;0,INDIRECT("Basistabelle!G" &amp; ($A$1+S$1+R27))&lt;="",INDIRECT("Basistabelle!H" &amp; ($A$1+S$1+R27))&gt;"")</formula>
    </cfRule>
  </conditionalFormatting>
  <conditionalFormatting sqref="S28">
    <cfRule type="expression" dxfId="4077" priority="109">
      <formula>OR($A28="Sa",$A28="So")</formula>
    </cfRule>
    <cfRule type="expression" dxfId="4076" priority="110">
      <formula>AND(R28&gt;0,INDIRECT("Basistabelle!G" &amp; ($A$1+S$1+R28))&lt;="",INDIRECT("Basistabelle!H" &amp; ($A$1+S$1+R28))&gt;"")</formula>
    </cfRule>
  </conditionalFormatting>
  <conditionalFormatting sqref="S29">
    <cfRule type="expression" dxfId="4075" priority="107">
      <formula>OR($A29="Sa",$A29="So")</formula>
    </cfRule>
    <cfRule type="expression" dxfId="4074" priority="108">
      <formula>AND(R29&gt;0,INDIRECT("Basistabelle!G" &amp; ($A$1+S$1+R29))&lt;="",INDIRECT("Basistabelle!H" &amp; ($A$1+S$1+R29))&gt;"")</formula>
    </cfRule>
  </conditionalFormatting>
  <conditionalFormatting sqref="S30">
    <cfRule type="expression" dxfId="4073" priority="105">
      <formula>OR($A30="Sa",$A30="So")</formula>
    </cfRule>
    <cfRule type="expression" dxfId="4072" priority="106">
      <formula>AND(R30&gt;0,INDIRECT("Basistabelle!G" &amp; ($A$1+S$1+R30))&lt;="",INDIRECT("Basistabelle!H" &amp; ($A$1+S$1+R30))&gt;"")</formula>
    </cfRule>
  </conditionalFormatting>
  <conditionalFormatting sqref="S31">
    <cfRule type="expression" dxfId="4071" priority="103">
      <formula>OR($A31="Sa",$A31="So")</formula>
    </cfRule>
    <cfRule type="expression" dxfId="4070" priority="104">
      <formula>AND(R31&gt;0,INDIRECT("Basistabelle!G" &amp; ($A$1+S$1+R31))&lt;="",INDIRECT("Basistabelle!H" &amp; ($A$1+S$1+R31))&gt;"")</formula>
    </cfRule>
  </conditionalFormatting>
  <conditionalFormatting sqref="S32">
    <cfRule type="expression" dxfId="4069" priority="101">
      <formula>OR($A32="Sa",$A32="So")</formula>
    </cfRule>
    <cfRule type="expression" dxfId="4068" priority="102">
      <formula>AND(R32&gt;0,INDIRECT("Basistabelle!G" &amp; ($A$1+S$1+R32))&lt;="",INDIRECT("Basistabelle!H" &amp; ($A$1+S$1+R32))&gt;"")</formula>
    </cfRule>
  </conditionalFormatting>
  <conditionalFormatting sqref="S33">
    <cfRule type="expression" dxfId="4067" priority="99">
      <formula>OR($A33="Sa",$A33="So")</formula>
    </cfRule>
    <cfRule type="expression" dxfId="4066" priority="100">
      <formula>AND(R33&gt;0,INDIRECT("Basistabelle!G" &amp; ($A$1+S$1+R33))&lt;="",INDIRECT("Basistabelle!H" &amp; ($A$1+S$1+R33))&gt;"")</formula>
    </cfRule>
  </conditionalFormatting>
  <conditionalFormatting sqref="S34">
    <cfRule type="expression" dxfId="4065" priority="97">
      <formula>OR($A34="Sa",$A34="So")</formula>
    </cfRule>
    <cfRule type="expression" dxfId="4064" priority="98">
      <formula>AND(R34&gt;0,INDIRECT("Basistabelle!G" &amp; ($A$1+S$1+R34))&lt;="",INDIRECT("Basistabelle!H" &amp; ($A$1+S$1+R34))&gt;"")</formula>
    </cfRule>
  </conditionalFormatting>
  <conditionalFormatting sqref="S35">
    <cfRule type="expression" dxfId="4063" priority="95">
      <formula>OR($A35="Sa",$A35="So")</formula>
    </cfRule>
    <cfRule type="expression" dxfId="4062" priority="96">
      <formula>AND(R35&gt;0,INDIRECT("Basistabelle!G" &amp; ($A$1+S$1+R35))&lt;="",INDIRECT("Basistabelle!H" &amp; ($A$1+S$1+R35))&gt;"")</formula>
    </cfRule>
  </conditionalFormatting>
  <conditionalFormatting sqref="S36">
    <cfRule type="expression" dxfId="4061" priority="93">
      <formula>OR($A36="Sa",$A36="So")</formula>
    </cfRule>
    <cfRule type="expression" dxfId="4060" priority="94">
      <formula>AND(R36&gt;0,INDIRECT("Basistabelle!G" &amp; ($A$1+S$1+R36))&lt;="",INDIRECT("Basistabelle!H" &amp; ($A$1+S$1+R36))&gt;"")</formula>
    </cfRule>
  </conditionalFormatting>
  <conditionalFormatting sqref="S37">
    <cfRule type="expression" dxfId="4059" priority="91">
      <formula>OR($A37="Sa",$A37="So")</formula>
    </cfRule>
    <cfRule type="expression" dxfId="4058" priority="92">
      <formula>AND(R37&gt;0,INDIRECT("Basistabelle!G" &amp; ($A$1+S$1+R37))&lt;="",INDIRECT("Basistabelle!H" &amp; ($A$1+S$1+R37))&gt;"")</formula>
    </cfRule>
  </conditionalFormatting>
  <conditionalFormatting sqref="S38">
    <cfRule type="expression" dxfId="4057" priority="89">
      <formula>OR($A38="Sa",$A38="So")</formula>
    </cfRule>
    <cfRule type="expression" dxfId="4056" priority="90">
      <formula>AND(R38&gt;0,INDIRECT("Basistabelle!G" &amp; ($A$1+S$1+R38))&lt;="",INDIRECT("Basistabelle!H" &amp; ($A$1+S$1+R38))&gt;"")</formula>
    </cfRule>
  </conditionalFormatting>
  <conditionalFormatting sqref="S39">
    <cfRule type="expression" dxfId="4055" priority="87">
      <formula>OR($A39="Sa",$A39="So")</formula>
    </cfRule>
    <cfRule type="expression" dxfId="4054" priority="88">
      <formula>AND(R39&gt;0,INDIRECT("Basistabelle!G" &amp; ($A$1+S$1+R39))&lt;="",INDIRECT("Basistabelle!H" &amp; ($A$1+S$1+R39))&gt;"")</formula>
    </cfRule>
  </conditionalFormatting>
  <conditionalFormatting sqref="S40">
    <cfRule type="expression" dxfId="4053" priority="85">
      <formula>OR($A40="Sa",$A40="So")</formula>
    </cfRule>
    <cfRule type="expression" dxfId="4052" priority="86">
      <formula>AND(R40&gt;0,INDIRECT("Basistabelle!G" &amp; ($A$1+S$1+R40))&lt;="",INDIRECT("Basistabelle!H" &amp; ($A$1+S$1+R40))&gt;"")</formula>
    </cfRule>
  </conditionalFormatting>
  <conditionalFormatting sqref="S41">
    <cfRule type="expression" dxfId="4051" priority="83">
      <formula>OR($A41="Sa",$A41="So")</formula>
    </cfRule>
    <cfRule type="expression" dxfId="4050" priority="84">
      <formula>AND(R41&gt;0,INDIRECT("Basistabelle!G" &amp; ($A$1+S$1+R41))&lt;="",INDIRECT("Basistabelle!H" &amp; ($A$1+S$1+R41))&gt;"")</formula>
    </cfRule>
  </conditionalFormatting>
  <conditionalFormatting sqref="K3">
    <cfRule type="expression" dxfId="4049" priority="81">
      <formula>OR($A3="Sa",$A3="So")</formula>
    </cfRule>
    <cfRule type="expression" dxfId="4048" priority="82">
      <formula>AND(J3&gt;0,INDIRECT("Basistabelle!G" &amp; ($A$1+K$1+J3))&lt;="",INDIRECT("Basistabelle!H" &amp; ($A$1+K$1+J3))&gt;"")</formula>
    </cfRule>
  </conditionalFormatting>
  <conditionalFormatting sqref="K4">
    <cfRule type="expression" dxfId="4047" priority="79">
      <formula>OR($A4="Sa",$A4="So")</formula>
    </cfRule>
    <cfRule type="expression" dxfId="4046" priority="80">
      <formula>AND(J4&gt;0,INDIRECT("Basistabelle!G" &amp; ($A$1+K$1+J4))&lt;="",INDIRECT("Basistabelle!H" &amp; ($A$1+K$1+J4))&gt;"")</formula>
    </cfRule>
  </conditionalFormatting>
  <conditionalFormatting sqref="K5">
    <cfRule type="expression" dxfId="4045" priority="77">
      <formula>OR($A5="Sa",$A5="So")</formula>
    </cfRule>
    <cfRule type="expression" dxfId="4044" priority="78">
      <formula>AND(J5&gt;0,INDIRECT("Basistabelle!G" &amp; ($A$1+K$1+J5))&lt;="",INDIRECT("Basistabelle!H" &amp; ($A$1+K$1+J5))&gt;"")</formula>
    </cfRule>
  </conditionalFormatting>
  <conditionalFormatting sqref="K6">
    <cfRule type="expression" dxfId="4043" priority="75">
      <formula>OR($A6="Sa",$A6="So")</formula>
    </cfRule>
    <cfRule type="expression" dxfId="4042" priority="76">
      <formula>AND(J6&gt;0,INDIRECT("Basistabelle!G" &amp; ($A$1+K$1+J6))&lt;="",INDIRECT("Basistabelle!H" &amp; ($A$1+K$1+J6))&gt;"")</formula>
    </cfRule>
  </conditionalFormatting>
  <conditionalFormatting sqref="K7">
    <cfRule type="expression" dxfId="4041" priority="73">
      <formula>OR($A7="Sa",$A7="So")</formula>
    </cfRule>
    <cfRule type="expression" dxfId="4040" priority="74">
      <formula>AND(J7&gt;0,INDIRECT("Basistabelle!G" &amp; ($A$1+K$1+J7))&lt;="",INDIRECT("Basistabelle!H" &amp; ($A$1+K$1+J7))&gt;"")</formula>
    </cfRule>
  </conditionalFormatting>
  <conditionalFormatting sqref="K8">
    <cfRule type="expression" dxfId="4039" priority="71">
      <formula>OR($A8="Sa",$A8="So")</formula>
    </cfRule>
    <cfRule type="expression" dxfId="4038" priority="72">
      <formula>AND(J8&gt;0,INDIRECT("Basistabelle!G" &amp; ($A$1+K$1+J8))&lt;="",INDIRECT("Basistabelle!H" &amp; ($A$1+K$1+J8))&gt;"")</formula>
    </cfRule>
  </conditionalFormatting>
  <conditionalFormatting sqref="K9">
    <cfRule type="expression" dxfId="4037" priority="69">
      <formula>OR($A9="Sa",$A9="So")</formula>
    </cfRule>
    <cfRule type="expression" dxfId="4036" priority="70">
      <formula>AND(J9&gt;0,INDIRECT("Basistabelle!G" &amp; ($A$1+K$1+J9))&lt;="",INDIRECT("Basistabelle!H" &amp; ($A$1+K$1+J9))&gt;"")</formula>
    </cfRule>
  </conditionalFormatting>
  <conditionalFormatting sqref="K10">
    <cfRule type="expression" dxfId="4035" priority="67">
      <formula>OR($A10="Sa",$A10="So")</formula>
    </cfRule>
    <cfRule type="expression" dxfId="4034" priority="68">
      <formula>AND(J10&gt;0,INDIRECT("Basistabelle!G" &amp; ($A$1+K$1+J10))&lt;="",INDIRECT("Basistabelle!H" &amp; ($A$1+K$1+J10))&gt;"")</formula>
    </cfRule>
  </conditionalFormatting>
  <conditionalFormatting sqref="K11">
    <cfRule type="expression" dxfId="4033" priority="65">
      <formula>OR($A11="Sa",$A11="So")</formula>
    </cfRule>
    <cfRule type="expression" dxfId="4032" priority="66">
      <formula>AND(J11&gt;0,INDIRECT("Basistabelle!G" &amp; ($A$1+K$1+J11))&lt;="",INDIRECT("Basistabelle!H" &amp; ($A$1+K$1+J11))&gt;"")</formula>
    </cfRule>
  </conditionalFormatting>
  <conditionalFormatting sqref="K12">
    <cfRule type="expression" dxfId="4031" priority="63">
      <formula>OR($A12="Sa",$A12="So")</formula>
    </cfRule>
    <cfRule type="expression" dxfId="4030" priority="64">
      <formula>AND(J12&gt;0,INDIRECT("Basistabelle!G" &amp; ($A$1+K$1+J12))&lt;="",INDIRECT("Basistabelle!H" &amp; ($A$1+K$1+J12))&gt;"")</formula>
    </cfRule>
  </conditionalFormatting>
  <conditionalFormatting sqref="K13">
    <cfRule type="expression" dxfId="4029" priority="61">
      <formula>OR($A13="Sa",$A13="So")</formula>
    </cfRule>
    <cfRule type="expression" dxfId="4028" priority="62">
      <formula>AND(J13&gt;0,INDIRECT("Basistabelle!G" &amp; ($A$1+K$1+J13))&lt;="",INDIRECT("Basistabelle!H" &amp; ($A$1+K$1+J13))&gt;"")</formula>
    </cfRule>
  </conditionalFormatting>
  <conditionalFormatting sqref="K14">
    <cfRule type="expression" dxfId="4027" priority="59">
      <formula>OR($A14="Sa",$A14="So")</formula>
    </cfRule>
    <cfRule type="expression" dxfId="4026" priority="60">
      <formula>AND(J14&gt;0,INDIRECT("Basistabelle!G" &amp; ($A$1+K$1+J14))&lt;="",INDIRECT("Basistabelle!H" &amp; ($A$1+K$1+J14))&gt;"")</formula>
    </cfRule>
  </conditionalFormatting>
  <conditionalFormatting sqref="K15">
    <cfRule type="expression" dxfId="4025" priority="57">
      <formula>OR($A15="Sa",$A15="So")</formula>
    </cfRule>
    <cfRule type="expression" dxfId="4024" priority="58">
      <formula>AND(J15&gt;0,INDIRECT("Basistabelle!G" &amp; ($A$1+K$1+J15))&lt;="",INDIRECT("Basistabelle!H" &amp; ($A$1+K$1+J15))&gt;"")</formula>
    </cfRule>
  </conditionalFormatting>
  <conditionalFormatting sqref="K16">
    <cfRule type="expression" dxfId="4023" priority="55">
      <formula>OR($A16="Sa",$A16="So")</formula>
    </cfRule>
    <cfRule type="expression" dxfId="4022" priority="56">
      <formula>AND(J16&gt;0,INDIRECT("Basistabelle!G" &amp; ($A$1+K$1+J16))&lt;="",INDIRECT("Basistabelle!H" &amp; ($A$1+K$1+J16))&gt;"")</formula>
    </cfRule>
  </conditionalFormatting>
  <conditionalFormatting sqref="K17">
    <cfRule type="expression" dxfId="4021" priority="53">
      <formula>OR($A17="Sa",$A17="So")</formula>
    </cfRule>
    <cfRule type="expression" dxfId="4020" priority="54">
      <formula>AND(J17&gt;0,INDIRECT("Basistabelle!G" &amp; ($A$1+K$1+J17))&lt;="",INDIRECT("Basistabelle!H" &amp; ($A$1+K$1+J17))&gt;"")</formula>
    </cfRule>
  </conditionalFormatting>
  <conditionalFormatting sqref="K18">
    <cfRule type="expression" dxfId="4019" priority="51">
      <formula>OR($A18="Sa",$A18="So")</formula>
    </cfRule>
    <cfRule type="expression" dxfId="4018" priority="52">
      <formula>AND(J18&gt;0,INDIRECT("Basistabelle!G" &amp; ($A$1+K$1+J18))&lt;="",INDIRECT("Basistabelle!H" &amp; ($A$1+K$1+J18))&gt;"")</formula>
    </cfRule>
  </conditionalFormatting>
  <conditionalFormatting sqref="K19">
    <cfRule type="expression" dxfId="4017" priority="49">
      <formula>OR($A19="Sa",$A19="So")</formula>
    </cfRule>
    <cfRule type="expression" dxfId="4016" priority="50">
      <formula>AND(J19&gt;0,INDIRECT("Basistabelle!G" &amp; ($A$1+K$1+J19))&lt;="",INDIRECT("Basistabelle!H" &amp; ($A$1+K$1+J19))&gt;"")</formula>
    </cfRule>
  </conditionalFormatting>
  <conditionalFormatting sqref="K20">
    <cfRule type="expression" dxfId="4015" priority="47">
      <formula>OR($A20="Sa",$A20="So")</formula>
    </cfRule>
    <cfRule type="expression" dxfId="4014" priority="48">
      <formula>AND(J20&gt;0,INDIRECT("Basistabelle!G" &amp; ($A$1+K$1+J20))&lt;="",INDIRECT("Basistabelle!H" &amp; ($A$1+K$1+J20))&gt;"")</formula>
    </cfRule>
  </conditionalFormatting>
  <conditionalFormatting sqref="K21">
    <cfRule type="expression" dxfId="4013" priority="45">
      <formula>OR($A21="Sa",$A21="So")</formula>
    </cfRule>
    <cfRule type="expression" dxfId="4012" priority="46">
      <formula>AND(J21&gt;0,INDIRECT("Basistabelle!G" &amp; ($A$1+K$1+J21))&lt;="",INDIRECT("Basistabelle!H" &amp; ($A$1+K$1+J21))&gt;"")</formula>
    </cfRule>
  </conditionalFormatting>
  <conditionalFormatting sqref="K22">
    <cfRule type="expression" dxfId="4011" priority="43">
      <formula>OR($A22="Sa",$A22="So")</formula>
    </cfRule>
    <cfRule type="expression" dxfId="4010" priority="44">
      <formula>AND(J22&gt;0,INDIRECT("Basistabelle!G" &amp; ($A$1+K$1+J22))&lt;="",INDIRECT("Basistabelle!H" &amp; ($A$1+K$1+J22))&gt;"")</formula>
    </cfRule>
  </conditionalFormatting>
  <conditionalFormatting sqref="K23">
    <cfRule type="expression" dxfId="4009" priority="41">
      <formula>OR($A23="Sa",$A23="So")</formula>
    </cfRule>
    <cfRule type="expression" dxfId="4008" priority="42">
      <formula>AND(J23&gt;0,INDIRECT("Basistabelle!G" &amp; ($A$1+K$1+J23))&lt;="",INDIRECT("Basistabelle!H" &amp; ($A$1+K$1+J23))&gt;"")</formula>
    </cfRule>
  </conditionalFormatting>
  <conditionalFormatting sqref="K24">
    <cfRule type="expression" dxfId="4007" priority="39">
      <formula>OR($A24="Sa",$A24="So")</formula>
    </cfRule>
    <cfRule type="expression" dxfId="4006" priority="40">
      <formula>AND(J24&gt;0,INDIRECT("Basistabelle!G" &amp; ($A$1+K$1+J24))&lt;="",INDIRECT("Basistabelle!H" &amp; ($A$1+K$1+J24))&gt;"")</formula>
    </cfRule>
  </conditionalFormatting>
  <conditionalFormatting sqref="K25">
    <cfRule type="expression" dxfId="4005" priority="37">
      <formula>OR($A25="Sa",$A25="So")</formula>
    </cfRule>
    <cfRule type="expression" dxfId="4004" priority="38">
      <formula>AND(J25&gt;0,INDIRECT("Basistabelle!G" &amp; ($A$1+K$1+J25))&lt;="",INDIRECT("Basistabelle!H" &amp; ($A$1+K$1+J25))&gt;"")</formula>
    </cfRule>
  </conditionalFormatting>
  <conditionalFormatting sqref="K26">
    <cfRule type="expression" dxfId="4003" priority="35">
      <formula>OR($A26="Sa",$A26="So")</formula>
    </cfRule>
    <cfRule type="expression" dxfId="4002" priority="36">
      <formula>AND(J26&gt;0,INDIRECT("Basistabelle!G" &amp; ($A$1+K$1+J26))&lt;="",INDIRECT("Basistabelle!H" &amp; ($A$1+K$1+J26))&gt;"")</formula>
    </cfRule>
  </conditionalFormatting>
  <conditionalFormatting sqref="K27">
    <cfRule type="expression" dxfId="4001" priority="33">
      <formula>OR($A27="Sa",$A27="So")</formula>
    </cfRule>
    <cfRule type="expression" dxfId="4000" priority="34">
      <formula>AND(J27&gt;0,INDIRECT("Basistabelle!G" &amp; ($A$1+K$1+J27))&lt;="",INDIRECT("Basistabelle!H" &amp; ($A$1+K$1+J27))&gt;"")</formula>
    </cfRule>
  </conditionalFormatting>
  <conditionalFormatting sqref="K28">
    <cfRule type="expression" dxfId="3999" priority="31">
      <formula>OR($A28="Sa",$A28="So")</formula>
    </cfRule>
    <cfRule type="expression" dxfId="3998" priority="32">
      <formula>AND(J28&gt;0,INDIRECT("Basistabelle!G" &amp; ($A$1+K$1+J28))&lt;="",INDIRECT("Basistabelle!H" &amp; ($A$1+K$1+J28))&gt;"")</formula>
    </cfRule>
  </conditionalFormatting>
  <conditionalFormatting sqref="K29">
    <cfRule type="expression" dxfId="3997" priority="29">
      <formula>OR($A29="Sa",$A29="So")</formula>
    </cfRule>
    <cfRule type="expression" dxfId="3996" priority="30">
      <formula>AND(J29&gt;0,INDIRECT("Basistabelle!G" &amp; ($A$1+K$1+J29))&lt;="",INDIRECT("Basistabelle!H" &amp; ($A$1+K$1+J29))&gt;"")</formula>
    </cfRule>
  </conditionalFormatting>
  <conditionalFormatting sqref="K30">
    <cfRule type="expression" dxfId="3995" priority="27">
      <formula>OR($A30="Sa",$A30="So")</formula>
    </cfRule>
    <cfRule type="expression" dxfId="3994" priority="28">
      <formula>AND(J30&gt;0,INDIRECT("Basistabelle!G" &amp; ($A$1+K$1+J30))&lt;="",INDIRECT("Basistabelle!H" &amp; ($A$1+K$1+J30))&gt;"")</formula>
    </cfRule>
  </conditionalFormatting>
  <conditionalFormatting sqref="K31">
    <cfRule type="expression" dxfId="3993" priority="25">
      <formula>OR($A31="Sa",$A31="So")</formula>
    </cfRule>
    <cfRule type="expression" dxfId="3992" priority="26">
      <formula>AND(J31&gt;0,INDIRECT("Basistabelle!G" &amp; ($A$1+K$1+J31))&lt;="",INDIRECT("Basistabelle!H" &amp; ($A$1+K$1+J31))&gt;"")</formula>
    </cfRule>
  </conditionalFormatting>
  <conditionalFormatting sqref="K32">
    <cfRule type="expression" dxfId="3991" priority="23">
      <formula>OR($A32="Sa",$A32="So")</formula>
    </cfRule>
    <cfRule type="expression" dxfId="3990" priority="24">
      <formula>AND(J32&gt;0,INDIRECT("Basistabelle!G" &amp; ($A$1+K$1+J32))&lt;="",INDIRECT("Basistabelle!H" &amp; ($A$1+K$1+J32))&gt;"")</formula>
    </cfRule>
  </conditionalFormatting>
  <conditionalFormatting sqref="K33">
    <cfRule type="expression" dxfId="3989" priority="21">
      <formula>OR($A33="Sa",$A33="So")</formula>
    </cfRule>
    <cfRule type="expression" dxfId="3988" priority="22">
      <formula>AND(J33&gt;0,INDIRECT("Basistabelle!G" &amp; ($A$1+K$1+J33))&lt;="",INDIRECT("Basistabelle!H" &amp; ($A$1+K$1+J33))&gt;"")</formula>
    </cfRule>
  </conditionalFormatting>
  <conditionalFormatting sqref="K34">
    <cfRule type="expression" dxfId="3987" priority="19">
      <formula>OR($A34="Sa",$A34="So")</formula>
    </cfRule>
    <cfRule type="expression" dxfId="3986" priority="20">
      <formula>AND(J34&gt;0,INDIRECT("Basistabelle!G" &amp; ($A$1+K$1+J34))&lt;="",INDIRECT("Basistabelle!H" &amp; ($A$1+K$1+J34))&gt;"")</formula>
    </cfRule>
  </conditionalFormatting>
  <conditionalFormatting sqref="K35">
    <cfRule type="expression" dxfId="3985" priority="17">
      <formula>OR($A35="Sa",$A35="So")</formula>
    </cfRule>
    <cfRule type="expression" dxfId="3984" priority="18">
      <formula>AND(J35&gt;0,INDIRECT("Basistabelle!G" &amp; ($A$1+K$1+J35))&lt;="",INDIRECT("Basistabelle!H" &amp; ($A$1+K$1+J35))&gt;"")</formula>
    </cfRule>
  </conditionalFormatting>
  <conditionalFormatting sqref="K36">
    <cfRule type="expression" dxfId="3983" priority="15">
      <formula>OR($A36="Sa",$A36="So")</formula>
    </cfRule>
    <cfRule type="expression" dxfId="3982" priority="16">
      <formula>AND(J36&gt;0,INDIRECT("Basistabelle!G" &amp; ($A$1+K$1+J36))&lt;="",INDIRECT("Basistabelle!H" &amp; ($A$1+K$1+J36))&gt;"")</formula>
    </cfRule>
  </conditionalFormatting>
  <conditionalFormatting sqref="K37">
    <cfRule type="expression" dxfId="3981" priority="13">
      <formula>OR($A37="Sa",$A37="So")</formula>
    </cfRule>
    <cfRule type="expression" dxfId="3980" priority="14">
      <formula>AND(J37&gt;0,INDIRECT("Basistabelle!G" &amp; ($A$1+K$1+J37))&lt;="",INDIRECT("Basistabelle!H" &amp; ($A$1+K$1+J37))&gt;"")</formula>
    </cfRule>
  </conditionalFormatting>
  <conditionalFormatting sqref="K38">
    <cfRule type="expression" dxfId="3979" priority="11">
      <formula>OR($A38="Sa",$A38="So")</formula>
    </cfRule>
    <cfRule type="expression" dxfId="3978" priority="12">
      <formula>AND(J38&gt;0,INDIRECT("Basistabelle!G" &amp; ($A$1+K$1+J38))&lt;="",INDIRECT("Basistabelle!H" &amp; ($A$1+K$1+J38))&gt;"")</formula>
    </cfRule>
  </conditionalFormatting>
  <conditionalFormatting sqref="K39">
    <cfRule type="expression" dxfId="3977" priority="9">
      <formula>OR($A39="Sa",$A39="So")</formula>
    </cfRule>
    <cfRule type="expression" dxfId="3976" priority="10">
      <formula>AND(J39&gt;0,INDIRECT("Basistabelle!G" &amp; ($A$1+K$1+J39))&lt;="",INDIRECT("Basistabelle!H" &amp; ($A$1+K$1+J39))&gt;"")</formula>
    </cfRule>
  </conditionalFormatting>
  <conditionalFormatting sqref="K40">
    <cfRule type="expression" dxfId="3975" priority="7">
      <formula>OR($A40="Sa",$A40="So")</formula>
    </cfRule>
    <cfRule type="expression" dxfId="3974" priority="8">
      <formula>AND(J40&gt;0,INDIRECT("Basistabelle!G" &amp; ($A$1+K$1+J40))&lt;="",INDIRECT("Basistabelle!H" &amp; ($A$1+K$1+J40))&gt;"")</formula>
    </cfRule>
  </conditionalFormatting>
  <conditionalFormatting sqref="K41">
    <cfRule type="expression" dxfId="3973" priority="5">
      <formula>OR($A41="Sa",$A41="So")</formula>
    </cfRule>
    <cfRule type="expression" dxfId="3972" priority="6">
      <formula>AND(J41&gt;0,INDIRECT("Basistabelle!G" &amp; ($A$1+K$1+J41))&lt;="",INDIRECT("Basistabelle!H" &amp; ($A$1+K$1+J41))&gt;"")</formula>
    </cfRule>
  </conditionalFormatting>
  <conditionalFormatting sqref="C36">
    <cfRule type="expression" dxfId="3971" priority="3">
      <formula>OR($A36="Sa",$A36="So")</formula>
    </cfRule>
    <cfRule type="expression" dxfId="3970" priority="4">
      <formula>AND(B36&gt;0,INDIRECT("Basistabelle!G" &amp; ($A$1+C$1+B36))&lt;="",INDIRECT("Basistabelle!H" &amp; ($A$1+C$1+B36))&gt;"")</formula>
    </cfRule>
  </conditionalFormatting>
  <conditionalFormatting sqref="C27">
    <cfRule type="expression" dxfId="3969" priority="1">
      <formula>OR($A27="Sa",$A27="So")</formula>
    </cfRule>
    <cfRule type="expression" dxfId="3968" priority="2">
      <formula>AND(B27&gt;0,INDIRECT("Basistabelle!G" &amp; ($A$1+C$1+B27))&lt;="",INDIRECT("Basistabelle!H" &amp; ($A$1+C$1+B27))&gt;"")</formula>
    </cfRule>
  </conditionalFormatting>
  <pageMargins left="0.23622047244094491" right="0.23622047244094491" top="0.74803149606299213" bottom="0.74803149606299213" header="0.31496062992125984" footer="0.31496062992125984"/>
  <pageSetup paperSize="9" scale="75" orientation="landscape" r:id="rId1"/>
  <headerFooter>
    <oddHeader>&amp;C&amp;"-,Fett"ESG
Jahresübersicht 2015 (V0.1 per 12.4.2014)</oddHeader>
    <oddFooter>&amp;CPS 12.4.2014</oddFooter>
  </headerFooter>
  <rowBreaks count="1" manualBreakCount="1">
    <brk id="4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 enableFormatConditionsCalculation="0">
    <pageSetUpPr fitToPage="1"/>
  </sheetPr>
  <dimension ref="A1:CS47"/>
  <sheetViews>
    <sheetView topLeftCell="A2" zoomScale="75" zoomScaleNormal="75" zoomScalePageLayoutView="75" workbookViewId="0">
      <selection activeCell="A13" sqref="A13"/>
    </sheetView>
  </sheetViews>
  <sheetFormatPr baseColWidth="10" defaultColWidth="11.5" defaultRowHeight="14" x14ac:dyDescent="0.2"/>
  <cols>
    <col min="1" max="1" width="4.83203125" style="1" bestFit="1" customWidth="1"/>
    <col min="2" max="2" width="3" style="1" bestFit="1" customWidth="1"/>
    <col min="3" max="3" width="9.83203125" style="75" customWidth="1"/>
    <col min="4" max="4" width="0.1640625" style="117" customWidth="1"/>
    <col min="5" max="5" width="0.1640625" style="118" customWidth="1"/>
    <col min="6" max="6" width="0.1640625" style="117" customWidth="1"/>
    <col min="7" max="7" width="0.1640625" style="118" customWidth="1"/>
    <col min="8" max="8" width="0.1640625" style="117" customWidth="1"/>
    <col min="9" max="9" width="0.1640625" style="118" customWidth="1"/>
    <col min="10" max="10" width="3" style="1" bestFit="1" customWidth="1"/>
    <col min="11" max="11" width="9.83203125" style="75" customWidth="1"/>
    <col min="12" max="12" width="0.1640625" style="117" customWidth="1"/>
    <col min="13" max="13" width="0.1640625" style="118" customWidth="1"/>
    <col min="14" max="14" width="0.1640625" style="117" customWidth="1"/>
    <col min="15" max="15" width="0.1640625" style="118" customWidth="1"/>
    <col min="16" max="16" width="0.1640625" style="117" customWidth="1"/>
    <col min="17" max="17" width="0.1640625" style="118" customWidth="1"/>
    <col min="18" max="18" width="3" style="1" bestFit="1" customWidth="1"/>
    <col min="19" max="19" width="9.83203125" style="75" customWidth="1"/>
    <col min="20" max="20" width="0.1640625" style="117" customWidth="1"/>
    <col min="21" max="21" width="0.1640625" style="118" customWidth="1"/>
    <col min="22" max="22" width="0.1640625" style="117" customWidth="1"/>
    <col min="23" max="23" width="0.1640625" style="118" customWidth="1"/>
    <col min="24" max="24" width="0.1640625" style="117" customWidth="1"/>
    <col min="25" max="25" width="0.1640625" style="118" customWidth="1"/>
    <col min="26" max="26" width="3" style="1" bestFit="1" customWidth="1"/>
    <col min="27" max="27" width="9.83203125" style="75" customWidth="1"/>
    <col min="28" max="28" width="0.1640625" style="117" customWidth="1"/>
    <col min="29" max="29" width="0.1640625" style="118" customWidth="1"/>
    <col min="30" max="30" width="0.1640625" style="117" customWidth="1"/>
    <col min="31" max="31" width="0.1640625" style="118" customWidth="1"/>
    <col min="32" max="32" width="0.1640625" style="117" customWidth="1"/>
    <col min="33" max="33" width="0.1640625" style="118" customWidth="1"/>
    <col min="34" max="34" width="3" style="1" bestFit="1" customWidth="1"/>
    <col min="35" max="35" width="9.83203125" style="75" customWidth="1"/>
    <col min="36" max="36" width="0.1640625" style="117" customWidth="1"/>
    <col min="37" max="37" width="0.1640625" style="118" customWidth="1"/>
    <col min="38" max="38" width="0.1640625" style="117" customWidth="1"/>
    <col min="39" max="39" width="0.1640625" style="118" customWidth="1"/>
    <col min="40" max="40" width="0.1640625" style="117" customWidth="1"/>
    <col min="41" max="41" width="0.1640625" style="118" customWidth="1"/>
    <col min="42" max="42" width="3" style="1" bestFit="1" customWidth="1"/>
    <col min="43" max="43" width="9.83203125" style="75" customWidth="1"/>
    <col min="44" max="44" width="0.1640625" style="117" customWidth="1"/>
    <col min="45" max="45" width="0.1640625" style="118" customWidth="1"/>
    <col min="46" max="46" width="0.1640625" style="117" customWidth="1"/>
    <col min="47" max="47" width="0.1640625" style="118" customWidth="1"/>
    <col min="48" max="48" width="0.1640625" style="117" customWidth="1"/>
    <col min="49" max="49" width="0.1640625" style="118" customWidth="1"/>
    <col min="50" max="50" width="3" style="1" bestFit="1" customWidth="1"/>
    <col min="51" max="51" width="9.83203125" style="75" customWidth="1"/>
    <col min="52" max="52" width="0.1640625" style="117" customWidth="1"/>
    <col min="53" max="53" width="0.1640625" style="118" customWidth="1"/>
    <col min="54" max="54" width="0.1640625" style="117" customWidth="1"/>
    <col min="55" max="55" width="0.1640625" style="118" customWidth="1"/>
    <col min="56" max="56" width="0.1640625" style="117" customWidth="1"/>
    <col min="57" max="57" width="0.1640625" style="118" customWidth="1"/>
    <col min="58" max="58" width="3.1640625" style="3" bestFit="1" customWidth="1"/>
    <col min="59" max="59" width="9.83203125" style="80" customWidth="1"/>
    <col min="60" max="60" width="0.1640625" style="117" customWidth="1"/>
    <col min="61" max="61" width="0.1640625" style="118" customWidth="1"/>
    <col min="62" max="62" width="0.1640625" style="117" customWidth="1"/>
    <col min="63" max="63" width="0.1640625" style="118" customWidth="1"/>
    <col min="64" max="64" width="0.1640625" style="117" customWidth="1"/>
    <col min="65" max="65" width="0.1640625" style="118" customWidth="1"/>
    <col min="66" max="66" width="3" style="1" bestFit="1" customWidth="1"/>
    <col min="67" max="67" width="9.83203125" style="75" customWidth="1"/>
    <col min="68" max="68" width="0.1640625" style="117" customWidth="1"/>
    <col min="69" max="69" width="0.1640625" style="118" customWidth="1"/>
    <col min="70" max="70" width="0.1640625" style="117" customWidth="1"/>
    <col min="71" max="71" width="0.1640625" style="118" customWidth="1"/>
    <col min="72" max="72" width="0.1640625" style="117" customWidth="1"/>
    <col min="73" max="73" width="0.1640625" style="118" customWidth="1"/>
    <col min="74" max="74" width="3.1640625" style="1" bestFit="1" customWidth="1"/>
    <col min="75" max="75" width="9.83203125" style="75" customWidth="1"/>
    <col min="76" max="76" width="0.1640625" style="117" customWidth="1"/>
    <col min="77" max="77" width="0.1640625" style="118" customWidth="1"/>
    <col min="78" max="78" width="0.1640625" style="117" customWidth="1"/>
    <col min="79" max="79" width="0.1640625" style="118" customWidth="1"/>
    <col min="80" max="80" width="0.1640625" style="117" customWidth="1"/>
    <col min="81" max="81" width="0.1640625" style="118" customWidth="1"/>
    <col min="82" max="82" width="3" style="1" bestFit="1" customWidth="1"/>
    <col min="83" max="83" width="9.83203125" style="75" customWidth="1"/>
    <col min="84" max="84" width="0.1640625" style="117" customWidth="1"/>
    <col min="85" max="85" width="0.1640625" style="118" customWidth="1"/>
    <col min="86" max="86" width="0.1640625" style="117" customWidth="1"/>
    <col min="87" max="87" width="0.1640625" style="118" customWidth="1"/>
    <col min="88" max="88" width="0.1640625" style="117" customWidth="1"/>
    <col min="89" max="89" width="0.1640625" style="118" customWidth="1"/>
    <col min="90" max="90" width="3" style="1" bestFit="1" customWidth="1"/>
    <col min="91" max="91" width="9.83203125" style="75" customWidth="1"/>
    <col min="92" max="92" width="0.1640625" style="117" customWidth="1"/>
    <col min="93" max="93" width="0.1640625" style="118" customWidth="1"/>
    <col min="94" max="94" width="0.1640625" style="117" customWidth="1"/>
    <col min="95" max="95" width="0.1640625" style="118" customWidth="1"/>
    <col min="96" max="96" width="0.1640625" style="117" customWidth="1"/>
    <col min="97" max="97" width="0.1640625" style="118" customWidth="1"/>
    <col min="98" max="16384" width="11.5" style="1"/>
  </cols>
  <sheetData>
    <row r="1" spans="1:97" hidden="1" x14ac:dyDescent="0.2">
      <c r="A1" s="1">
        <v>5</v>
      </c>
      <c r="C1" s="75">
        <v>0</v>
      </c>
      <c r="K1" s="75">
        <v>31</v>
      </c>
      <c r="S1" s="75">
        <v>59</v>
      </c>
      <c r="AA1" s="75">
        <v>90</v>
      </c>
      <c r="AI1" s="75">
        <v>120</v>
      </c>
      <c r="AQ1" s="75">
        <v>151</v>
      </c>
      <c r="AY1" s="75">
        <v>181</v>
      </c>
      <c r="BG1" s="80">
        <v>212</v>
      </c>
      <c r="BO1" s="75">
        <v>243</v>
      </c>
      <c r="BW1" s="75">
        <v>273</v>
      </c>
      <c r="CE1" s="75">
        <v>304</v>
      </c>
      <c r="CM1" s="75">
        <v>334</v>
      </c>
    </row>
    <row r="2" spans="1:97" ht="15" customHeight="1" x14ac:dyDescent="0.2">
      <c r="A2" s="5"/>
      <c r="B2" s="180" t="s">
        <v>0</v>
      </c>
      <c r="C2" s="179"/>
      <c r="D2" s="119"/>
      <c r="E2" s="120"/>
      <c r="F2" s="119"/>
      <c r="G2" s="120"/>
      <c r="H2" s="119"/>
      <c r="I2" s="120"/>
      <c r="J2" s="178" t="s">
        <v>9</v>
      </c>
      <c r="K2" s="179"/>
      <c r="L2" s="132"/>
      <c r="M2" s="133"/>
      <c r="N2" s="132"/>
      <c r="O2" s="133"/>
      <c r="P2" s="132"/>
      <c r="Q2" s="133"/>
      <c r="R2" s="181" t="s">
        <v>10</v>
      </c>
      <c r="S2" s="182"/>
      <c r="T2" s="132"/>
      <c r="U2" s="133"/>
      <c r="V2" s="132"/>
      <c r="W2" s="133"/>
      <c r="X2" s="132"/>
      <c r="Y2" s="133"/>
      <c r="Z2" s="181" t="s">
        <v>11</v>
      </c>
      <c r="AA2" s="182"/>
      <c r="AB2" s="132"/>
      <c r="AC2" s="133"/>
      <c r="AD2" s="132"/>
      <c r="AE2" s="133"/>
      <c r="AF2" s="132"/>
      <c r="AG2" s="133"/>
      <c r="AH2" s="178" t="s">
        <v>13</v>
      </c>
      <c r="AI2" s="179"/>
      <c r="AJ2" s="132"/>
      <c r="AK2" s="133"/>
      <c r="AL2" s="132"/>
      <c r="AM2" s="133"/>
      <c r="AN2" s="132"/>
      <c r="AO2" s="133"/>
      <c r="AP2" s="178" t="s">
        <v>15</v>
      </c>
      <c r="AQ2" s="179"/>
      <c r="AR2" s="132"/>
      <c r="AS2" s="133"/>
      <c r="AT2" s="132"/>
      <c r="AU2" s="133"/>
      <c r="AV2" s="132"/>
      <c r="AW2" s="133"/>
      <c r="AX2" s="181" t="s">
        <v>17</v>
      </c>
      <c r="AY2" s="182"/>
      <c r="AZ2" s="132"/>
      <c r="BA2" s="133"/>
      <c r="BB2" s="132"/>
      <c r="BC2" s="133"/>
      <c r="BD2" s="132"/>
      <c r="BE2" s="133"/>
      <c r="BF2" s="181" t="s">
        <v>18</v>
      </c>
      <c r="BG2" s="182"/>
      <c r="BH2" s="132"/>
      <c r="BI2" s="133"/>
      <c r="BJ2" s="132"/>
      <c r="BK2" s="133"/>
      <c r="BL2" s="132"/>
      <c r="BM2" s="133"/>
      <c r="BN2" s="178" t="s">
        <v>19</v>
      </c>
      <c r="BO2" s="179"/>
      <c r="BP2" s="132"/>
      <c r="BQ2" s="133"/>
      <c r="BR2" s="132"/>
      <c r="BS2" s="133"/>
      <c r="BT2" s="132"/>
      <c r="BU2" s="133"/>
      <c r="BV2" s="178" t="s">
        <v>20</v>
      </c>
      <c r="BW2" s="179"/>
      <c r="BX2" s="132"/>
      <c r="BY2" s="133"/>
      <c r="BZ2" s="132"/>
      <c r="CA2" s="133"/>
      <c r="CB2" s="132"/>
      <c r="CC2" s="133"/>
      <c r="CD2" s="178" t="s">
        <v>21</v>
      </c>
      <c r="CE2" s="179"/>
      <c r="CF2" s="132"/>
      <c r="CG2" s="133"/>
      <c r="CH2" s="132"/>
      <c r="CI2" s="133"/>
      <c r="CJ2" s="132"/>
      <c r="CK2" s="133"/>
      <c r="CL2" s="178" t="s">
        <v>22</v>
      </c>
      <c r="CM2" s="179"/>
      <c r="CN2" s="132"/>
      <c r="CO2" s="133"/>
      <c r="CP2" s="132"/>
      <c r="CQ2" s="133"/>
      <c r="CR2" s="132"/>
      <c r="CS2" s="138"/>
    </row>
    <row r="3" spans="1:97" s="2" customFormat="1" ht="14.5" customHeight="1" x14ac:dyDescent="0.2">
      <c r="A3" s="6" t="s">
        <v>25</v>
      </c>
      <c r="B3" s="7"/>
      <c r="C3" s="84" t="str">
        <f t="shared" ref="C3:C4" ca="1" si="0">IF(B3&gt;0,IF(INDIRECT("Basistabelle!G" &amp; $A$1+B3+C$1)&gt;"",INDIRECT("Basistabelle!G" &amp; $A$1+B3+C$1),IF(INDIRECT("Basistabelle!H" &amp; $A$1+B3+C$1)&gt;"",INDIRECT("Basistabelle!H" &amp; $A$1+B3+C$1),"")),"")</f>
        <v/>
      </c>
      <c r="D3" s="176">
        <v>1</v>
      </c>
      <c r="E3" s="176"/>
      <c r="F3" s="176"/>
      <c r="G3" s="176"/>
      <c r="H3" s="176"/>
      <c r="I3" s="177"/>
      <c r="J3" s="17"/>
      <c r="K3" s="84" t="str">
        <f t="shared" ref="K3:K41" ca="1" si="1">IF(J3&gt;0,IF(INDIRECT("Basistabelle!G" &amp; $A$1+J3+K$1)&gt;"",INDIRECT("Basistabelle!G" &amp; $A$1+J3+K$1),IF(INDIRECT("Basistabelle!H" &amp; $A$1+J3+K$1)&gt;"",INDIRECT("Basistabelle!H" &amp; $A$1+J3+K$1),"")),"")</f>
        <v/>
      </c>
      <c r="L3" s="134"/>
      <c r="M3" s="135"/>
      <c r="N3" s="134"/>
      <c r="O3" s="135"/>
      <c r="P3" s="134"/>
      <c r="Q3" s="136"/>
      <c r="R3" s="17"/>
      <c r="S3" s="84" t="str">
        <f t="shared" ref="S3:S41" ca="1" si="2">IF(R3&gt;0,IF(INDIRECT("Basistabelle!G" &amp; $A$1+R3+S$1)&gt;"",INDIRECT("Basistabelle!G" &amp; $A$1+R3+S$1),IF(INDIRECT("Basistabelle!H" &amp; $A$1+R3+S$1)&gt;"",INDIRECT("Basistabelle!H" &amp; $A$1+R3+S$1),"")),"")</f>
        <v/>
      </c>
      <c r="T3" s="134"/>
      <c r="U3" s="135"/>
      <c r="V3" s="134"/>
      <c r="W3" s="135"/>
      <c r="X3" s="134"/>
      <c r="Y3" s="136"/>
      <c r="Z3" s="17"/>
      <c r="AA3" s="84" t="str">
        <f t="shared" ref="AA3:AA41" ca="1" si="3">IF(Z3&gt;0,IF(INDIRECT("Basistabelle!G" &amp; $A$1+Z3+AA$1)&gt;"",INDIRECT("Basistabelle!G" &amp; $A$1+Z3+AA$1),IF(INDIRECT("Basistabelle!H" &amp; $A$1+Z3+AA$1)&gt;"",INDIRECT("Basistabelle!H" &amp; $A$1+Z3+AA$1),"")),"")</f>
        <v/>
      </c>
      <c r="AB3" s="134"/>
      <c r="AC3" s="135"/>
      <c r="AD3" s="121"/>
      <c r="AE3" s="135"/>
      <c r="AF3" s="134"/>
      <c r="AG3" s="136"/>
      <c r="AH3" s="17"/>
      <c r="AI3" s="84" t="str">
        <f t="shared" ref="AI3" ca="1" si="4">IF(AH3&gt;0,IF(INDIRECT("Basistabelle!G" &amp; $A$1+AH3+AI$1)&gt;"",INDIRECT("Basistabelle!G" &amp; $A$1+AH3+AI$1),IF(INDIRECT("Basistabelle!H" &amp; $A$1+AH3+AI$1)&gt;"",INDIRECT("Basistabelle!H" &amp; $A$1+AH3+AI$1),"")),"")</f>
        <v/>
      </c>
      <c r="AJ3" s="134"/>
      <c r="AK3" s="135"/>
      <c r="AL3" s="134"/>
      <c r="AM3" s="135"/>
      <c r="AN3" s="134"/>
      <c r="AO3" s="136"/>
      <c r="AP3" s="17"/>
      <c r="AQ3" s="84" t="str">
        <f t="shared" ref="AQ3:AQ39" ca="1" si="5">IF(AP3&gt;0,IF(INDIRECT("Basistabelle!G" &amp; $A$1+AP3+AQ$1)&gt;"",INDIRECT("Basistabelle!G" &amp; $A$1+AP3+AQ$1),IF(INDIRECT("Basistabelle!H" &amp; $A$1+AP3+AQ$1)&gt;"",INDIRECT("Basistabelle!H" &amp; $A$1+AP3+AQ$1),"")),"")</f>
        <v/>
      </c>
      <c r="AR3" s="134"/>
      <c r="AS3" s="135"/>
      <c r="AT3" s="134"/>
      <c r="AU3" s="135"/>
      <c r="AV3" s="134"/>
      <c r="AW3" s="136"/>
      <c r="AX3" s="17"/>
      <c r="AY3" s="84" t="str">
        <f t="shared" ref="AY3:AY41" ca="1" si="6">IF(AX3&gt;0,IF(INDIRECT("Basistabelle!G" &amp; $A$1+AX3+AY$1)&gt;"",INDIRECT("Basistabelle!G" &amp; $A$1+AX3+AY$1),IF(INDIRECT("Basistabelle!H" &amp; $A$1+AX3+AY$1)&gt;"",INDIRECT("Basistabelle!H" &amp; $A$1+AX3+AY$1),"")),"")</f>
        <v/>
      </c>
      <c r="AZ3" s="134"/>
      <c r="BA3" s="135"/>
      <c r="BB3" s="134"/>
      <c r="BC3" s="135"/>
      <c r="BD3" s="134"/>
      <c r="BE3" s="136"/>
      <c r="BF3" s="20"/>
      <c r="BG3" s="84" t="str">
        <f t="shared" ref="BG3:BG41" ca="1" si="7">IF(BF3&gt;0,IF(INDIRECT("Basistabelle!G" &amp; $A$1+BF3+BG$1)&gt;"",INDIRECT("Basistabelle!G" &amp; $A$1+BF3+BG$1),IF(INDIRECT("Basistabelle!H" &amp; $A$1+BF3+BG$1)&gt;"",INDIRECT("Basistabelle!H" &amp; $A$1+BF3+BG$1),"")),"")</f>
        <v/>
      </c>
      <c r="BH3" s="134"/>
      <c r="BI3" s="135"/>
      <c r="BJ3" s="134"/>
      <c r="BK3" s="135"/>
      <c r="BL3" s="134"/>
      <c r="BM3" s="136"/>
      <c r="BN3" s="6"/>
      <c r="BO3" s="84" t="str">
        <f t="shared" ref="BO3:BO41" ca="1" si="8">IF(BN3&gt;0,IF(INDIRECT("Basistabelle!G" &amp; $A$1+BN3+BO$1)&gt;"",INDIRECT("Basistabelle!G" &amp; $A$1+BN3+BO$1),IF(INDIRECT("Basistabelle!H" &amp; $A$1+BN3+BO$1)&gt;"",INDIRECT("Basistabelle!H" &amp; $A$1+BN3+BO$1),"")),"")</f>
        <v/>
      </c>
      <c r="BP3" s="134"/>
      <c r="BQ3" s="135"/>
      <c r="BR3" s="134"/>
      <c r="BS3" s="135"/>
      <c r="BT3" s="134"/>
      <c r="BU3" s="136"/>
      <c r="BV3" s="17"/>
      <c r="BW3" s="84" t="str">
        <f t="shared" ref="BW3:BW41" ca="1" si="9">IF(BV3&gt;0,IF(INDIRECT("Basistabelle!G" &amp; $A$1+BV3+BW$1)&gt;"",INDIRECT("Basistabelle!G" &amp; $A$1+BV3+BW$1),IF(INDIRECT("Basistabelle!H" &amp; $A$1+BV3+BW$1)&gt;"",INDIRECT("Basistabelle!H" &amp; $A$1+BV3+BW$1),"")),"")</f>
        <v/>
      </c>
      <c r="BX3" s="134"/>
      <c r="BY3" s="135"/>
      <c r="BZ3" s="134"/>
      <c r="CA3" s="135"/>
      <c r="CB3" s="134"/>
      <c r="CC3" s="136"/>
      <c r="CD3" s="17"/>
      <c r="CE3" s="84" t="str">
        <f t="shared" ref="CE3:CE41" ca="1" si="10">IF(CD3&gt;0,IF(INDIRECT("Basistabelle!G" &amp; $A$1+CD3+CE$1)&gt;"",INDIRECT("Basistabelle!G" &amp; $A$1+CD3+CE$1),IF(INDIRECT("Basistabelle!H" &amp; $A$1+CD3+CE$1)&gt;"",INDIRECT("Basistabelle!H" &amp; $A$1+CD3+CE$1),"")),"")</f>
        <v/>
      </c>
      <c r="CF3" s="134"/>
      <c r="CG3" s="135"/>
      <c r="CH3" s="134"/>
      <c r="CI3" s="135"/>
      <c r="CJ3" s="134"/>
      <c r="CK3" s="136"/>
      <c r="CL3" s="6"/>
      <c r="CM3" s="84" t="str">
        <f t="shared" ref="CM3:CM41" ca="1" si="11">IF(CL3&gt;0,IF(INDIRECT("Basistabelle!G" &amp; $A$1+CL3+CM$1)&gt;"",INDIRECT("Basistabelle!G" &amp; $A$1+CL3+CM$1),IF(INDIRECT("Basistabelle!H" &amp; $A$1+CL3+CM$1)&gt;"",INDIRECT("Basistabelle!H" &amp; $A$1+CL3+CM$1),"")),"")</f>
        <v/>
      </c>
      <c r="CN3" s="134"/>
      <c r="CO3" s="135"/>
      <c r="CP3" s="134"/>
      <c r="CQ3" s="135"/>
      <c r="CR3" s="134"/>
      <c r="CS3" s="136"/>
    </row>
    <row r="4" spans="1:97" s="2" customFormat="1" x14ac:dyDescent="0.2">
      <c r="A4" s="6" t="s">
        <v>6</v>
      </c>
      <c r="B4" s="7"/>
      <c r="C4" s="84" t="str">
        <f t="shared" ca="1" si="0"/>
        <v/>
      </c>
      <c r="D4" s="121"/>
      <c r="E4" s="122"/>
      <c r="F4" s="123"/>
      <c r="G4" s="122"/>
      <c r="H4" s="123"/>
      <c r="I4" s="122"/>
      <c r="J4" s="17"/>
      <c r="K4" s="84" t="str">
        <f t="shared" ca="1" si="1"/>
        <v/>
      </c>
      <c r="L4" s="121"/>
      <c r="M4" s="122"/>
      <c r="N4" s="123"/>
      <c r="O4" s="122"/>
      <c r="P4" s="123"/>
      <c r="Q4" s="122"/>
      <c r="R4" s="17"/>
      <c r="S4" s="84" t="str">
        <f t="shared" ca="1" si="2"/>
        <v/>
      </c>
      <c r="T4" s="121"/>
      <c r="U4" s="122"/>
      <c r="V4" s="123"/>
      <c r="W4" s="122"/>
      <c r="X4" s="123"/>
      <c r="Y4" s="122"/>
      <c r="Z4" s="6"/>
      <c r="AA4" s="84" t="str">
        <f t="shared" ca="1" si="3"/>
        <v/>
      </c>
      <c r="AB4" s="121"/>
      <c r="AC4" s="122"/>
      <c r="AD4" s="121"/>
      <c r="AE4" s="122"/>
      <c r="AF4" s="123"/>
      <c r="AG4" s="122"/>
      <c r="AH4" s="17"/>
      <c r="AI4" s="19" t="s">
        <v>31</v>
      </c>
      <c r="AJ4" s="121"/>
      <c r="AK4" s="122"/>
      <c r="AL4" s="123"/>
      <c r="AM4" s="122"/>
      <c r="AN4" s="123"/>
      <c r="AO4" s="122"/>
      <c r="AP4" s="17"/>
      <c r="AQ4" s="84" t="str">
        <f t="shared" ca="1" si="5"/>
        <v/>
      </c>
      <c r="AR4" s="121"/>
      <c r="AS4" s="122"/>
      <c r="AT4" s="123"/>
      <c r="AU4" s="122"/>
      <c r="AV4" s="123"/>
      <c r="AW4" s="122"/>
      <c r="AX4" s="6"/>
      <c r="AY4" s="84" t="str">
        <f t="shared" ca="1" si="6"/>
        <v/>
      </c>
      <c r="AZ4" s="121"/>
      <c r="BA4" s="122"/>
      <c r="BB4" s="123"/>
      <c r="BC4" s="122"/>
      <c r="BD4" s="123"/>
      <c r="BE4" s="122"/>
      <c r="BF4" s="20"/>
      <c r="BG4" s="84" t="str">
        <f t="shared" ca="1" si="7"/>
        <v/>
      </c>
      <c r="BH4" s="121"/>
      <c r="BI4" s="122"/>
      <c r="BJ4" s="123"/>
      <c r="BK4" s="122"/>
      <c r="BL4" s="123"/>
      <c r="BM4" s="122"/>
      <c r="BN4" s="6">
        <v>1</v>
      </c>
      <c r="BO4" s="84" t="str">
        <f t="shared" ca="1" si="8"/>
        <v/>
      </c>
      <c r="BP4" s="125">
        <f>Basistabelle!D249</f>
        <v>0</v>
      </c>
      <c r="BQ4" s="122"/>
      <c r="BR4" s="121">
        <f>Basistabelle!E249</f>
        <v>0</v>
      </c>
      <c r="BS4" s="122"/>
      <c r="BT4" s="125">
        <f>Basistabelle!F249</f>
        <v>0</v>
      </c>
      <c r="BU4" s="122"/>
      <c r="BV4" s="17"/>
      <c r="BW4" s="84" t="str">
        <f t="shared" ca="1" si="9"/>
        <v/>
      </c>
      <c r="BX4" s="125"/>
      <c r="BY4" s="122"/>
      <c r="BZ4" s="121"/>
      <c r="CA4" s="122"/>
      <c r="CB4" s="125"/>
      <c r="CC4" s="122"/>
      <c r="CD4" s="17"/>
      <c r="CE4" s="84" t="str">
        <f t="shared" ca="1" si="10"/>
        <v/>
      </c>
      <c r="CF4" s="125"/>
      <c r="CG4" s="122"/>
      <c r="CH4" s="121"/>
      <c r="CI4" s="122"/>
      <c r="CJ4" s="125"/>
      <c r="CK4" s="122"/>
      <c r="CL4" s="6">
        <v>1</v>
      </c>
      <c r="CM4" s="84" t="str">
        <f t="shared" ca="1" si="11"/>
        <v/>
      </c>
      <c r="CN4" s="125">
        <f>Basistabelle!D340</f>
        <v>0</v>
      </c>
      <c r="CO4" s="124"/>
      <c r="CP4" s="121">
        <f>Basistabelle!E340</f>
        <v>0</v>
      </c>
      <c r="CQ4" s="124"/>
      <c r="CR4" s="125">
        <f>Basistabelle!F340</f>
        <v>0</v>
      </c>
      <c r="CS4" s="139"/>
    </row>
    <row r="5" spans="1:97" s="2" customFormat="1" x14ac:dyDescent="0.2">
      <c r="A5" s="6" t="s">
        <v>7</v>
      </c>
      <c r="B5" s="8"/>
      <c r="C5" s="84" t="str">
        <f ca="1">IF(B5&gt;0,IF(INDIRECT("Basistabelle!G" &amp; $A$1+B5+C$1)&gt;"",INDIRECT("Basistabelle!G" &amp; $A$1+B5+C$1),IF(INDIRECT("Basistabelle!H" &amp; $A$1+B5+C$1)&gt;"",INDIRECT("Basistabelle!H" &amp; $A$1+B5+C$1),"")),"")</f>
        <v/>
      </c>
      <c r="D5" s="121"/>
      <c r="E5" s="124"/>
      <c r="F5" s="121"/>
      <c r="G5" s="124"/>
      <c r="H5" s="121"/>
      <c r="I5" s="124"/>
      <c r="J5" s="6"/>
      <c r="K5" s="84" t="str">
        <f t="shared" ca="1" si="1"/>
        <v/>
      </c>
      <c r="L5" s="121"/>
      <c r="M5" s="124"/>
      <c r="N5" s="121"/>
      <c r="O5" s="124"/>
      <c r="P5" s="121"/>
      <c r="Q5" s="124"/>
      <c r="R5" s="6"/>
      <c r="S5" s="84" t="str">
        <f t="shared" ca="1" si="2"/>
        <v/>
      </c>
      <c r="T5" s="121"/>
      <c r="U5" s="124"/>
      <c r="V5" s="121"/>
      <c r="W5" s="124"/>
      <c r="X5" s="121"/>
      <c r="Y5" s="124"/>
      <c r="Z5" s="6">
        <v>1</v>
      </c>
      <c r="AA5" s="84" t="str">
        <f t="shared" ca="1" si="3"/>
        <v/>
      </c>
      <c r="AB5" s="121">
        <f>Basistabelle!D96</f>
        <v>0</v>
      </c>
      <c r="AC5" s="124"/>
      <c r="AD5" s="121">
        <f>Basistabelle!E96</f>
        <v>0</v>
      </c>
      <c r="AE5" s="124"/>
      <c r="AF5" s="121">
        <f>Basistabelle!F96</f>
        <v>0</v>
      </c>
      <c r="AG5" s="124"/>
      <c r="AH5" s="6"/>
      <c r="AI5" s="19" t="s">
        <v>33</v>
      </c>
      <c r="AJ5" s="121"/>
      <c r="AK5" s="124"/>
      <c r="AL5" s="121"/>
      <c r="AM5" s="124"/>
      <c r="AN5" s="121"/>
      <c r="AO5" s="124"/>
      <c r="AP5" s="6"/>
      <c r="AQ5" s="84" t="str">
        <f t="shared" ca="1" si="5"/>
        <v/>
      </c>
      <c r="AR5" s="121"/>
      <c r="AS5" s="124"/>
      <c r="AT5" s="121"/>
      <c r="AU5" s="124"/>
      <c r="AV5" s="121"/>
      <c r="AW5" s="124"/>
      <c r="AX5" s="6">
        <v>1</v>
      </c>
      <c r="AY5" s="84" t="str">
        <f t="shared" ca="1" si="6"/>
        <v/>
      </c>
      <c r="AZ5" s="125">
        <f>Basistabelle!D187</f>
        <v>0</v>
      </c>
      <c r="BA5" s="124"/>
      <c r="BB5" s="121">
        <f>Basistabelle!E187</f>
        <v>0</v>
      </c>
      <c r="BC5" s="124"/>
      <c r="BD5" s="125">
        <f>Basistabelle!F187</f>
        <v>0</v>
      </c>
      <c r="BE5" s="124"/>
      <c r="BF5" s="21"/>
      <c r="BG5" s="84" t="str">
        <f t="shared" ca="1" si="7"/>
        <v/>
      </c>
      <c r="BH5" s="125"/>
      <c r="BI5" s="124"/>
      <c r="BJ5" s="121"/>
      <c r="BK5" s="124"/>
      <c r="BL5" s="125"/>
      <c r="BM5" s="124"/>
      <c r="BN5" s="6">
        <f>BN4+1</f>
        <v>2</v>
      </c>
      <c r="BO5" s="84" t="str">
        <f t="shared" ca="1" si="8"/>
        <v/>
      </c>
      <c r="BP5" s="125">
        <f>Basistabelle!D250</f>
        <v>0</v>
      </c>
      <c r="BQ5" s="124"/>
      <c r="BR5" s="121">
        <f>Basistabelle!E250</f>
        <v>0</v>
      </c>
      <c r="BS5" s="124"/>
      <c r="BT5" s="125">
        <f>Basistabelle!F250</f>
        <v>0</v>
      </c>
      <c r="BU5" s="124"/>
      <c r="BV5" s="6"/>
      <c r="BW5" s="84" t="str">
        <f t="shared" ca="1" si="9"/>
        <v/>
      </c>
      <c r="BX5" s="125"/>
      <c r="BY5" s="124"/>
      <c r="BZ5" s="121"/>
      <c r="CA5" s="124"/>
      <c r="CB5" s="125"/>
      <c r="CC5" s="124"/>
      <c r="CD5" s="6"/>
      <c r="CE5" s="84" t="str">
        <f t="shared" ca="1" si="10"/>
        <v/>
      </c>
      <c r="CF5" s="125"/>
      <c r="CG5" s="124"/>
      <c r="CH5" s="121"/>
      <c r="CI5" s="124"/>
      <c r="CJ5" s="125"/>
      <c r="CK5" s="124"/>
      <c r="CL5" s="6">
        <f>CL4+1</f>
        <v>2</v>
      </c>
      <c r="CM5" s="84" t="str">
        <f t="shared" ca="1" si="11"/>
        <v/>
      </c>
      <c r="CN5" s="125">
        <f>Basistabelle!D341</f>
        <v>0</v>
      </c>
      <c r="CO5" s="124"/>
      <c r="CP5" s="121">
        <f>Basistabelle!E341</f>
        <v>0</v>
      </c>
      <c r="CQ5" s="124"/>
      <c r="CR5" s="125">
        <f>Basistabelle!F341</f>
        <v>0</v>
      </c>
      <c r="CS5" s="139"/>
    </row>
    <row r="6" spans="1:97" s="2" customFormat="1" x14ac:dyDescent="0.2">
      <c r="A6" s="6" t="s">
        <v>8</v>
      </c>
      <c r="B6" s="8">
        <v>1</v>
      </c>
      <c r="C6" s="84" t="str">
        <f t="shared" ref="C6:C41" ca="1" si="12">IF(B6&gt;0,IF(INDIRECT("Basistabelle!G" &amp; $A$1+B6+C$1)&gt;"",INDIRECT("Basistabelle!G" &amp; $A$1+B6+C$1),IF(INDIRECT("Basistabelle!H" &amp; $A$1+B6+C$1)&gt;"",INDIRECT("Basistabelle!H" &amp; $A$1+B6+C$1),"")),"")</f>
        <v/>
      </c>
      <c r="D6" s="125">
        <f>Basistabelle!D6</f>
        <v>0</v>
      </c>
      <c r="E6" s="124"/>
      <c r="F6" s="121">
        <f>Basistabelle!E6</f>
        <v>0</v>
      </c>
      <c r="G6" s="124"/>
      <c r="H6" s="121">
        <f>Basistabelle!F6</f>
        <v>0</v>
      </c>
      <c r="I6" s="124"/>
      <c r="J6" s="6"/>
      <c r="K6" s="84" t="str">
        <f t="shared" ca="1" si="1"/>
        <v/>
      </c>
      <c r="L6" s="125"/>
      <c r="M6" s="124"/>
      <c r="N6" s="121"/>
      <c r="O6" s="124"/>
      <c r="P6" s="121"/>
      <c r="Q6" s="124"/>
      <c r="R6" s="6"/>
      <c r="S6" s="84" t="str">
        <f t="shared" ca="1" si="2"/>
        <v/>
      </c>
      <c r="T6" s="125"/>
      <c r="U6" s="124"/>
      <c r="V6" s="121"/>
      <c r="W6" s="124"/>
      <c r="X6" s="121"/>
      <c r="Y6" s="124"/>
      <c r="Z6" s="6">
        <f>Z5+1</f>
        <v>2</v>
      </c>
      <c r="AA6" s="84" t="str">
        <f t="shared" ca="1" si="3"/>
        <v/>
      </c>
      <c r="AB6" s="125">
        <f>Basistabelle!D97</f>
        <v>0</v>
      </c>
      <c r="AC6" s="124"/>
      <c r="AD6" s="121">
        <f>Basistabelle!E97</f>
        <v>0</v>
      </c>
      <c r="AE6" s="124"/>
      <c r="AF6" s="121">
        <f>Basistabelle!F97</f>
        <v>0</v>
      </c>
      <c r="AG6" s="124"/>
      <c r="AH6" s="6"/>
      <c r="AI6" s="84" t="str">
        <f t="shared" ref="AI6:AI41" ca="1" si="13">IF(AH6&gt;0,IF(INDIRECT("Basistabelle!G" &amp; $A$1+AH6+AI$1)&gt;"",INDIRECT("Basistabelle!G" &amp; $A$1+AH6+AI$1),IF(INDIRECT("Basistabelle!H" &amp; $A$1+AH6+AI$1)&gt;"",INDIRECT("Basistabelle!H" &amp; $A$1+AH6+AI$1),"")),"")</f>
        <v/>
      </c>
      <c r="AJ6" s="125"/>
      <c r="AK6" s="124"/>
      <c r="AL6" s="121"/>
      <c r="AM6" s="124"/>
      <c r="AN6" s="125"/>
      <c r="AO6" s="137"/>
      <c r="AP6" s="6"/>
      <c r="AQ6" s="84" t="str">
        <f t="shared" ca="1" si="5"/>
        <v/>
      </c>
      <c r="AR6" s="125"/>
      <c r="AS6" s="124"/>
      <c r="AT6" s="121"/>
      <c r="AU6" s="124"/>
      <c r="AV6" s="125"/>
      <c r="AW6" s="137"/>
      <c r="AX6" s="6">
        <f>AX5+1</f>
        <v>2</v>
      </c>
      <c r="AY6" s="84" t="str">
        <f t="shared" ca="1" si="6"/>
        <v/>
      </c>
      <c r="AZ6" s="125">
        <f>Basistabelle!D188</f>
        <v>0</v>
      </c>
      <c r="BA6" s="124"/>
      <c r="BB6" s="121">
        <f>Basistabelle!E188</f>
        <v>0</v>
      </c>
      <c r="BC6" s="124"/>
      <c r="BD6" s="125">
        <f>Basistabelle!F188</f>
        <v>0</v>
      </c>
      <c r="BE6" s="137"/>
      <c r="BF6" s="21"/>
      <c r="BG6" s="84" t="str">
        <f t="shared" ca="1" si="7"/>
        <v/>
      </c>
      <c r="BH6" s="125"/>
      <c r="BI6" s="124"/>
      <c r="BJ6" s="121"/>
      <c r="BK6" s="124"/>
      <c r="BL6" s="125"/>
      <c r="BM6" s="137"/>
      <c r="BN6" s="6">
        <f t="shared" ref="BN6:BN33" si="14">BN5+1</f>
        <v>3</v>
      </c>
      <c r="BO6" s="84" t="str">
        <f t="shared" ca="1" si="8"/>
        <v/>
      </c>
      <c r="BP6" s="125">
        <f>Basistabelle!D251</f>
        <v>0</v>
      </c>
      <c r="BQ6" s="124"/>
      <c r="BR6" s="121">
        <f>Basistabelle!E251</f>
        <v>0</v>
      </c>
      <c r="BS6" s="124"/>
      <c r="BT6" s="125">
        <f>Basistabelle!F251</f>
        <v>0</v>
      </c>
      <c r="BU6" s="137"/>
      <c r="BV6" s="6">
        <v>1</v>
      </c>
      <c r="BW6" s="84" t="str">
        <f t="shared" ca="1" si="9"/>
        <v/>
      </c>
      <c r="BX6" s="125">
        <f>Basistabelle!D279</f>
        <v>0</v>
      </c>
      <c r="BY6" s="124"/>
      <c r="BZ6" s="121">
        <f>Basistabelle!E278</f>
        <v>0</v>
      </c>
      <c r="CA6" s="124"/>
      <c r="CB6" s="125">
        <f>Basistabelle!F279</f>
        <v>0</v>
      </c>
      <c r="CC6" s="137"/>
      <c r="CD6" s="6"/>
      <c r="CE6" s="84" t="str">
        <f t="shared" ca="1" si="10"/>
        <v/>
      </c>
      <c r="CF6" s="125"/>
      <c r="CG6" s="124"/>
      <c r="CH6" s="121"/>
      <c r="CI6" s="124"/>
      <c r="CJ6" s="125"/>
      <c r="CK6" s="137"/>
      <c r="CL6" s="6">
        <f t="shared" ref="CL6:CL34" si="15">CL5+1</f>
        <v>3</v>
      </c>
      <c r="CM6" s="84" t="str">
        <f t="shared" ca="1" si="11"/>
        <v/>
      </c>
      <c r="CN6" s="125">
        <f>Basistabelle!D342</f>
        <v>0</v>
      </c>
      <c r="CO6" s="124"/>
      <c r="CP6" s="121">
        <f>Basistabelle!E342</f>
        <v>0</v>
      </c>
      <c r="CQ6" s="124"/>
      <c r="CR6" s="125">
        <f>Basistabelle!F342</f>
        <v>0</v>
      </c>
      <c r="CS6" s="137"/>
    </row>
    <row r="7" spans="1:97" s="2" customFormat="1" x14ac:dyDescent="0.2">
      <c r="A7" s="6" t="s">
        <v>3</v>
      </c>
      <c r="B7" s="8">
        <f>B6+1</f>
        <v>2</v>
      </c>
      <c r="C7" s="84" t="str">
        <f t="shared" ca="1" si="12"/>
        <v/>
      </c>
      <c r="D7" s="125">
        <f>Basistabelle!D7</f>
        <v>0</v>
      </c>
      <c r="E7" s="124"/>
      <c r="F7" s="121">
        <f>Basistabelle!E7</f>
        <v>0</v>
      </c>
      <c r="G7" s="124"/>
      <c r="H7" s="121">
        <f>Basistabelle!F7</f>
        <v>0</v>
      </c>
      <c r="I7" s="124"/>
      <c r="J7" s="6"/>
      <c r="K7" s="84" t="str">
        <f t="shared" ca="1" si="1"/>
        <v/>
      </c>
      <c r="L7" s="125"/>
      <c r="M7" s="124"/>
      <c r="N7" s="121"/>
      <c r="O7" s="124"/>
      <c r="P7" s="121"/>
      <c r="Q7" s="124"/>
      <c r="R7" s="6"/>
      <c r="S7" s="84" t="str">
        <f t="shared" ca="1" si="2"/>
        <v/>
      </c>
      <c r="T7" s="125"/>
      <c r="U7" s="124"/>
      <c r="V7" s="121"/>
      <c r="W7" s="124"/>
      <c r="X7" s="121"/>
      <c r="Y7" s="124"/>
      <c r="Z7" s="6">
        <f t="shared" ref="Z7:Z34" si="16">Z6+1</f>
        <v>3</v>
      </c>
      <c r="AA7" s="84" t="str">
        <f t="shared" ca="1" si="3"/>
        <v/>
      </c>
      <c r="AB7" s="125">
        <f>Basistabelle!D98</f>
        <v>0</v>
      </c>
      <c r="AC7" s="124"/>
      <c r="AD7" s="121">
        <f>Basistabelle!E98</f>
        <v>0</v>
      </c>
      <c r="AE7" s="124"/>
      <c r="AF7" s="121">
        <f>Basistabelle!F98</f>
        <v>0</v>
      </c>
      <c r="AG7" s="124"/>
      <c r="AH7" s="6">
        <v>1</v>
      </c>
      <c r="AI7" s="84" t="str">
        <f t="shared" ca="1" si="13"/>
        <v/>
      </c>
      <c r="AJ7" s="125">
        <f>Basistabelle!D125</f>
        <v>0</v>
      </c>
      <c r="AK7" s="124"/>
      <c r="AL7" s="121">
        <f>Basistabelle!E126</f>
        <v>0</v>
      </c>
      <c r="AM7" s="124"/>
      <c r="AN7" s="125">
        <f>Basistabelle!F126</f>
        <v>0</v>
      </c>
      <c r="AO7" s="137"/>
      <c r="AP7" s="6"/>
      <c r="AQ7" s="84" t="str">
        <f ca="1">IF(AP7&gt;0,IF(INDIRECT("Basistabelle!G" &amp; $A$1+AP7+AQ$1)&gt;"",INDIRECT("Basistabelle!G" &amp; $A$1+AP7+AQ$1),IF(INDIRECT("Basistabelle!H" &amp; $A$1+AP7+AQ$1)&gt;"",INDIRECT("Basistabelle!H" &amp; $A$1+AP7+AQ$1),"")),"")</f>
        <v/>
      </c>
      <c r="AR7" s="125"/>
      <c r="AS7" s="124"/>
      <c r="AT7" s="121"/>
      <c r="AU7" s="124"/>
      <c r="AV7" s="125"/>
      <c r="AW7" s="137"/>
      <c r="AX7" s="6">
        <f t="shared" ref="AX7:AX35" si="17">AX6+1</f>
        <v>3</v>
      </c>
      <c r="AY7" s="84" t="str">
        <f t="shared" ca="1" si="6"/>
        <v/>
      </c>
      <c r="AZ7" s="125">
        <f>Basistabelle!D189</f>
        <v>0</v>
      </c>
      <c r="BA7" s="124"/>
      <c r="BB7" s="121">
        <f>Basistabelle!E189</f>
        <v>0</v>
      </c>
      <c r="BC7" s="124"/>
      <c r="BD7" s="125">
        <f>Basistabelle!F189</f>
        <v>0</v>
      </c>
      <c r="BE7" s="137"/>
      <c r="BF7" s="21"/>
      <c r="BG7" s="84" t="str">
        <f t="shared" ca="1" si="7"/>
        <v/>
      </c>
      <c r="BH7" s="125"/>
      <c r="BI7" s="124"/>
      <c r="BJ7" s="121"/>
      <c r="BK7" s="124"/>
      <c r="BL7" s="125"/>
      <c r="BM7" s="137"/>
      <c r="BN7" s="6">
        <f t="shared" si="14"/>
        <v>4</v>
      </c>
      <c r="BO7" s="84" t="str">
        <f t="shared" ca="1" si="8"/>
        <v/>
      </c>
      <c r="BP7" s="125">
        <f>Basistabelle!D252</f>
        <v>0</v>
      </c>
      <c r="BQ7" s="124"/>
      <c r="BR7" s="121">
        <f>Basistabelle!E252</f>
        <v>0</v>
      </c>
      <c r="BS7" s="124"/>
      <c r="BT7" s="125">
        <f>Basistabelle!F252</f>
        <v>0</v>
      </c>
      <c r="BU7" s="137"/>
      <c r="BV7" s="6">
        <f>BV6+1</f>
        <v>2</v>
      </c>
      <c r="BW7" s="84" t="str">
        <f t="shared" ca="1" si="9"/>
        <v/>
      </c>
      <c r="BX7" s="125">
        <f>Basistabelle!D280</f>
        <v>0</v>
      </c>
      <c r="BY7" s="124"/>
      <c r="BZ7" s="121">
        <f>Basistabelle!E279</f>
        <v>0</v>
      </c>
      <c r="CA7" s="124"/>
      <c r="CB7" s="125">
        <f>Basistabelle!F280</f>
        <v>0</v>
      </c>
      <c r="CC7" s="137"/>
      <c r="CD7" s="6"/>
      <c r="CE7" s="84" t="str">
        <f t="shared" ca="1" si="10"/>
        <v/>
      </c>
      <c r="CF7" s="125"/>
      <c r="CG7" s="124"/>
      <c r="CH7" s="121"/>
      <c r="CI7" s="124"/>
      <c r="CJ7" s="125"/>
      <c r="CK7" s="137"/>
      <c r="CL7" s="6">
        <f t="shared" si="15"/>
        <v>4</v>
      </c>
      <c r="CM7" s="84" t="str">
        <f t="shared" ca="1" si="11"/>
        <v/>
      </c>
      <c r="CN7" s="125">
        <f>Basistabelle!D343</f>
        <v>0</v>
      </c>
      <c r="CO7" s="124"/>
      <c r="CP7" s="121">
        <f>Basistabelle!E343</f>
        <v>0</v>
      </c>
      <c r="CQ7" s="124"/>
      <c r="CR7" s="125">
        <f>Basistabelle!F343</f>
        <v>0</v>
      </c>
      <c r="CS7" s="137"/>
    </row>
    <row r="8" spans="1:97" s="2" customFormat="1" ht="12.75" customHeight="1" x14ac:dyDescent="0.2">
      <c r="A8" s="9" t="s">
        <v>4</v>
      </c>
      <c r="B8" s="10">
        <f t="shared" ref="B8:B36" si="18">B7+1</f>
        <v>3</v>
      </c>
      <c r="C8" s="84" t="str">
        <f t="shared" ca="1" si="12"/>
        <v/>
      </c>
      <c r="D8" s="126">
        <f>Basistabelle!D8</f>
        <v>0</v>
      </c>
      <c r="E8" s="126"/>
      <c r="F8" s="126">
        <f>Basistabelle!E8</f>
        <v>0</v>
      </c>
      <c r="G8" s="126"/>
      <c r="H8" s="126">
        <f>Basistabelle!F8</f>
        <v>0</v>
      </c>
      <c r="I8" s="126"/>
      <c r="J8" s="51"/>
      <c r="K8" s="84" t="str">
        <f t="shared" ca="1" si="1"/>
        <v/>
      </c>
      <c r="L8" s="126"/>
      <c r="M8" s="126"/>
      <c r="N8" s="126"/>
      <c r="O8" s="126"/>
      <c r="P8" s="126"/>
      <c r="Q8" s="126"/>
      <c r="R8" s="9"/>
      <c r="S8" s="84" t="str">
        <f t="shared" ca="1" si="2"/>
        <v/>
      </c>
      <c r="T8" s="126"/>
      <c r="U8" s="126"/>
      <c r="V8" s="126"/>
      <c r="W8" s="126"/>
      <c r="X8" s="126"/>
      <c r="Y8" s="126"/>
      <c r="Z8" s="9">
        <f t="shared" si="16"/>
        <v>4</v>
      </c>
      <c r="AA8" s="84" t="str">
        <f t="shared" ca="1" si="3"/>
        <v/>
      </c>
      <c r="AB8" s="126">
        <f>Basistabelle!D99</f>
        <v>0</v>
      </c>
      <c r="AC8" s="126"/>
      <c r="AD8" s="126">
        <f>Basistabelle!E99</f>
        <v>0</v>
      </c>
      <c r="AE8" s="126"/>
      <c r="AF8" s="126">
        <f>Basistabelle!F99</f>
        <v>0</v>
      </c>
      <c r="AG8" s="126"/>
      <c r="AH8" s="9">
        <f>AH7+1</f>
        <v>2</v>
      </c>
      <c r="AI8" s="84" t="str">
        <f t="shared" ca="1" si="13"/>
        <v/>
      </c>
      <c r="AJ8" s="126">
        <f>Basistabelle!D126</f>
        <v>0</v>
      </c>
      <c r="AK8" s="126"/>
      <c r="AL8" s="126">
        <f>Basistabelle!E127</f>
        <v>0</v>
      </c>
      <c r="AM8" s="126"/>
      <c r="AN8" s="126">
        <f>Basistabelle!F127</f>
        <v>0</v>
      </c>
      <c r="AO8" s="126"/>
      <c r="AP8" s="9"/>
      <c r="AQ8" s="84" t="str">
        <f t="shared" ca="1" si="5"/>
        <v/>
      </c>
      <c r="AR8" s="126"/>
      <c r="AS8" s="126"/>
      <c r="AT8" s="126">
        <f>Basistabelle!Q127</f>
        <v>0</v>
      </c>
      <c r="AU8" s="126"/>
      <c r="AV8" s="126">
        <f>Basistabelle!R127</f>
        <v>0</v>
      </c>
      <c r="AW8" s="126"/>
      <c r="AX8" s="9">
        <f t="shared" si="17"/>
        <v>4</v>
      </c>
      <c r="AY8" s="84" t="str">
        <f t="shared" ca="1" si="6"/>
        <v/>
      </c>
      <c r="AZ8" s="126">
        <f>Basistabelle!D190</f>
        <v>0</v>
      </c>
      <c r="BA8" s="126"/>
      <c r="BB8" s="126">
        <f>Basistabelle!E190</f>
        <v>0</v>
      </c>
      <c r="BC8" s="126"/>
      <c r="BD8" s="126">
        <f>Basistabelle!F190</f>
        <v>0</v>
      </c>
      <c r="BE8" s="126"/>
      <c r="BF8" s="22">
        <v>1</v>
      </c>
      <c r="BG8" s="84" t="str">
        <f t="shared" ca="1" si="7"/>
        <v/>
      </c>
      <c r="BH8" s="126">
        <f>Basistabelle!D217</f>
        <v>0</v>
      </c>
      <c r="BI8" s="126"/>
      <c r="BJ8" s="126">
        <f>Basistabelle!E217</f>
        <v>0</v>
      </c>
      <c r="BK8" s="126"/>
      <c r="BL8" s="126">
        <f>Basistabelle!F217</f>
        <v>0</v>
      </c>
      <c r="BM8" s="126"/>
      <c r="BN8" s="9">
        <f t="shared" si="14"/>
        <v>5</v>
      </c>
      <c r="BO8" s="84" t="str">
        <f t="shared" ca="1" si="8"/>
        <v/>
      </c>
      <c r="BP8" s="126">
        <f>Basistabelle!D253</f>
        <v>0</v>
      </c>
      <c r="BQ8" s="126"/>
      <c r="BR8" s="126">
        <f>Basistabelle!E253</f>
        <v>0</v>
      </c>
      <c r="BS8" s="126"/>
      <c r="BT8" s="126">
        <f>Basistabelle!F253</f>
        <v>0</v>
      </c>
      <c r="BU8" s="126"/>
      <c r="BV8" s="9">
        <f t="shared" ref="BV8:BV36" si="19">BV7+1</f>
        <v>3</v>
      </c>
      <c r="BW8" s="84" t="str">
        <f t="shared" ca="1" si="9"/>
        <v/>
      </c>
      <c r="BX8" s="126">
        <f>Basistabelle!D281</f>
        <v>0</v>
      </c>
      <c r="BY8" s="126"/>
      <c r="BZ8" s="126">
        <f>Basistabelle!E280</f>
        <v>0</v>
      </c>
      <c r="CA8" s="126"/>
      <c r="CB8" s="126">
        <f>Basistabelle!F281</f>
        <v>0</v>
      </c>
      <c r="CC8" s="126"/>
      <c r="CD8" s="9"/>
      <c r="CE8" s="84" t="str">
        <f t="shared" ca="1" si="10"/>
        <v/>
      </c>
      <c r="CF8" s="126"/>
      <c r="CG8" s="126"/>
      <c r="CH8" s="126"/>
      <c r="CI8" s="126"/>
      <c r="CJ8" s="126"/>
      <c r="CK8" s="126"/>
      <c r="CL8" s="9">
        <f t="shared" si="15"/>
        <v>5</v>
      </c>
      <c r="CM8" s="84" t="str">
        <f t="shared" ca="1" si="11"/>
        <v/>
      </c>
      <c r="CN8" s="126">
        <f>Basistabelle!D344</f>
        <v>0</v>
      </c>
      <c r="CO8" s="126"/>
      <c r="CP8" s="126">
        <f>Basistabelle!E344</f>
        <v>0</v>
      </c>
      <c r="CQ8" s="126"/>
      <c r="CR8" s="126">
        <f>Basistabelle!F344</f>
        <v>0</v>
      </c>
      <c r="CS8" s="140"/>
    </row>
    <row r="9" spans="1:97" s="2" customFormat="1" x14ac:dyDescent="0.2">
      <c r="A9" s="9" t="s">
        <v>5</v>
      </c>
      <c r="B9" s="10">
        <f t="shared" si="18"/>
        <v>4</v>
      </c>
      <c r="C9" s="84" t="str">
        <f t="shared" ca="1" si="12"/>
        <v/>
      </c>
      <c r="D9" s="126">
        <f>Basistabelle!D9</f>
        <v>0</v>
      </c>
      <c r="E9" s="126"/>
      <c r="F9" s="126">
        <f>Basistabelle!E9</f>
        <v>0</v>
      </c>
      <c r="G9" s="126"/>
      <c r="H9" s="126">
        <f>Basistabelle!F9</f>
        <v>0</v>
      </c>
      <c r="I9" s="126"/>
      <c r="J9" s="51">
        <v>1</v>
      </c>
      <c r="K9" s="84" t="str">
        <f t="shared" ca="1" si="1"/>
        <v/>
      </c>
      <c r="L9" s="126">
        <f>Basistabelle!D37</f>
        <v>0</v>
      </c>
      <c r="M9" s="127"/>
      <c r="N9" s="126">
        <f>Basistabelle!E37</f>
        <v>0</v>
      </c>
      <c r="O9" s="127"/>
      <c r="P9" s="127">
        <f>Basistabelle!F37</f>
        <v>0</v>
      </c>
      <c r="Q9" s="126"/>
      <c r="R9" s="9">
        <v>1</v>
      </c>
      <c r="S9" s="84" t="str">
        <f t="shared" ca="1" si="2"/>
        <v/>
      </c>
      <c r="T9" s="126">
        <f>Basistabelle!D65</f>
        <v>0</v>
      </c>
      <c r="U9" s="127"/>
      <c r="V9" s="126">
        <f>Basistabelle!E65</f>
        <v>0</v>
      </c>
      <c r="W9" s="127"/>
      <c r="X9" s="127">
        <f>Basistabelle!F65</f>
        <v>0</v>
      </c>
      <c r="Y9" s="126"/>
      <c r="Z9" s="9">
        <f t="shared" si="16"/>
        <v>5</v>
      </c>
      <c r="AA9" s="84" t="str">
        <f t="shared" ca="1" si="3"/>
        <v/>
      </c>
      <c r="AB9" s="126">
        <f>Basistabelle!D100</f>
        <v>0</v>
      </c>
      <c r="AC9" s="127"/>
      <c r="AD9" s="126">
        <f>Basistabelle!E100</f>
        <v>0</v>
      </c>
      <c r="AE9" s="127"/>
      <c r="AF9" s="127">
        <f>Basistabelle!F100</f>
        <v>0</v>
      </c>
      <c r="AG9" s="126"/>
      <c r="AH9" s="9">
        <f t="shared" ref="AH9:AH37" si="20">AH8+1</f>
        <v>3</v>
      </c>
      <c r="AI9" s="84" t="str">
        <f t="shared" ca="1" si="13"/>
        <v/>
      </c>
      <c r="AJ9" s="126">
        <f>Basistabelle!D127</f>
        <v>0</v>
      </c>
      <c r="AK9" s="127"/>
      <c r="AL9" s="126">
        <f>Basistabelle!E128</f>
        <v>0</v>
      </c>
      <c r="AM9" s="127"/>
      <c r="AN9" s="127">
        <f>Basistabelle!F128</f>
        <v>0</v>
      </c>
      <c r="AO9" s="126"/>
      <c r="AP9" s="9"/>
      <c r="AQ9" s="84" t="str">
        <f t="shared" ca="1" si="5"/>
        <v/>
      </c>
      <c r="AR9" s="126"/>
      <c r="AS9" s="127"/>
      <c r="AT9" s="126">
        <f>Basistabelle!Q128</f>
        <v>0</v>
      </c>
      <c r="AU9" s="127"/>
      <c r="AV9" s="127">
        <f>Basistabelle!R128</f>
        <v>0</v>
      </c>
      <c r="AW9" s="126"/>
      <c r="AX9" s="9">
        <f t="shared" si="17"/>
        <v>5</v>
      </c>
      <c r="AY9" s="84" t="str">
        <f t="shared" ca="1" si="6"/>
        <v/>
      </c>
      <c r="AZ9" s="126">
        <f>Basistabelle!D191</f>
        <v>0</v>
      </c>
      <c r="BA9" s="127"/>
      <c r="BB9" s="126">
        <f>Basistabelle!E191</f>
        <v>0</v>
      </c>
      <c r="BC9" s="127"/>
      <c r="BD9" s="127">
        <f>Basistabelle!F191</f>
        <v>0</v>
      </c>
      <c r="BE9" s="126"/>
      <c r="BF9" s="9">
        <f>BF8+1</f>
        <v>2</v>
      </c>
      <c r="BG9" s="84" t="str">
        <f t="shared" ca="1" si="7"/>
        <v/>
      </c>
      <c r="BH9" s="126">
        <f>Basistabelle!D218</f>
        <v>0</v>
      </c>
      <c r="BI9" s="127"/>
      <c r="BJ9" s="126">
        <f>Basistabelle!E218</f>
        <v>0</v>
      </c>
      <c r="BK9" s="127"/>
      <c r="BL9" s="127">
        <f>Basistabelle!F218</f>
        <v>0</v>
      </c>
      <c r="BM9" s="126"/>
      <c r="BN9" s="9">
        <f t="shared" si="14"/>
        <v>6</v>
      </c>
      <c r="BO9" s="84" t="str">
        <f t="shared" ca="1" si="8"/>
        <v/>
      </c>
      <c r="BP9" s="126">
        <f>Basistabelle!D254</f>
        <v>0</v>
      </c>
      <c r="BQ9" s="127"/>
      <c r="BR9" s="126">
        <f>Basistabelle!E254</f>
        <v>0</v>
      </c>
      <c r="BS9" s="127"/>
      <c r="BT9" s="127">
        <f>Basistabelle!F254</f>
        <v>0</v>
      </c>
      <c r="BU9" s="126"/>
      <c r="BV9" s="9">
        <f t="shared" si="19"/>
        <v>4</v>
      </c>
      <c r="BW9" s="84" t="str">
        <f t="shared" ca="1" si="9"/>
        <v/>
      </c>
      <c r="BX9" s="126">
        <f>Basistabelle!D282</f>
        <v>0</v>
      </c>
      <c r="BY9" s="127"/>
      <c r="BZ9" s="126">
        <f>Basistabelle!E281</f>
        <v>0</v>
      </c>
      <c r="CA9" s="127"/>
      <c r="CB9" s="127">
        <f>Basistabelle!F282</f>
        <v>0</v>
      </c>
      <c r="CC9" s="126"/>
      <c r="CD9" s="9">
        <v>1</v>
      </c>
      <c r="CE9" s="84" t="str">
        <f t="shared" ca="1" si="10"/>
        <v/>
      </c>
      <c r="CF9" s="126">
        <f>Basistabelle!D310</f>
        <v>0</v>
      </c>
      <c r="CG9" s="127"/>
      <c r="CH9" s="126">
        <f>Basistabelle!E310</f>
        <v>0</v>
      </c>
      <c r="CI9" s="127"/>
      <c r="CJ9" s="127">
        <f>Basistabelle!F310</f>
        <v>0</v>
      </c>
      <c r="CK9" s="126"/>
      <c r="CL9" s="9">
        <f t="shared" si="15"/>
        <v>6</v>
      </c>
      <c r="CM9" s="84" t="str">
        <f t="shared" ca="1" si="11"/>
        <v/>
      </c>
      <c r="CN9" s="126">
        <f>Basistabelle!D345</f>
        <v>0</v>
      </c>
      <c r="CO9" s="127"/>
      <c r="CP9" s="126">
        <f>Basistabelle!E345</f>
        <v>0</v>
      </c>
      <c r="CQ9" s="127"/>
      <c r="CR9" s="127">
        <f>Basistabelle!F345</f>
        <v>0</v>
      </c>
      <c r="CS9" s="140"/>
    </row>
    <row r="10" spans="1:97" s="2" customFormat="1" ht="14.5" customHeight="1" x14ac:dyDescent="0.2">
      <c r="A10" s="6" t="s">
        <v>25</v>
      </c>
      <c r="B10" s="8">
        <f t="shared" si="18"/>
        <v>5</v>
      </c>
      <c r="C10" s="84" t="str">
        <f t="shared" ca="1" si="12"/>
        <v/>
      </c>
      <c r="D10" s="169">
        <v>2</v>
      </c>
      <c r="E10" s="169"/>
      <c r="F10" s="169"/>
      <c r="G10" s="169"/>
      <c r="H10" s="169"/>
      <c r="I10" s="170"/>
      <c r="J10" s="6">
        <f>J9+1</f>
        <v>2</v>
      </c>
      <c r="K10" s="84" t="str">
        <f t="shared" ca="1" si="1"/>
        <v/>
      </c>
      <c r="L10" s="125">
        <f>Basistabelle!D38</f>
        <v>0</v>
      </c>
      <c r="M10" s="124"/>
      <c r="N10" s="126" t="e">
        <f>Basistabelle!#REF!</f>
        <v>#REF!</v>
      </c>
      <c r="O10" s="124"/>
      <c r="P10" s="125">
        <f>Basistabelle!F38</f>
        <v>0</v>
      </c>
      <c r="Q10" s="124"/>
      <c r="R10" s="18">
        <f>R9+1</f>
        <v>2</v>
      </c>
      <c r="S10" s="84" t="str">
        <f t="shared" ca="1" si="2"/>
        <v/>
      </c>
      <c r="T10" s="167">
        <v>10</v>
      </c>
      <c r="U10" s="167"/>
      <c r="V10" s="167"/>
      <c r="W10" s="167"/>
      <c r="X10" s="167"/>
      <c r="Y10" s="168"/>
      <c r="Z10" s="18">
        <f t="shared" si="16"/>
        <v>6</v>
      </c>
      <c r="AA10" s="84" t="str">
        <f t="shared" ca="1" si="3"/>
        <v/>
      </c>
      <c r="AB10" s="125">
        <f>Basistabelle!D101</f>
        <v>0</v>
      </c>
      <c r="AC10" s="124"/>
      <c r="AD10" s="121" t="e">
        <f>Basistabelle!#REF!</f>
        <v>#REF!</v>
      </c>
      <c r="AE10" s="124"/>
      <c r="AF10" s="125">
        <f>Basistabelle!F101</f>
        <v>0</v>
      </c>
      <c r="AG10" s="137"/>
      <c r="AH10" s="18">
        <f t="shared" si="20"/>
        <v>4</v>
      </c>
      <c r="AI10" s="84" t="str">
        <f t="shared" ca="1" si="13"/>
        <v/>
      </c>
      <c r="AJ10" s="167">
        <v>19</v>
      </c>
      <c r="AK10" s="167"/>
      <c r="AL10" s="167"/>
      <c r="AM10" s="167"/>
      <c r="AN10" s="167"/>
      <c r="AO10" s="168"/>
      <c r="AP10" s="18">
        <v>1</v>
      </c>
      <c r="AQ10" s="84" t="str">
        <f ca="1">IF(AP10&gt;0,IF(INDIRECT("Basistabelle!G" &amp; $A$1+AP10+AQ$1)&gt;"",INDIRECT("Basistabelle!G" &amp; $A$1+AP10+AQ$1),IF(INDIRECT("Basistabelle!H" &amp; $A$1+AP10+AQ$1)&gt;"",INDIRECT("Basistabelle!H" &amp; $A$1+AP10+AQ$1),"")),"")</f>
        <v/>
      </c>
      <c r="AR10" s="167">
        <v>23</v>
      </c>
      <c r="AS10" s="167"/>
      <c r="AT10" s="167"/>
      <c r="AU10" s="167"/>
      <c r="AV10" s="167"/>
      <c r="AW10" s="168"/>
      <c r="AX10" s="18">
        <f t="shared" si="17"/>
        <v>6</v>
      </c>
      <c r="AY10" s="84" t="str">
        <f t="shared" ca="1" si="6"/>
        <v/>
      </c>
      <c r="AZ10" s="125">
        <f>Basistabelle!D192</f>
        <v>0</v>
      </c>
      <c r="BA10" s="124"/>
      <c r="BB10" s="121" t="e">
        <f>Basistabelle!#REF!</f>
        <v>#REF!</v>
      </c>
      <c r="BC10" s="124"/>
      <c r="BD10" s="125" t="e">
        <f>Basistabelle!#REF!</f>
        <v>#REF!</v>
      </c>
      <c r="BE10" s="137"/>
      <c r="BF10" s="21">
        <f t="shared" ref="BF10:BF38" si="21">BF9+1</f>
        <v>3</v>
      </c>
      <c r="BG10" s="84" t="str">
        <f t="shared" ca="1" si="7"/>
        <v/>
      </c>
      <c r="BH10" s="125">
        <f>Basistabelle!D219</f>
        <v>0</v>
      </c>
      <c r="BI10" s="124"/>
      <c r="BJ10" s="121">
        <f>Basistabelle!E219</f>
        <v>0</v>
      </c>
      <c r="BK10" s="124"/>
      <c r="BL10" s="125">
        <f>Basistabelle!F219</f>
        <v>0</v>
      </c>
      <c r="BM10" s="137"/>
      <c r="BN10" s="18">
        <f t="shared" si="14"/>
        <v>7</v>
      </c>
      <c r="BO10" s="84" t="str">
        <f t="shared" ca="1" si="8"/>
        <v/>
      </c>
      <c r="BP10" s="167">
        <v>37</v>
      </c>
      <c r="BQ10" s="167"/>
      <c r="BR10" s="167"/>
      <c r="BS10" s="167"/>
      <c r="BT10" s="167"/>
      <c r="BU10" s="168"/>
      <c r="BV10" s="18">
        <f t="shared" si="19"/>
        <v>5</v>
      </c>
      <c r="BW10" s="84" t="str">
        <f t="shared" ca="1" si="9"/>
        <v/>
      </c>
      <c r="BX10" s="125" t="e">
        <f>Basistabelle!#REF!</f>
        <v>#REF!</v>
      </c>
      <c r="BY10" s="124"/>
      <c r="BZ10" s="121">
        <f>Basistabelle!E282</f>
        <v>0</v>
      </c>
      <c r="CA10" s="124"/>
      <c r="CB10" s="125">
        <f>Basistabelle!F283</f>
        <v>0</v>
      </c>
      <c r="CC10" s="137"/>
      <c r="CD10" s="18">
        <f>CD9+1</f>
        <v>2</v>
      </c>
      <c r="CE10" s="84" t="str">
        <f t="shared" ca="1" si="10"/>
        <v/>
      </c>
      <c r="CF10" s="167">
        <v>45</v>
      </c>
      <c r="CG10" s="167"/>
      <c r="CH10" s="167"/>
      <c r="CI10" s="167"/>
      <c r="CJ10" s="167"/>
      <c r="CK10" s="168"/>
      <c r="CL10" s="6">
        <f t="shared" si="15"/>
        <v>7</v>
      </c>
      <c r="CM10" s="84" t="str">
        <f t="shared" ca="1" si="11"/>
        <v/>
      </c>
      <c r="CN10" s="167">
        <v>50</v>
      </c>
      <c r="CO10" s="167"/>
      <c r="CP10" s="167"/>
      <c r="CQ10" s="167"/>
      <c r="CR10" s="167"/>
      <c r="CS10" s="168"/>
    </row>
    <row r="11" spans="1:97" s="2" customFormat="1" x14ac:dyDescent="0.2">
      <c r="A11" s="6" t="s">
        <v>6</v>
      </c>
      <c r="B11" s="8">
        <f t="shared" si="18"/>
        <v>6</v>
      </c>
      <c r="C11" s="84" t="str">
        <f t="shared" ca="1" si="12"/>
        <v/>
      </c>
      <c r="D11" s="125">
        <f>Basistabelle!D11</f>
        <v>0</v>
      </c>
      <c r="E11" s="124"/>
      <c r="F11" s="121">
        <f>Basistabelle!E11</f>
        <v>0</v>
      </c>
      <c r="G11" s="124"/>
      <c r="H11" s="125">
        <f>Basistabelle!F11</f>
        <v>0</v>
      </c>
      <c r="I11" s="124"/>
      <c r="J11" s="6">
        <f t="shared" ref="J11:J36" si="22">J10+1</f>
        <v>3</v>
      </c>
      <c r="K11" s="84" t="str">
        <f t="shared" ca="1" si="1"/>
        <v/>
      </c>
      <c r="L11" s="125">
        <f>Basistabelle!D39</f>
        <v>0</v>
      </c>
      <c r="M11" s="124"/>
      <c r="N11" s="126">
        <f>Basistabelle!E38</f>
        <v>0</v>
      </c>
      <c r="O11" s="124"/>
      <c r="P11" s="125">
        <f>Basistabelle!F39</f>
        <v>0</v>
      </c>
      <c r="Q11" s="124"/>
      <c r="R11" s="6">
        <f t="shared" ref="R11:R39" si="23">R10+1</f>
        <v>3</v>
      </c>
      <c r="S11" s="84" t="str">
        <f t="shared" ca="1" si="2"/>
        <v/>
      </c>
      <c r="T11" s="125">
        <f>Basistabelle!D67</f>
        <v>0</v>
      </c>
      <c r="U11" s="124"/>
      <c r="V11" s="121">
        <f>Basistabelle!E67</f>
        <v>0</v>
      </c>
      <c r="W11" s="124"/>
      <c r="X11" s="125">
        <f>Basistabelle!F67</f>
        <v>0</v>
      </c>
      <c r="Y11" s="124"/>
      <c r="Z11" s="6">
        <f t="shared" si="16"/>
        <v>7</v>
      </c>
      <c r="AA11" s="84" t="str">
        <f t="shared" ca="1" si="3"/>
        <v/>
      </c>
      <c r="AB11" s="125">
        <f>Basistabelle!D102</f>
        <v>0</v>
      </c>
      <c r="AC11" s="124"/>
      <c r="AD11" s="121">
        <f>Basistabelle!E101</f>
        <v>0</v>
      </c>
      <c r="AE11" s="124"/>
      <c r="AF11" s="125">
        <f>Basistabelle!F102</f>
        <v>0</v>
      </c>
      <c r="AG11" s="124"/>
      <c r="AH11" s="6">
        <f t="shared" si="20"/>
        <v>5</v>
      </c>
      <c r="AI11" s="84" t="str">
        <f t="shared" ca="1" si="13"/>
        <v/>
      </c>
      <c r="AJ11" s="125">
        <f>Basistabelle!D129</f>
        <v>0</v>
      </c>
      <c r="AK11" s="124"/>
      <c r="AL11" s="121">
        <f>Basistabelle!E130</f>
        <v>0</v>
      </c>
      <c r="AM11" s="124"/>
      <c r="AN11" s="125">
        <f>Basistabelle!F130</f>
        <v>0</v>
      </c>
      <c r="AO11" s="124"/>
      <c r="AP11" s="6">
        <f>AP10+1</f>
        <v>2</v>
      </c>
      <c r="AQ11" s="84" t="str">
        <f t="shared" ca="1" si="5"/>
        <v/>
      </c>
      <c r="AR11" s="125">
        <f>Basistabelle!D158</f>
        <v>0</v>
      </c>
      <c r="AS11" s="124"/>
      <c r="AT11" s="121">
        <f>Basistabelle!E158</f>
        <v>0</v>
      </c>
      <c r="AU11" s="124"/>
      <c r="AV11" s="125">
        <f>Basistabelle!F158</f>
        <v>0</v>
      </c>
      <c r="AW11" s="124"/>
      <c r="AX11" s="6">
        <f t="shared" si="17"/>
        <v>7</v>
      </c>
      <c r="AY11" s="84" t="str">
        <f t="shared" ca="1" si="6"/>
        <v/>
      </c>
      <c r="AZ11" s="125">
        <f>Basistabelle!D193</f>
        <v>0</v>
      </c>
      <c r="BA11" s="124"/>
      <c r="BB11" s="121">
        <f>Basistabelle!E192</f>
        <v>0</v>
      </c>
      <c r="BC11" s="124"/>
      <c r="BD11" s="125">
        <f>Basistabelle!F192</f>
        <v>0</v>
      </c>
      <c r="BE11" s="124"/>
      <c r="BF11" s="21">
        <f t="shared" si="21"/>
        <v>4</v>
      </c>
      <c r="BG11" s="84" t="str">
        <f t="shared" ca="1" si="7"/>
        <v/>
      </c>
      <c r="BH11" s="125">
        <f>Basistabelle!D220</f>
        <v>0</v>
      </c>
      <c r="BI11" s="124"/>
      <c r="BJ11" s="121">
        <f>Basistabelle!E220</f>
        <v>0</v>
      </c>
      <c r="BK11" s="124"/>
      <c r="BL11" s="125">
        <f>Basistabelle!F220</f>
        <v>0</v>
      </c>
      <c r="BM11" s="124"/>
      <c r="BN11" s="6">
        <f t="shared" si="14"/>
        <v>8</v>
      </c>
      <c r="BO11" s="84" t="str">
        <f t="shared" ca="1" si="8"/>
        <v/>
      </c>
      <c r="BP11" s="125">
        <f>Basistabelle!D256</f>
        <v>0</v>
      </c>
      <c r="BQ11" s="124"/>
      <c r="BR11" s="121">
        <f>Basistabelle!E256</f>
        <v>0</v>
      </c>
      <c r="BS11" s="124"/>
      <c r="BT11" s="125">
        <f>Basistabelle!F256</f>
        <v>0</v>
      </c>
      <c r="BU11" s="124"/>
      <c r="BV11" s="6">
        <f t="shared" si="19"/>
        <v>6</v>
      </c>
      <c r="BW11" s="84" t="str">
        <f t="shared" ca="1" si="9"/>
        <v/>
      </c>
      <c r="BX11" s="125">
        <f>Basistabelle!D283</f>
        <v>0</v>
      </c>
      <c r="BY11" s="124"/>
      <c r="BZ11" s="121">
        <f>Basistabelle!E283</f>
        <v>0</v>
      </c>
      <c r="CA11" s="124"/>
      <c r="CB11" s="125">
        <f>Basistabelle!F284</f>
        <v>0</v>
      </c>
      <c r="CC11" s="124"/>
      <c r="CD11" s="6">
        <f t="shared" ref="CD11:CD38" si="24">CD10+1</f>
        <v>3</v>
      </c>
      <c r="CE11" s="84" t="str">
        <f t="shared" ca="1" si="10"/>
        <v/>
      </c>
      <c r="CF11" s="125">
        <f>Basistabelle!D312</f>
        <v>0</v>
      </c>
      <c r="CG11" s="124"/>
      <c r="CH11" s="121">
        <f>Basistabelle!E312</f>
        <v>0</v>
      </c>
      <c r="CI11" s="124"/>
      <c r="CJ11" s="125">
        <f>Basistabelle!F312</f>
        <v>0</v>
      </c>
      <c r="CK11" s="124"/>
      <c r="CL11" s="6">
        <f t="shared" si="15"/>
        <v>8</v>
      </c>
      <c r="CM11" s="84" t="str">
        <f t="shared" ca="1" si="11"/>
        <v/>
      </c>
      <c r="CN11" s="125">
        <f>Basistabelle!D347</f>
        <v>0</v>
      </c>
      <c r="CO11" s="124"/>
      <c r="CP11" s="121">
        <f>Basistabelle!E347</f>
        <v>0</v>
      </c>
      <c r="CQ11" s="124"/>
      <c r="CR11" s="125">
        <f>Basistabelle!F347</f>
        <v>0</v>
      </c>
      <c r="CS11" s="139"/>
    </row>
    <row r="12" spans="1:97" s="2" customFormat="1" x14ac:dyDescent="0.2">
      <c r="A12" s="6" t="s">
        <v>7</v>
      </c>
      <c r="B12" s="8">
        <f t="shared" si="18"/>
        <v>7</v>
      </c>
      <c r="C12" s="84" t="str">
        <f t="shared" ca="1" si="12"/>
        <v/>
      </c>
      <c r="D12" s="125">
        <f>Basistabelle!D12</f>
        <v>0</v>
      </c>
      <c r="E12" s="124"/>
      <c r="F12" s="121">
        <f>Basistabelle!E12</f>
        <v>0</v>
      </c>
      <c r="G12" s="124"/>
      <c r="H12" s="125">
        <f>Basistabelle!F12</f>
        <v>0</v>
      </c>
      <c r="I12" s="124"/>
      <c r="J12" s="6">
        <f t="shared" si="22"/>
        <v>4</v>
      </c>
      <c r="K12" s="84" t="str">
        <f t="shared" ca="1" si="1"/>
        <v/>
      </c>
      <c r="L12" s="125">
        <f>Basistabelle!D40</f>
        <v>0</v>
      </c>
      <c r="M12" s="124"/>
      <c r="N12" s="126">
        <f>Basistabelle!E39</f>
        <v>0</v>
      </c>
      <c r="O12" s="124"/>
      <c r="P12" s="125">
        <f>Basistabelle!F40</f>
        <v>0</v>
      </c>
      <c r="Q12" s="124"/>
      <c r="R12" s="6">
        <f t="shared" si="23"/>
        <v>4</v>
      </c>
      <c r="S12" s="84" t="str">
        <f t="shared" ca="1" si="2"/>
        <v/>
      </c>
      <c r="T12" s="125">
        <f>Basistabelle!D68</f>
        <v>0</v>
      </c>
      <c r="U12" s="124"/>
      <c r="V12" s="121">
        <f>Basistabelle!E68</f>
        <v>0</v>
      </c>
      <c r="W12" s="124"/>
      <c r="X12" s="125">
        <f>Basistabelle!F68</f>
        <v>0</v>
      </c>
      <c r="Y12" s="124"/>
      <c r="Z12" s="6">
        <f t="shared" si="16"/>
        <v>8</v>
      </c>
      <c r="AA12" s="84" t="str">
        <f t="shared" ca="1" si="3"/>
        <v/>
      </c>
      <c r="AB12" s="125">
        <f>Basistabelle!D103</f>
        <v>0</v>
      </c>
      <c r="AC12" s="124"/>
      <c r="AD12" s="121">
        <f>Basistabelle!E102</f>
        <v>0</v>
      </c>
      <c r="AE12" s="124"/>
      <c r="AF12" s="125">
        <f>Basistabelle!F103</f>
        <v>0</v>
      </c>
      <c r="AG12" s="124"/>
      <c r="AH12" s="6">
        <f t="shared" si="20"/>
        <v>6</v>
      </c>
      <c r="AI12" s="84" t="str">
        <f t="shared" ca="1" si="13"/>
        <v/>
      </c>
      <c r="AJ12" s="125">
        <f>Basistabelle!D130</f>
        <v>0</v>
      </c>
      <c r="AK12" s="124"/>
      <c r="AL12" s="121">
        <f>Basistabelle!E131</f>
        <v>0</v>
      </c>
      <c r="AM12" s="124"/>
      <c r="AN12" s="125">
        <f>Basistabelle!F131</f>
        <v>0</v>
      </c>
      <c r="AO12" s="124"/>
      <c r="AP12" s="6">
        <f t="shared" ref="AP12:AP39" si="25">AP11+1</f>
        <v>3</v>
      </c>
      <c r="AQ12" s="84" t="str">
        <f t="shared" ca="1" si="5"/>
        <v/>
      </c>
      <c r="AR12" s="125">
        <f>Basistabelle!D159</f>
        <v>0</v>
      </c>
      <c r="AS12" s="124"/>
      <c r="AT12" s="121">
        <f>Basistabelle!E159</f>
        <v>0</v>
      </c>
      <c r="AU12" s="124"/>
      <c r="AV12" s="125">
        <f>Basistabelle!F159</f>
        <v>0</v>
      </c>
      <c r="AW12" s="124"/>
      <c r="AX12" s="6">
        <f t="shared" si="17"/>
        <v>8</v>
      </c>
      <c r="AY12" s="84" t="str">
        <f ca="1">IF(AX12&gt;0,IF(INDIRECT("Basistabelle!G" &amp; $A$1+AX12+AY$1)&gt;"",INDIRECT("Basistabelle!G" &amp; $A$1+AX12+AY$1),IF(INDIRECT("Basistabelle!H" &amp; $A$1+AX12+AY$1)&gt;"",INDIRECT("Basistabelle!H" &amp; $A$1+AX12+AY$1),"")),"")</f>
        <v/>
      </c>
      <c r="AZ12" s="125">
        <f>Basistabelle!D194</f>
        <v>0</v>
      </c>
      <c r="BA12" s="124"/>
      <c r="BB12" s="121">
        <f>Basistabelle!E193</f>
        <v>0</v>
      </c>
      <c r="BC12" s="124"/>
      <c r="BD12" s="125">
        <f>Basistabelle!F193</f>
        <v>0</v>
      </c>
      <c r="BE12" s="124"/>
      <c r="BF12" s="21">
        <f t="shared" si="21"/>
        <v>5</v>
      </c>
      <c r="BG12" s="84" t="str">
        <f t="shared" ca="1" si="7"/>
        <v/>
      </c>
      <c r="BH12" s="125">
        <f>Basistabelle!D221</f>
        <v>0</v>
      </c>
      <c r="BI12" s="124"/>
      <c r="BJ12" s="121">
        <f>Basistabelle!E221</f>
        <v>0</v>
      </c>
      <c r="BK12" s="124"/>
      <c r="BL12" s="125">
        <f>Basistabelle!F221</f>
        <v>0</v>
      </c>
      <c r="BM12" s="124"/>
      <c r="BN12" s="6">
        <f t="shared" si="14"/>
        <v>9</v>
      </c>
      <c r="BO12" s="84" t="str">
        <f t="shared" ca="1" si="8"/>
        <v/>
      </c>
      <c r="BP12" s="125">
        <f>Basistabelle!D257</f>
        <v>0</v>
      </c>
      <c r="BQ12" s="124"/>
      <c r="BR12" s="121">
        <f>Basistabelle!E257</f>
        <v>0</v>
      </c>
      <c r="BS12" s="124"/>
      <c r="BT12" s="125">
        <f>Basistabelle!F257</f>
        <v>0</v>
      </c>
      <c r="BU12" s="124"/>
      <c r="BV12" s="6">
        <f t="shared" si="19"/>
        <v>7</v>
      </c>
      <c r="BW12" s="84" t="str">
        <f t="shared" ca="1" si="9"/>
        <v/>
      </c>
      <c r="BX12" s="125">
        <f>Basistabelle!D284</f>
        <v>0</v>
      </c>
      <c r="BY12" s="124"/>
      <c r="BZ12" s="121">
        <f>Basistabelle!E284</f>
        <v>0</v>
      </c>
      <c r="CA12" s="124"/>
      <c r="CB12" s="125">
        <f>Basistabelle!F285</f>
        <v>0</v>
      </c>
      <c r="CC12" s="124"/>
      <c r="CD12" s="6">
        <f t="shared" si="24"/>
        <v>4</v>
      </c>
      <c r="CE12" s="84" t="str">
        <f t="shared" ca="1" si="10"/>
        <v/>
      </c>
      <c r="CF12" s="125">
        <f>Basistabelle!D313</f>
        <v>0</v>
      </c>
      <c r="CG12" s="124"/>
      <c r="CH12" s="121">
        <f>Basistabelle!E313</f>
        <v>0</v>
      </c>
      <c r="CI12" s="124"/>
      <c r="CJ12" s="125">
        <f>Basistabelle!F313</f>
        <v>0</v>
      </c>
      <c r="CK12" s="124"/>
      <c r="CL12" s="6">
        <f t="shared" si="15"/>
        <v>9</v>
      </c>
      <c r="CM12" s="84" t="str">
        <f t="shared" ca="1" si="11"/>
        <v/>
      </c>
      <c r="CN12" s="125">
        <f>Basistabelle!D348</f>
        <v>0</v>
      </c>
      <c r="CO12" s="124"/>
      <c r="CP12" s="121">
        <f>Basistabelle!E348</f>
        <v>0</v>
      </c>
      <c r="CQ12" s="124"/>
      <c r="CR12" s="125">
        <f>Basistabelle!F348</f>
        <v>0</v>
      </c>
      <c r="CS12" s="139"/>
    </row>
    <row r="13" spans="1:97" s="2" customFormat="1" x14ac:dyDescent="0.2">
      <c r="A13" s="6" t="s">
        <v>8</v>
      </c>
      <c r="B13" s="8">
        <f t="shared" si="18"/>
        <v>8</v>
      </c>
      <c r="C13" s="84" t="str">
        <f t="shared" ca="1" si="12"/>
        <v/>
      </c>
      <c r="D13" s="125">
        <f>Basistabelle!D13</f>
        <v>0</v>
      </c>
      <c r="E13" s="124"/>
      <c r="F13" s="121">
        <f>Basistabelle!E13</f>
        <v>0</v>
      </c>
      <c r="G13" s="124"/>
      <c r="H13" s="125">
        <f>Basistabelle!F13</f>
        <v>0</v>
      </c>
      <c r="I13" s="124"/>
      <c r="J13" s="6">
        <f t="shared" si="22"/>
        <v>5</v>
      </c>
      <c r="K13" s="84" t="str">
        <f t="shared" ca="1" si="1"/>
        <v/>
      </c>
      <c r="L13" s="125">
        <f>Basistabelle!D41</f>
        <v>0</v>
      </c>
      <c r="M13" s="124"/>
      <c r="N13" s="126">
        <f>Basistabelle!E40</f>
        <v>0</v>
      </c>
      <c r="O13" s="124"/>
      <c r="P13" s="125">
        <f>Basistabelle!F41</f>
        <v>0</v>
      </c>
      <c r="Q13" s="124"/>
      <c r="R13" s="6">
        <f t="shared" si="23"/>
        <v>5</v>
      </c>
      <c r="S13" s="84" t="str">
        <f t="shared" ca="1" si="2"/>
        <v/>
      </c>
      <c r="T13" s="125">
        <f>Basistabelle!D69</f>
        <v>0</v>
      </c>
      <c r="U13" s="124"/>
      <c r="V13" s="121">
        <f>Basistabelle!E69</f>
        <v>0</v>
      </c>
      <c r="W13" s="124"/>
      <c r="X13" s="125">
        <f>Basistabelle!F69</f>
        <v>0</v>
      </c>
      <c r="Y13" s="124"/>
      <c r="Z13" s="6">
        <f t="shared" si="16"/>
        <v>9</v>
      </c>
      <c r="AA13" s="84" t="str">
        <f t="shared" ca="1" si="3"/>
        <v/>
      </c>
      <c r="AB13" s="125">
        <f>Basistabelle!D104</f>
        <v>0</v>
      </c>
      <c r="AC13" s="124"/>
      <c r="AD13" s="121">
        <f>Basistabelle!E103</f>
        <v>0</v>
      </c>
      <c r="AE13" s="124"/>
      <c r="AF13" s="125">
        <f>Basistabelle!F104</f>
        <v>0</v>
      </c>
      <c r="AG13" s="124"/>
      <c r="AH13" s="6">
        <f t="shared" si="20"/>
        <v>7</v>
      </c>
      <c r="AI13" s="84" t="str">
        <f t="shared" ca="1" si="13"/>
        <v/>
      </c>
      <c r="AJ13" s="125">
        <f>Basistabelle!D132</f>
        <v>0</v>
      </c>
      <c r="AK13" s="124"/>
      <c r="AL13" s="121">
        <f>Basistabelle!E132</f>
        <v>0</v>
      </c>
      <c r="AM13" s="124"/>
      <c r="AN13" s="125">
        <f>Basistabelle!F132</f>
        <v>0</v>
      </c>
      <c r="AO13" s="124"/>
      <c r="AP13" s="6">
        <f t="shared" si="25"/>
        <v>4</v>
      </c>
      <c r="AQ13" s="84" t="str">
        <f t="shared" ca="1" si="5"/>
        <v/>
      </c>
      <c r="AR13" s="125">
        <f>Basistabelle!D160</f>
        <v>0</v>
      </c>
      <c r="AS13" s="124"/>
      <c r="AT13" s="121">
        <f>Basistabelle!E160</f>
        <v>0</v>
      </c>
      <c r="AU13" s="124"/>
      <c r="AV13" s="125">
        <f>Basistabelle!F160</f>
        <v>0</v>
      </c>
      <c r="AW13" s="124"/>
      <c r="AX13" s="6">
        <f t="shared" si="17"/>
        <v>9</v>
      </c>
      <c r="AY13" s="84" t="str">
        <f ca="1">IF(AX13&gt;0,IF(INDIRECT("Basistabelle!G" &amp; $A$1+AX13+AY$1)&gt;"",INDIRECT("Basistabelle!G" &amp; $A$1+AX13+AY$1),IF(INDIRECT("Basistabelle!H" &amp; $A$1+AX13+AY$1)&gt;"",INDIRECT("Basistabelle!H" &amp; $A$1+AX13+AY$1),"")),"")</f>
        <v/>
      </c>
      <c r="AZ13" s="125">
        <f>Basistabelle!D195</f>
        <v>0</v>
      </c>
      <c r="BA13" s="124"/>
      <c r="BB13" s="121">
        <f>Basistabelle!E194</f>
        <v>0</v>
      </c>
      <c r="BC13" s="124"/>
      <c r="BD13" s="125">
        <f>Basistabelle!F194</f>
        <v>0</v>
      </c>
      <c r="BE13" s="124"/>
      <c r="BF13" s="21">
        <f t="shared" si="21"/>
        <v>6</v>
      </c>
      <c r="BG13" s="84" t="str">
        <f t="shared" ca="1" si="7"/>
        <v/>
      </c>
      <c r="BH13" s="125">
        <f>Basistabelle!D222</f>
        <v>0</v>
      </c>
      <c r="BI13" s="124"/>
      <c r="BJ13" s="121">
        <f>Basistabelle!E222</f>
        <v>0</v>
      </c>
      <c r="BK13" s="124"/>
      <c r="BL13" s="125">
        <f>Basistabelle!F222</f>
        <v>0</v>
      </c>
      <c r="BM13" s="124"/>
      <c r="BN13" s="6">
        <f t="shared" si="14"/>
        <v>10</v>
      </c>
      <c r="BO13" s="84" t="str">
        <f t="shared" ca="1" si="8"/>
        <v/>
      </c>
      <c r="BP13" s="125">
        <f>Basistabelle!D258</f>
        <v>0</v>
      </c>
      <c r="BQ13" s="124"/>
      <c r="BR13" s="121">
        <f>Basistabelle!E258</f>
        <v>0</v>
      </c>
      <c r="BS13" s="124"/>
      <c r="BT13" s="125">
        <f>Basistabelle!F258</f>
        <v>0</v>
      </c>
      <c r="BU13" s="124"/>
      <c r="BV13" s="6">
        <f t="shared" si="19"/>
        <v>8</v>
      </c>
      <c r="BW13" s="84" t="str">
        <f t="shared" ca="1" si="9"/>
        <v/>
      </c>
      <c r="BX13" s="125">
        <f>Basistabelle!D285</f>
        <v>0</v>
      </c>
      <c r="BY13" s="124"/>
      <c r="BZ13" s="121">
        <f>Basistabelle!E285</f>
        <v>0</v>
      </c>
      <c r="CA13" s="124"/>
      <c r="CB13" s="125">
        <f>Basistabelle!F286</f>
        <v>0</v>
      </c>
      <c r="CC13" s="124"/>
      <c r="CD13" s="6">
        <f t="shared" si="24"/>
        <v>5</v>
      </c>
      <c r="CE13" s="84" t="str">
        <f t="shared" ca="1" si="10"/>
        <v/>
      </c>
      <c r="CF13" s="125">
        <f>Basistabelle!D314</f>
        <v>0</v>
      </c>
      <c r="CG13" s="124"/>
      <c r="CH13" s="121">
        <f>Basistabelle!E314</f>
        <v>0</v>
      </c>
      <c r="CI13" s="124"/>
      <c r="CJ13" s="125">
        <f>Basistabelle!F314</f>
        <v>0</v>
      </c>
      <c r="CK13" s="124"/>
      <c r="CL13" s="6">
        <f t="shared" si="15"/>
        <v>10</v>
      </c>
      <c r="CM13" s="84" t="str">
        <f t="shared" ca="1" si="11"/>
        <v/>
      </c>
      <c r="CN13" s="125">
        <f>Basistabelle!D349</f>
        <v>0</v>
      </c>
      <c r="CO13" s="124"/>
      <c r="CP13" s="121">
        <f>Basistabelle!E349</f>
        <v>0</v>
      </c>
      <c r="CQ13" s="124"/>
      <c r="CR13" s="125">
        <f>Basistabelle!F349</f>
        <v>0</v>
      </c>
      <c r="CS13" s="139"/>
    </row>
    <row r="14" spans="1:97" s="2" customFormat="1" x14ac:dyDescent="0.2">
      <c r="A14" s="6" t="s">
        <v>3</v>
      </c>
      <c r="B14" s="8">
        <f t="shared" si="18"/>
        <v>9</v>
      </c>
      <c r="C14" s="84" t="str">
        <f t="shared" ca="1" si="12"/>
        <v/>
      </c>
      <c r="D14" s="125">
        <f>Basistabelle!D14</f>
        <v>0</v>
      </c>
      <c r="E14" s="124"/>
      <c r="F14" s="121">
        <f>Basistabelle!E14</f>
        <v>0</v>
      </c>
      <c r="G14" s="124"/>
      <c r="H14" s="125">
        <f>Basistabelle!F14</f>
        <v>0</v>
      </c>
      <c r="I14" s="124"/>
      <c r="J14" s="6">
        <f t="shared" si="22"/>
        <v>6</v>
      </c>
      <c r="K14" s="84" t="str">
        <f t="shared" ca="1" si="1"/>
        <v/>
      </c>
      <c r="L14" s="125">
        <f>Basistabelle!D42</f>
        <v>0</v>
      </c>
      <c r="M14" s="124"/>
      <c r="N14" s="126">
        <f>Basistabelle!E41</f>
        <v>0</v>
      </c>
      <c r="O14" s="124"/>
      <c r="P14" s="125">
        <f>Basistabelle!F42</f>
        <v>0</v>
      </c>
      <c r="Q14" s="124"/>
      <c r="R14" s="6">
        <f t="shared" si="23"/>
        <v>6</v>
      </c>
      <c r="S14" s="84" t="str">
        <f t="shared" ca="1" si="2"/>
        <v/>
      </c>
      <c r="T14" s="125">
        <f>Basistabelle!D70</f>
        <v>0</v>
      </c>
      <c r="U14" s="124"/>
      <c r="V14" s="121">
        <f>Basistabelle!E70</f>
        <v>0</v>
      </c>
      <c r="W14" s="124"/>
      <c r="X14" s="125">
        <f>Basistabelle!F70</f>
        <v>0</v>
      </c>
      <c r="Y14" s="124"/>
      <c r="Z14" s="6">
        <f t="shared" si="16"/>
        <v>10</v>
      </c>
      <c r="AA14" s="84" t="str">
        <f t="shared" ca="1" si="3"/>
        <v/>
      </c>
      <c r="AB14" s="125">
        <f>Basistabelle!D105</f>
        <v>0</v>
      </c>
      <c r="AC14" s="124"/>
      <c r="AD14" s="121">
        <f>Basistabelle!E104</f>
        <v>0</v>
      </c>
      <c r="AE14" s="124"/>
      <c r="AF14" s="125">
        <f>Basistabelle!F105</f>
        <v>0</v>
      </c>
      <c r="AG14" s="124"/>
      <c r="AH14" s="6">
        <f t="shared" si="20"/>
        <v>8</v>
      </c>
      <c r="AI14" s="84" t="str">
        <f t="shared" ca="1" si="13"/>
        <v/>
      </c>
      <c r="AJ14" s="125">
        <f>Basistabelle!D133</f>
        <v>0</v>
      </c>
      <c r="AK14" s="124"/>
      <c r="AL14" s="121">
        <f>Basistabelle!E133</f>
        <v>0</v>
      </c>
      <c r="AM14" s="124"/>
      <c r="AN14" s="125">
        <f>Basistabelle!F133</f>
        <v>0</v>
      </c>
      <c r="AO14" s="124"/>
      <c r="AP14" s="6">
        <f t="shared" si="25"/>
        <v>5</v>
      </c>
      <c r="AQ14" s="84" t="str">
        <f t="shared" ca="1" si="5"/>
        <v/>
      </c>
      <c r="AR14" s="125">
        <f>Basistabelle!D161</f>
        <v>0</v>
      </c>
      <c r="AS14" s="124"/>
      <c r="AT14" s="121">
        <f>Basistabelle!E161</f>
        <v>0</v>
      </c>
      <c r="AU14" s="124"/>
      <c r="AV14" s="125">
        <f>Basistabelle!F161</f>
        <v>0</v>
      </c>
      <c r="AW14" s="124"/>
      <c r="AX14" s="6">
        <f t="shared" si="17"/>
        <v>10</v>
      </c>
      <c r="AY14" s="84" t="str">
        <f t="shared" ca="1" si="6"/>
        <v/>
      </c>
      <c r="AZ14" s="125">
        <f>Basistabelle!D196</f>
        <v>0</v>
      </c>
      <c r="BA14" s="124"/>
      <c r="BB14" s="121">
        <f>Basistabelle!E195</f>
        <v>0</v>
      </c>
      <c r="BC14" s="124"/>
      <c r="BD14" s="125">
        <f>Basistabelle!F195</f>
        <v>0</v>
      </c>
      <c r="BE14" s="124"/>
      <c r="BF14" s="21">
        <f t="shared" si="21"/>
        <v>7</v>
      </c>
      <c r="BG14" s="84" t="str">
        <f t="shared" ca="1" si="7"/>
        <v/>
      </c>
      <c r="BH14" s="125">
        <f>Basistabelle!D223</f>
        <v>0</v>
      </c>
      <c r="BI14" s="124"/>
      <c r="BJ14" s="121">
        <f>Basistabelle!E223</f>
        <v>0</v>
      </c>
      <c r="BK14" s="124"/>
      <c r="BL14" s="125">
        <f>Basistabelle!F223</f>
        <v>0</v>
      </c>
      <c r="BM14" s="124"/>
      <c r="BN14" s="6">
        <f t="shared" si="14"/>
        <v>11</v>
      </c>
      <c r="BO14" s="84" t="str">
        <f t="shared" ca="1" si="8"/>
        <v/>
      </c>
      <c r="BP14" s="125">
        <f>Basistabelle!D259</f>
        <v>0</v>
      </c>
      <c r="BQ14" s="124"/>
      <c r="BR14" s="121">
        <f>Basistabelle!E259</f>
        <v>0</v>
      </c>
      <c r="BS14" s="124"/>
      <c r="BT14" s="125">
        <f>Basistabelle!F259</f>
        <v>0</v>
      </c>
      <c r="BU14" s="124"/>
      <c r="BV14" s="6">
        <f t="shared" si="19"/>
        <v>9</v>
      </c>
      <c r="BW14" s="84" t="str">
        <f t="shared" ca="1" si="9"/>
        <v/>
      </c>
      <c r="BX14" s="125">
        <f>Basistabelle!D286</f>
        <v>0</v>
      </c>
      <c r="BY14" s="124"/>
      <c r="BZ14" s="121">
        <f>Basistabelle!E286</f>
        <v>0</v>
      </c>
      <c r="CA14" s="124"/>
      <c r="CB14" s="125">
        <f>Basistabelle!F287</f>
        <v>0</v>
      </c>
      <c r="CC14" s="124"/>
      <c r="CD14" s="6">
        <f t="shared" si="24"/>
        <v>6</v>
      </c>
      <c r="CE14" s="84" t="str">
        <f t="shared" ca="1" si="10"/>
        <v/>
      </c>
      <c r="CF14" s="125">
        <f>Basistabelle!D315</f>
        <v>0</v>
      </c>
      <c r="CG14" s="124"/>
      <c r="CH14" s="121">
        <f>Basistabelle!E315</f>
        <v>0</v>
      </c>
      <c r="CI14" s="124"/>
      <c r="CJ14" s="125">
        <f>Basistabelle!F315</f>
        <v>0</v>
      </c>
      <c r="CK14" s="124"/>
      <c r="CL14" s="6">
        <f t="shared" si="15"/>
        <v>11</v>
      </c>
      <c r="CM14" s="84" t="str">
        <f t="shared" ca="1" si="11"/>
        <v/>
      </c>
      <c r="CN14" s="125">
        <f>Basistabelle!D350</f>
        <v>0</v>
      </c>
      <c r="CO14" s="124"/>
      <c r="CP14" s="121">
        <f>Basistabelle!E350</f>
        <v>0</v>
      </c>
      <c r="CQ14" s="124"/>
      <c r="CR14" s="125">
        <f>Basistabelle!F350</f>
        <v>0</v>
      </c>
      <c r="CS14" s="139"/>
    </row>
    <row r="15" spans="1:97" s="2" customFormat="1" x14ac:dyDescent="0.2">
      <c r="A15" s="51" t="s">
        <v>4</v>
      </c>
      <c r="B15" s="52">
        <f t="shared" si="18"/>
        <v>10</v>
      </c>
      <c r="C15" s="84" t="str">
        <f t="shared" ca="1" si="12"/>
        <v/>
      </c>
      <c r="D15" s="126">
        <f>Basistabelle!D15</f>
        <v>0</v>
      </c>
      <c r="E15" s="127"/>
      <c r="F15" s="126">
        <f>Basistabelle!E15</f>
        <v>0</v>
      </c>
      <c r="G15" s="127"/>
      <c r="H15" s="127">
        <f>Basistabelle!F15</f>
        <v>0</v>
      </c>
      <c r="I15" s="127"/>
      <c r="J15" s="51">
        <f t="shared" si="22"/>
        <v>7</v>
      </c>
      <c r="K15" s="84" t="str">
        <f t="shared" ca="1" si="1"/>
        <v/>
      </c>
      <c r="L15" s="126">
        <f>Basistabelle!D43</f>
        <v>0</v>
      </c>
      <c r="M15" s="127"/>
      <c r="N15" s="126">
        <f>Basistabelle!E42</f>
        <v>0</v>
      </c>
      <c r="O15" s="127"/>
      <c r="P15" s="127">
        <f>Basistabelle!F43</f>
        <v>0</v>
      </c>
      <c r="Q15" s="127"/>
      <c r="R15" s="9">
        <f t="shared" si="23"/>
        <v>7</v>
      </c>
      <c r="S15" s="84" t="str">
        <f t="shared" ca="1" si="2"/>
        <v/>
      </c>
      <c r="T15" s="126">
        <f>Basistabelle!D71</f>
        <v>0</v>
      </c>
      <c r="U15" s="127"/>
      <c r="V15" s="126">
        <f>Basistabelle!E71</f>
        <v>0</v>
      </c>
      <c r="W15" s="127"/>
      <c r="X15" s="127">
        <f>Basistabelle!F71</f>
        <v>0</v>
      </c>
      <c r="Y15" s="127"/>
      <c r="Z15" s="9">
        <f t="shared" si="16"/>
        <v>11</v>
      </c>
      <c r="AA15" s="84" t="str">
        <f t="shared" ca="1" si="3"/>
        <v/>
      </c>
      <c r="AB15" s="126">
        <f>Basistabelle!D106</f>
        <v>0</v>
      </c>
      <c r="AC15" s="127"/>
      <c r="AD15" s="126">
        <f>Basistabelle!E105</f>
        <v>0</v>
      </c>
      <c r="AE15" s="127"/>
      <c r="AF15" s="127">
        <f>Basistabelle!F106</f>
        <v>0</v>
      </c>
      <c r="AG15" s="127"/>
      <c r="AH15" s="9">
        <f t="shared" si="20"/>
        <v>9</v>
      </c>
      <c r="AI15" s="84" t="str">
        <f t="shared" ca="1" si="13"/>
        <v/>
      </c>
      <c r="AJ15" s="126">
        <f>Basistabelle!D134</f>
        <v>0</v>
      </c>
      <c r="AK15" s="127"/>
      <c r="AL15" s="126">
        <f>Basistabelle!E134</f>
        <v>0</v>
      </c>
      <c r="AM15" s="127"/>
      <c r="AN15" s="127">
        <f>Basistabelle!F134</f>
        <v>0</v>
      </c>
      <c r="AO15" s="127"/>
      <c r="AP15" s="9">
        <f t="shared" si="25"/>
        <v>6</v>
      </c>
      <c r="AQ15" s="84" t="str">
        <f t="shared" ca="1" si="5"/>
        <v/>
      </c>
      <c r="AR15" s="126">
        <f>Basistabelle!D162</f>
        <v>0</v>
      </c>
      <c r="AS15" s="127"/>
      <c r="AT15" s="126">
        <f>Basistabelle!E162</f>
        <v>0</v>
      </c>
      <c r="AU15" s="127"/>
      <c r="AV15" s="127">
        <f>Basistabelle!F162</f>
        <v>0</v>
      </c>
      <c r="AW15" s="127"/>
      <c r="AX15" s="9">
        <f t="shared" si="17"/>
        <v>11</v>
      </c>
      <c r="AY15" s="84" t="str">
        <f t="shared" ca="1" si="6"/>
        <v/>
      </c>
      <c r="AZ15" s="126">
        <f>Basistabelle!D197</f>
        <v>0</v>
      </c>
      <c r="BA15" s="127"/>
      <c r="BB15" s="126">
        <f>Basistabelle!E196</f>
        <v>0</v>
      </c>
      <c r="BC15" s="127"/>
      <c r="BD15" s="127">
        <f>Basistabelle!F196</f>
        <v>0</v>
      </c>
      <c r="BE15" s="127"/>
      <c r="BF15" s="22">
        <f t="shared" si="21"/>
        <v>8</v>
      </c>
      <c r="BG15" s="84" t="str">
        <f t="shared" ca="1" si="7"/>
        <v/>
      </c>
      <c r="BH15" s="126">
        <f>Basistabelle!D224</f>
        <v>0</v>
      </c>
      <c r="BI15" s="127"/>
      <c r="BJ15" s="126">
        <f>Basistabelle!E224</f>
        <v>0</v>
      </c>
      <c r="BK15" s="127"/>
      <c r="BL15" s="127">
        <f>Basistabelle!F224</f>
        <v>0</v>
      </c>
      <c r="BM15" s="127"/>
      <c r="BN15" s="9">
        <f t="shared" si="14"/>
        <v>12</v>
      </c>
      <c r="BO15" s="84" t="str">
        <f t="shared" ca="1" si="8"/>
        <v/>
      </c>
      <c r="BP15" s="126">
        <f>Basistabelle!D260</f>
        <v>0</v>
      </c>
      <c r="BQ15" s="127"/>
      <c r="BR15" s="126">
        <f>Basistabelle!E260</f>
        <v>0</v>
      </c>
      <c r="BS15" s="127"/>
      <c r="BT15" s="127">
        <f>Basistabelle!F260</f>
        <v>0</v>
      </c>
      <c r="BU15" s="127"/>
      <c r="BV15" s="9">
        <f t="shared" si="19"/>
        <v>10</v>
      </c>
      <c r="BW15" s="84" t="str">
        <f t="shared" ca="1" si="9"/>
        <v/>
      </c>
      <c r="BX15" s="126">
        <f>Basistabelle!D287</f>
        <v>0</v>
      </c>
      <c r="BY15" s="127"/>
      <c r="BZ15" s="126">
        <f>Basistabelle!E287</f>
        <v>0</v>
      </c>
      <c r="CA15" s="127"/>
      <c r="CB15" s="127">
        <f>Basistabelle!F288</f>
        <v>0</v>
      </c>
      <c r="CC15" s="127"/>
      <c r="CD15" s="9">
        <f t="shared" si="24"/>
        <v>7</v>
      </c>
      <c r="CE15" s="84" t="str">
        <f ca="1">IF(CD15&gt;0,IF(INDIRECT("Basistabelle!G" &amp; $A$1+CD15+CE$1)&gt;"",INDIRECT("Basistabelle!G" &amp; $A$1+CD15+CE$1),IF(INDIRECT("Basistabelle!H" &amp; $A$1+CD15+CE$1)&gt;"",INDIRECT("Basistabelle!H" &amp; $A$1+CD15+CE$1),"")),"")</f>
        <v/>
      </c>
      <c r="CF15" s="126">
        <f>Basistabelle!D316</f>
        <v>0</v>
      </c>
      <c r="CG15" s="127"/>
      <c r="CH15" s="126">
        <f>Basistabelle!E316</f>
        <v>0</v>
      </c>
      <c r="CI15" s="127"/>
      <c r="CJ15" s="127">
        <f>Basistabelle!F316</f>
        <v>0</v>
      </c>
      <c r="CK15" s="127"/>
      <c r="CL15" s="9">
        <f t="shared" si="15"/>
        <v>12</v>
      </c>
      <c r="CM15" s="84" t="str">
        <f t="shared" ca="1" si="11"/>
        <v/>
      </c>
      <c r="CN15" s="126">
        <f>Basistabelle!D351</f>
        <v>0</v>
      </c>
      <c r="CO15" s="127"/>
      <c r="CP15" s="126">
        <f>Basistabelle!E351</f>
        <v>0</v>
      </c>
      <c r="CQ15" s="127"/>
      <c r="CR15" s="127">
        <f>Basistabelle!F351</f>
        <v>0</v>
      </c>
      <c r="CS15" s="141"/>
    </row>
    <row r="16" spans="1:97" s="2" customFormat="1" x14ac:dyDescent="0.2">
      <c r="A16" s="9" t="s">
        <v>5</v>
      </c>
      <c r="B16" s="10">
        <f t="shared" si="18"/>
        <v>11</v>
      </c>
      <c r="C16" s="84" t="str">
        <f t="shared" ca="1" si="12"/>
        <v/>
      </c>
      <c r="D16" s="126">
        <f>Basistabelle!D16</f>
        <v>0</v>
      </c>
      <c r="E16" s="127"/>
      <c r="F16" s="126">
        <f>Basistabelle!E16</f>
        <v>0</v>
      </c>
      <c r="G16" s="127"/>
      <c r="H16" s="127">
        <f>Basistabelle!F16</f>
        <v>0</v>
      </c>
      <c r="I16" s="127"/>
      <c r="J16" s="51">
        <f t="shared" si="22"/>
        <v>8</v>
      </c>
      <c r="K16" s="84" t="str">
        <f t="shared" ca="1" si="1"/>
        <v/>
      </c>
      <c r="L16" s="126">
        <f>Basistabelle!D44</f>
        <v>0</v>
      </c>
      <c r="M16" s="127"/>
      <c r="N16" s="126">
        <f>Basistabelle!E43</f>
        <v>0</v>
      </c>
      <c r="O16" s="127"/>
      <c r="P16" s="127">
        <f>Basistabelle!F44</f>
        <v>0</v>
      </c>
      <c r="Q16" s="127"/>
      <c r="R16" s="9">
        <f t="shared" si="23"/>
        <v>8</v>
      </c>
      <c r="S16" s="84" t="str">
        <f t="shared" ca="1" si="2"/>
        <v/>
      </c>
      <c r="T16" s="126">
        <f>Basistabelle!D72</f>
        <v>0</v>
      </c>
      <c r="U16" s="127"/>
      <c r="V16" s="126">
        <f>Basistabelle!E72</f>
        <v>0</v>
      </c>
      <c r="W16" s="127"/>
      <c r="X16" s="127">
        <f>Basistabelle!F72</f>
        <v>0</v>
      </c>
      <c r="Y16" s="127"/>
      <c r="Z16" s="9">
        <f t="shared" si="16"/>
        <v>12</v>
      </c>
      <c r="AA16" s="84" t="str">
        <f t="shared" ca="1" si="3"/>
        <v/>
      </c>
      <c r="AB16" s="126">
        <f>Basistabelle!D107</f>
        <v>0</v>
      </c>
      <c r="AC16" s="127"/>
      <c r="AD16" s="126">
        <f>Basistabelle!E106</f>
        <v>0</v>
      </c>
      <c r="AE16" s="127"/>
      <c r="AF16" s="127">
        <f>Basistabelle!F107</f>
        <v>0</v>
      </c>
      <c r="AG16" s="127"/>
      <c r="AH16" s="9">
        <f t="shared" si="20"/>
        <v>10</v>
      </c>
      <c r="AI16" s="84" t="str">
        <f t="shared" ca="1" si="13"/>
        <v/>
      </c>
      <c r="AJ16" s="126">
        <f>Basistabelle!D135</f>
        <v>0</v>
      </c>
      <c r="AK16" s="127"/>
      <c r="AL16" s="126">
        <f>Basistabelle!E135</f>
        <v>0</v>
      </c>
      <c r="AM16" s="127"/>
      <c r="AN16" s="127">
        <f>Basistabelle!F135</f>
        <v>0</v>
      </c>
      <c r="AO16" s="127"/>
      <c r="AP16" s="9">
        <f t="shared" si="25"/>
        <v>7</v>
      </c>
      <c r="AQ16" s="84" t="str">
        <f t="shared" ca="1" si="5"/>
        <v/>
      </c>
      <c r="AR16" s="126">
        <f>Basistabelle!D163</f>
        <v>0</v>
      </c>
      <c r="AS16" s="127"/>
      <c r="AT16" s="126">
        <f>Basistabelle!E163</f>
        <v>0</v>
      </c>
      <c r="AU16" s="127"/>
      <c r="AV16" s="127">
        <f>Basistabelle!F163</f>
        <v>0</v>
      </c>
      <c r="AW16" s="127"/>
      <c r="AX16" s="9">
        <f t="shared" si="17"/>
        <v>12</v>
      </c>
      <c r="AY16" s="84" t="str">
        <f t="shared" ca="1" si="6"/>
        <v/>
      </c>
      <c r="AZ16" s="126">
        <f>Basistabelle!D198</f>
        <v>0</v>
      </c>
      <c r="BA16" s="127"/>
      <c r="BB16" s="126">
        <f>Basistabelle!E197</f>
        <v>0</v>
      </c>
      <c r="BC16" s="127"/>
      <c r="BD16" s="127">
        <f>Basistabelle!F197</f>
        <v>0</v>
      </c>
      <c r="BE16" s="127"/>
      <c r="BF16" s="9">
        <f t="shared" si="21"/>
        <v>9</v>
      </c>
      <c r="BG16" s="84" t="str">
        <f t="shared" ca="1" si="7"/>
        <v/>
      </c>
      <c r="BH16" s="126">
        <f>Basistabelle!D225</f>
        <v>0</v>
      </c>
      <c r="BI16" s="127"/>
      <c r="BJ16" s="126">
        <f>Basistabelle!E225</f>
        <v>0</v>
      </c>
      <c r="BK16" s="127"/>
      <c r="BL16" s="127">
        <f>Basistabelle!F225</f>
        <v>0</v>
      </c>
      <c r="BM16" s="127"/>
      <c r="BN16" s="9">
        <f t="shared" si="14"/>
        <v>13</v>
      </c>
      <c r="BO16" s="84" t="str">
        <f t="shared" ca="1" si="8"/>
        <v/>
      </c>
      <c r="BP16" s="126">
        <f>Basistabelle!D261</f>
        <v>0</v>
      </c>
      <c r="BQ16" s="127"/>
      <c r="BR16" s="126">
        <f>Basistabelle!E261</f>
        <v>0</v>
      </c>
      <c r="BS16" s="127"/>
      <c r="BT16" s="127">
        <f>Basistabelle!F261</f>
        <v>0</v>
      </c>
      <c r="BU16" s="127"/>
      <c r="BV16" s="9">
        <f t="shared" si="19"/>
        <v>11</v>
      </c>
      <c r="BW16" s="84" t="str">
        <f t="shared" ca="1" si="9"/>
        <v/>
      </c>
      <c r="BX16" s="126">
        <f>Basistabelle!D288</f>
        <v>0</v>
      </c>
      <c r="BY16" s="127"/>
      <c r="BZ16" s="126">
        <f>Basistabelle!E288</f>
        <v>0</v>
      </c>
      <c r="CA16" s="127"/>
      <c r="CB16" s="127">
        <f>Basistabelle!F289</f>
        <v>0</v>
      </c>
      <c r="CC16" s="127"/>
      <c r="CD16" s="9">
        <f t="shared" si="24"/>
        <v>8</v>
      </c>
      <c r="CE16" s="84" t="str">
        <f t="shared" ca="1" si="10"/>
        <v/>
      </c>
      <c r="CF16" s="126">
        <f>Basistabelle!D317</f>
        <v>0</v>
      </c>
      <c r="CG16" s="127"/>
      <c r="CH16" s="126">
        <f>Basistabelle!E317</f>
        <v>0</v>
      </c>
      <c r="CI16" s="127"/>
      <c r="CJ16" s="127">
        <f>Basistabelle!F317</f>
        <v>0</v>
      </c>
      <c r="CK16" s="127"/>
      <c r="CL16" s="9">
        <f t="shared" si="15"/>
        <v>13</v>
      </c>
      <c r="CM16" s="84" t="str">
        <f t="shared" ca="1" si="11"/>
        <v/>
      </c>
      <c r="CN16" s="126">
        <f>Basistabelle!D352</f>
        <v>0</v>
      </c>
      <c r="CO16" s="127"/>
      <c r="CP16" s="126">
        <f>Basistabelle!E352</f>
        <v>0</v>
      </c>
      <c r="CQ16" s="127"/>
      <c r="CR16" s="127">
        <f>Basistabelle!F352</f>
        <v>0</v>
      </c>
      <c r="CS16" s="141"/>
    </row>
    <row r="17" spans="1:97" s="2" customFormat="1" ht="15" customHeight="1" x14ac:dyDescent="0.2">
      <c r="A17" s="6" t="s">
        <v>25</v>
      </c>
      <c r="B17" s="8">
        <f t="shared" si="18"/>
        <v>12</v>
      </c>
      <c r="C17" s="84" t="str">
        <f t="shared" ca="1" si="12"/>
        <v/>
      </c>
      <c r="D17" s="169">
        <v>3</v>
      </c>
      <c r="E17" s="169"/>
      <c r="F17" s="169"/>
      <c r="G17" s="169"/>
      <c r="H17" s="169"/>
      <c r="I17" s="170"/>
      <c r="J17" s="6">
        <f t="shared" si="22"/>
        <v>9</v>
      </c>
      <c r="K17" s="84" t="str">
        <f t="shared" ca="1" si="1"/>
        <v/>
      </c>
      <c r="L17" s="125">
        <f>Basistabelle!D45</f>
        <v>0</v>
      </c>
      <c r="M17" s="171">
        <v>7</v>
      </c>
      <c r="N17" s="171"/>
      <c r="O17" s="171"/>
      <c r="P17" s="171"/>
      <c r="Q17" s="172"/>
      <c r="R17" s="18">
        <f t="shared" si="23"/>
        <v>9</v>
      </c>
      <c r="S17" s="84" t="str">
        <f t="shared" ca="1" si="2"/>
        <v/>
      </c>
      <c r="T17" s="167">
        <v>11</v>
      </c>
      <c r="U17" s="167"/>
      <c r="V17" s="167"/>
      <c r="W17" s="167"/>
      <c r="X17" s="167"/>
      <c r="Y17" s="168"/>
      <c r="Z17" s="18">
        <f t="shared" si="16"/>
        <v>13</v>
      </c>
      <c r="AA17" s="84" t="str">
        <f t="shared" ca="1" si="3"/>
        <v/>
      </c>
      <c r="AB17" s="125">
        <f>Basistabelle!D108</f>
        <v>0</v>
      </c>
      <c r="AC17" s="124"/>
      <c r="AD17" s="121">
        <f>Basistabelle!E107</f>
        <v>0</v>
      </c>
      <c r="AE17" s="124"/>
      <c r="AF17" s="125">
        <f>Basistabelle!F108</f>
        <v>0</v>
      </c>
      <c r="AG17" s="137"/>
      <c r="AH17" s="18">
        <f t="shared" si="20"/>
        <v>11</v>
      </c>
      <c r="AI17" s="84" t="str">
        <f t="shared" ca="1" si="13"/>
        <v/>
      </c>
      <c r="AJ17" s="167">
        <v>20</v>
      </c>
      <c r="AK17" s="167"/>
      <c r="AL17" s="167"/>
      <c r="AM17" s="167"/>
      <c r="AN17" s="167"/>
      <c r="AO17" s="168"/>
      <c r="AP17" s="18">
        <f t="shared" si="25"/>
        <v>8</v>
      </c>
      <c r="AQ17" s="84" t="str">
        <f t="shared" ca="1" si="5"/>
        <v/>
      </c>
      <c r="AR17" s="167">
        <v>24</v>
      </c>
      <c r="AS17" s="167"/>
      <c r="AT17" s="167"/>
      <c r="AU17" s="167"/>
      <c r="AV17" s="167"/>
      <c r="AW17" s="168"/>
      <c r="AX17" s="18">
        <f t="shared" si="17"/>
        <v>13</v>
      </c>
      <c r="AY17" s="84" t="str">
        <f t="shared" ca="1" si="6"/>
        <v/>
      </c>
      <c r="AZ17" s="125" t="e">
        <f>Basistabelle!#REF!</f>
        <v>#REF!</v>
      </c>
      <c r="BA17" s="124"/>
      <c r="BB17" s="121">
        <f>Basistabelle!E198</f>
        <v>0</v>
      </c>
      <c r="BC17" s="124"/>
      <c r="BD17" s="125">
        <f>Basistabelle!F198</f>
        <v>0</v>
      </c>
      <c r="BE17" s="137"/>
      <c r="BF17" s="21">
        <f t="shared" si="21"/>
        <v>10</v>
      </c>
      <c r="BG17" s="84" t="str">
        <f t="shared" ca="1" si="7"/>
        <v/>
      </c>
      <c r="BH17" s="125">
        <f>Basistabelle!D226</f>
        <v>0</v>
      </c>
      <c r="BI17" s="171">
        <v>33</v>
      </c>
      <c r="BJ17" s="171"/>
      <c r="BK17" s="171"/>
      <c r="BL17" s="171"/>
      <c r="BM17" s="172"/>
      <c r="BN17" s="18">
        <f t="shared" si="14"/>
        <v>14</v>
      </c>
      <c r="BO17" s="84" t="str">
        <f t="shared" ca="1" si="8"/>
        <v/>
      </c>
      <c r="BP17" s="167">
        <v>38</v>
      </c>
      <c r="BQ17" s="167"/>
      <c r="BR17" s="167"/>
      <c r="BS17" s="167"/>
      <c r="BT17" s="167"/>
      <c r="BU17" s="168"/>
      <c r="BV17" s="18">
        <f t="shared" si="19"/>
        <v>12</v>
      </c>
      <c r="BW17" s="84" t="str">
        <f t="shared" ca="1" si="9"/>
        <v/>
      </c>
      <c r="BX17" s="125">
        <f>Basistabelle!D289</f>
        <v>0</v>
      </c>
      <c r="BY17" s="171">
        <v>42</v>
      </c>
      <c r="BZ17" s="171"/>
      <c r="CA17" s="171"/>
      <c r="CB17" s="171"/>
      <c r="CC17" s="172"/>
      <c r="CD17" s="18">
        <f t="shared" si="24"/>
        <v>9</v>
      </c>
      <c r="CE17" s="84" t="str">
        <f t="shared" ca="1" si="10"/>
        <v/>
      </c>
      <c r="CF17" s="167">
        <v>46</v>
      </c>
      <c r="CG17" s="167"/>
      <c r="CH17" s="167"/>
      <c r="CI17" s="167"/>
      <c r="CJ17" s="167"/>
      <c r="CK17" s="168"/>
      <c r="CL17" s="18">
        <f t="shared" si="15"/>
        <v>14</v>
      </c>
      <c r="CM17" s="84" t="str">
        <f t="shared" ca="1" si="11"/>
        <v/>
      </c>
      <c r="CN17" s="167">
        <v>51</v>
      </c>
      <c r="CO17" s="167"/>
      <c r="CP17" s="167"/>
      <c r="CQ17" s="167"/>
      <c r="CR17" s="167"/>
      <c r="CS17" s="168"/>
    </row>
    <row r="18" spans="1:97" s="2" customFormat="1" x14ac:dyDescent="0.2">
      <c r="A18" s="6" t="s">
        <v>6</v>
      </c>
      <c r="B18" s="8">
        <f t="shared" si="18"/>
        <v>13</v>
      </c>
      <c r="C18" s="84" t="str">
        <f t="shared" ca="1" si="12"/>
        <v/>
      </c>
      <c r="D18" s="125">
        <f>Basistabelle!D18</f>
        <v>0</v>
      </c>
      <c r="E18" s="124"/>
      <c r="F18" s="121">
        <f>Basistabelle!E18</f>
        <v>0</v>
      </c>
      <c r="G18" s="124"/>
      <c r="H18" s="125">
        <f>Basistabelle!F18</f>
        <v>0</v>
      </c>
      <c r="I18" s="124"/>
      <c r="J18" s="6">
        <f t="shared" si="22"/>
        <v>10</v>
      </c>
      <c r="K18" s="84" t="str">
        <f t="shared" ca="1" si="1"/>
        <v/>
      </c>
      <c r="L18" s="125">
        <f>Basistabelle!D46</f>
        <v>0</v>
      </c>
      <c r="M18" s="124"/>
      <c r="N18" s="121">
        <f>Basistabelle!E45</f>
        <v>0</v>
      </c>
      <c r="O18" s="124"/>
      <c r="P18" s="125">
        <f>Basistabelle!F46</f>
        <v>0</v>
      </c>
      <c r="Q18" s="124"/>
      <c r="R18" s="6">
        <f t="shared" si="23"/>
        <v>10</v>
      </c>
      <c r="S18" s="84" t="str">
        <f t="shared" ca="1" si="2"/>
        <v/>
      </c>
      <c r="T18" s="125">
        <f>Basistabelle!D74</f>
        <v>0</v>
      </c>
      <c r="U18" s="124"/>
      <c r="V18" s="121">
        <f>Basistabelle!E74</f>
        <v>0</v>
      </c>
      <c r="W18" s="124"/>
      <c r="X18" s="125">
        <f>Basistabelle!F74</f>
        <v>0</v>
      </c>
      <c r="Y18" s="124"/>
      <c r="Z18" s="6">
        <f t="shared" si="16"/>
        <v>14</v>
      </c>
      <c r="AA18" s="84" t="str">
        <f t="shared" ca="1" si="3"/>
        <v/>
      </c>
      <c r="AB18" s="125">
        <f>Basistabelle!D109</f>
        <v>0</v>
      </c>
      <c r="AC18" s="124"/>
      <c r="AD18" s="121">
        <f>Basistabelle!E108</f>
        <v>0</v>
      </c>
      <c r="AE18" s="124"/>
      <c r="AF18" s="125">
        <f>Basistabelle!F109</f>
        <v>0</v>
      </c>
      <c r="AG18" s="124"/>
      <c r="AH18" s="6">
        <f t="shared" si="20"/>
        <v>12</v>
      </c>
      <c r="AI18" s="84" t="str">
        <f t="shared" ca="1" si="13"/>
        <v/>
      </c>
      <c r="AJ18" s="125">
        <f>Basistabelle!D137</f>
        <v>0</v>
      </c>
      <c r="AK18" s="124"/>
      <c r="AL18" s="121">
        <f>Basistabelle!E137</f>
        <v>0</v>
      </c>
      <c r="AM18" s="124"/>
      <c r="AN18" s="125">
        <f>Basistabelle!F137</f>
        <v>0</v>
      </c>
      <c r="AO18" s="124"/>
      <c r="AP18" s="6">
        <f t="shared" si="25"/>
        <v>9</v>
      </c>
      <c r="AQ18" s="84" t="str">
        <f t="shared" ca="1" si="5"/>
        <v/>
      </c>
      <c r="AR18" s="125">
        <f>Basistabelle!D165</f>
        <v>0</v>
      </c>
      <c r="AS18" s="124"/>
      <c r="AT18" s="121">
        <f>Basistabelle!E165</f>
        <v>0</v>
      </c>
      <c r="AU18" s="124"/>
      <c r="AV18" s="125">
        <f>Basistabelle!F165</f>
        <v>0</v>
      </c>
      <c r="AW18" s="124"/>
      <c r="AX18" s="6">
        <f t="shared" si="17"/>
        <v>14</v>
      </c>
      <c r="AY18" s="84" t="str">
        <f ca="1">IF(AX18&gt;0,IF(INDIRECT("Basistabelle!G" &amp; $A$1+AX18+AY$1)&gt;"",INDIRECT("Basistabelle!G" &amp; $A$1+AX18+AY$1),IF(INDIRECT("Basistabelle!H" &amp; $A$1+AX18+AY$1)&gt;"",INDIRECT("Basistabelle!H" &amp; $A$1+AX18+AY$1),"")),"")</f>
        <v/>
      </c>
      <c r="AZ18" s="125">
        <f>Basistabelle!D199</f>
        <v>0</v>
      </c>
      <c r="BA18" s="124"/>
      <c r="BB18" s="121">
        <f>Basistabelle!E199</f>
        <v>0</v>
      </c>
      <c r="BC18" s="124"/>
      <c r="BD18" s="125">
        <f>Basistabelle!F199</f>
        <v>0</v>
      </c>
      <c r="BE18" s="124"/>
      <c r="BF18" s="21">
        <f t="shared" si="21"/>
        <v>11</v>
      </c>
      <c r="BG18" s="84" t="str">
        <f t="shared" ca="1" si="7"/>
        <v/>
      </c>
      <c r="BH18" s="125">
        <f>Basistabelle!D227</f>
        <v>0</v>
      </c>
      <c r="BI18" s="124"/>
      <c r="BJ18" s="121">
        <f>Basistabelle!E227</f>
        <v>0</v>
      </c>
      <c r="BK18" s="124"/>
      <c r="BL18" s="125">
        <f>Basistabelle!F227</f>
        <v>0</v>
      </c>
      <c r="BM18" s="124"/>
      <c r="BN18" s="6">
        <f t="shared" si="14"/>
        <v>15</v>
      </c>
      <c r="BO18" s="84" t="str">
        <f t="shared" ca="1" si="8"/>
        <v/>
      </c>
      <c r="BP18" s="125">
        <f>Basistabelle!D263</f>
        <v>0</v>
      </c>
      <c r="BQ18" s="124"/>
      <c r="BR18" s="121">
        <f>Basistabelle!E263</f>
        <v>0</v>
      </c>
      <c r="BS18" s="124"/>
      <c r="BT18" s="125">
        <f>Basistabelle!F263</f>
        <v>0</v>
      </c>
      <c r="BU18" s="124"/>
      <c r="BV18" s="6">
        <f t="shared" si="19"/>
        <v>13</v>
      </c>
      <c r="BW18" s="84" t="str">
        <f t="shared" ca="1" si="9"/>
        <v/>
      </c>
      <c r="BX18" s="125">
        <f>Basistabelle!D290</f>
        <v>0</v>
      </c>
      <c r="BY18" s="124"/>
      <c r="BZ18" s="121">
        <f>Basistabelle!E290</f>
        <v>0</v>
      </c>
      <c r="CA18" s="124"/>
      <c r="CB18" s="125">
        <f>Basistabelle!F291</f>
        <v>0</v>
      </c>
      <c r="CC18" s="124"/>
      <c r="CD18" s="6">
        <f t="shared" si="24"/>
        <v>10</v>
      </c>
      <c r="CE18" s="84" t="str">
        <f t="shared" ca="1" si="10"/>
        <v/>
      </c>
      <c r="CF18" s="125">
        <f>Basistabelle!D319</f>
        <v>0</v>
      </c>
      <c r="CG18" s="124"/>
      <c r="CH18" s="121">
        <f>Basistabelle!E319</f>
        <v>0</v>
      </c>
      <c r="CI18" s="124"/>
      <c r="CJ18" s="125">
        <f>Basistabelle!F319</f>
        <v>0</v>
      </c>
      <c r="CK18" s="124"/>
      <c r="CL18" s="6">
        <f t="shared" si="15"/>
        <v>15</v>
      </c>
      <c r="CM18" s="84" t="str">
        <f t="shared" ca="1" si="11"/>
        <v/>
      </c>
      <c r="CN18" s="125">
        <f>Basistabelle!D354</f>
        <v>0</v>
      </c>
      <c r="CO18" s="124"/>
      <c r="CP18" s="121">
        <f>Basistabelle!E354</f>
        <v>0</v>
      </c>
      <c r="CQ18" s="124"/>
      <c r="CR18" s="125">
        <f>Basistabelle!F354</f>
        <v>0</v>
      </c>
      <c r="CS18" s="139"/>
    </row>
    <row r="19" spans="1:97" s="2" customFormat="1" x14ac:dyDescent="0.2">
      <c r="A19" s="6" t="s">
        <v>7</v>
      </c>
      <c r="B19" s="8">
        <f t="shared" si="18"/>
        <v>14</v>
      </c>
      <c r="C19" s="84" t="str">
        <f t="shared" ca="1" si="12"/>
        <v/>
      </c>
      <c r="D19" s="125">
        <f>Basistabelle!D19</f>
        <v>0</v>
      </c>
      <c r="E19" s="124"/>
      <c r="F19" s="121">
        <f>Basistabelle!E19</f>
        <v>0</v>
      </c>
      <c r="G19" s="124"/>
      <c r="H19" s="125">
        <f>Basistabelle!F19</f>
        <v>0</v>
      </c>
      <c r="I19" s="124"/>
      <c r="J19" s="6">
        <f t="shared" si="22"/>
        <v>11</v>
      </c>
      <c r="K19" s="84" t="str">
        <f t="shared" ca="1" si="1"/>
        <v/>
      </c>
      <c r="L19" s="125" t="e">
        <f>Basistabelle!#REF!</f>
        <v>#REF!</v>
      </c>
      <c r="M19" s="124"/>
      <c r="N19" s="121">
        <f>Basistabelle!E46</f>
        <v>0</v>
      </c>
      <c r="O19" s="124"/>
      <c r="P19" s="125">
        <f>Basistabelle!F47</f>
        <v>0</v>
      </c>
      <c r="Q19" s="124"/>
      <c r="R19" s="6">
        <f t="shared" si="23"/>
        <v>11</v>
      </c>
      <c r="S19" s="84" t="str">
        <f t="shared" ca="1" si="2"/>
        <v/>
      </c>
      <c r="T19" s="125">
        <f>Basistabelle!D75</f>
        <v>0</v>
      </c>
      <c r="U19" s="124"/>
      <c r="V19" s="121">
        <f>Basistabelle!E75</f>
        <v>0</v>
      </c>
      <c r="W19" s="124"/>
      <c r="X19" s="125">
        <f>Basistabelle!F75</f>
        <v>0</v>
      </c>
      <c r="Y19" s="124"/>
      <c r="Z19" s="6">
        <f t="shared" si="16"/>
        <v>15</v>
      </c>
      <c r="AA19" s="84" t="str">
        <f t="shared" ca="1" si="3"/>
        <v/>
      </c>
      <c r="AB19" s="125">
        <f>Basistabelle!D110</f>
        <v>0</v>
      </c>
      <c r="AC19" s="124"/>
      <c r="AD19" s="121">
        <f>Basistabelle!E109</f>
        <v>0</v>
      </c>
      <c r="AE19" s="124"/>
      <c r="AF19" s="125">
        <f>Basistabelle!F110</f>
        <v>0</v>
      </c>
      <c r="AG19" s="124"/>
      <c r="AH19" s="6">
        <f t="shared" si="20"/>
        <v>13</v>
      </c>
      <c r="AI19" s="84" t="str">
        <f t="shared" ca="1" si="13"/>
        <v/>
      </c>
      <c r="AJ19" s="125">
        <f>Basistabelle!D138</f>
        <v>0</v>
      </c>
      <c r="AK19" s="124"/>
      <c r="AL19" s="121">
        <f>Basistabelle!E138</f>
        <v>0</v>
      </c>
      <c r="AM19" s="124"/>
      <c r="AN19" s="125">
        <f>Basistabelle!F138</f>
        <v>0</v>
      </c>
      <c r="AO19" s="124"/>
      <c r="AP19" s="6">
        <f t="shared" si="25"/>
        <v>10</v>
      </c>
      <c r="AQ19" s="84" t="str">
        <f ca="1">IF(AP19&gt;0,IF(INDIRECT("Basistabelle!G" &amp; $A$1+AP19+AQ$1)&gt;"",INDIRECT("Basistabelle!G" &amp; $A$1+AP19+AQ$1),IF(INDIRECT("Basistabelle!H" &amp; $A$1+AP19+AQ$1)&gt;"",INDIRECT("Basistabelle!H" &amp; $A$1+AP19+AQ$1),"")),"")</f>
        <v/>
      </c>
      <c r="AR19" s="125">
        <f>Basistabelle!D166</f>
        <v>0</v>
      </c>
      <c r="AS19" s="124"/>
      <c r="AT19" s="121">
        <f>Basistabelle!E166</f>
        <v>0</v>
      </c>
      <c r="AU19" s="124"/>
      <c r="AV19" s="125">
        <f>Basistabelle!F166</f>
        <v>0</v>
      </c>
      <c r="AW19" s="124"/>
      <c r="AX19" s="6">
        <f t="shared" si="17"/>
        <v>15</v>
      </c>
      <c r="AY19" s="84" t="str">
        <f t="shared" ca="1" si="6"/>
        <v/>
      </c>
      <c r="AZ19" s="125">
        <f>Basistabelle!D200</f>
        <v>0</v>
      </c>
      <c r="BA19" s="124"/>
      <c r="BB19" s="121">
        <f>Basistabelle!E200</f>
        <v>0</v>
      </c>
      <c r="BC19" s="124"/>
      <c r="BD19" s="125">
        <f>Basistabelle!F200</f>
        <v>0</v>
      </c>
      <c r="BE19" s="124"/>
      <c r="BF19" s="21">
        <f t="shared" si="21"/>
        <v>12</v>
      </c>
      <c r="BG19" s="84" t="str">
        <f t="shared" ca="1" si="7"/>
        <v/>
      </c>
      <c r="BH19" s="125">
        <f>Basistabelle!D228</f>
        <v>0</v>
      </c>
      <c r="BI19" s="124"/>
      <c r="BJ19" s="121">
        <f>Basistabelle!E228</f>
        <v>0</v>
      </c>
      <c r="BK19" s="124"/>
      <c r="BL19" s="125">
        <f>Basistabelle!F228</f>
        <v>0</v>
      </c>
      <c r="BM19" s="124"/>
      <c r="BN19" s="6">
        <f t="shared" si="14"/>
        <v>16</v>
      </c>
      <c r="BO19" s="84" t="str">
        <f t="shared" ca="1" si="8"/>
        <v/>
      </c>
      <c r="BP19" s="125">
        <f>Basistabelle!D264</f>
        <v>0</v>
      </c>
      <c r="BQ19" s="124"/>
      <c r="BR19" s="121">
        <f>Basistabelle!E264</f>
        <v>0</v>
      </c>
      <c r="BS19" s="124"/>
      <c r="BT19" s="125">
        <f>Basistabelle!F264</f>
        <v>0</v>
      </c>
      <c r="BU19" s="124"/>
      <c r="BV19" s="6">
        <f t="shared" si="19"/>
        <v>14</v>
      </c>
      <c r="BW19" s="84" t="str">
        <f t="shared" ca="1" si="9"/>
        <v/>
      </c>
      <c r="BX19" s="125">
        <f>Basistabelle!D291</f>
        <v>0</v>
      </c>
      <c r="BY19" s="124"/>
      <c r="BZ19" s="121">
        <f>Basistabelle!E291</f>
        <v>0</v>
      </c>
      <c r="CA19" s="124"/>
      <c r="CB19" s="125">
        <f>Basistabelle!F292</f>
        <v>0</v>
      </c>
      <c r="CC19" s="124"/>
      <c r="CD19" s="6">
        <f t="shared" si="24"/>
        <v>11</v>
      </c>
      <c r="CE19" s="84" t="str">
        <f t="shared" ca="1" si="10"/>
        <v/>
      </c>
      <c r="CF19" s="125">
        <f>Basistabelle!D320</f>
        <v>0</v>
      </c>
      <c r="CG19" s="124"/>
      <c r="CH19" s="121">
        <f>Basistabelle!E320</f>
        <v>0</v>
      </c>
      <c r="CI19" s="124"/>
      <c r="CJ19" s="125">
        <f>Basistabelle!F320</f>
        <v>0</v>
      </c>
      <c r="CK19" s="124"/>
      <c r="CL19" s="6">
        <f t="shared" si="15"/>
        <v>16</v>
      </c>
      <c r="CM19" s="84" t="str">
        <f t="shared" ca="1" si="11"/>
        <v/>
      </c>
      <c r="CN19" s="125">
        <f>Basistabelle!D355</f>
        <v>0</v>
      </c>
      <c r="CO19" s="124"/>
      <c r="CP19" s="121">
        <f>Basistabelle!E355</f>
        <v>0</v>
      </c>
      <c r="CQ19" s="124"/>
      <c r="CR19" s="125">
        <f>Basistabelle!F355</f>
        <v>0</v>
      </c>
      <c r="CS19" s="139"/>
    </row>
    <row r="20" spans="1:97" s="2" customFormat="1" ht="12.75" customHeight="1" x14ac:dyDescent="0.2">
      <c r="A20" s="6" t="s">
        <v>8</v>
      </c>
      <c r="B20" s="8">
        <f t="shared" si="18"/>
        <v>15</v>
      </c>
      <c r="C20" s="84" t="str">
        <f t="shared" ca="1" si="12"/>
        <v/>
      </c>
      <c r="D20" s="125">
        <f>Basistabelle!D20</f>
        <v>0</v>
      </c>
      <c r="E20" s="124"/>
      <c r="F20" s="121">
        <f>Basistabelle!E20</f>
        <v>0</v>
      </c>
      <c r="G20" s="124"/>
      <c r="H20" s="125">
        <f>Basistabelle!F20</f>
        <v>0</v>
      </c>
      <c r="I20" s="124"/>
      <c r="J20" s="6">
        <f t="shared" si="22"/>
        <v>12</v>
      </c>
      <c r="K20" s="84" t="str">
        <f t="shared" ca="1" si="1"/>
        <v/>
      </c>
      <c r="L20" s="125">
        <f>Basistabelle!D47</f>
        <v>0</v>
      </c>
      <c r="M20" s="124"/>
      <c r="N20" s="121">
        <f>Basistabelle!E48</f>
        <v>0</v>
      </c>
      <c r="O20" s="124"/>
      <c r="P20" s="125">
        <f>Basistabelle!F48</f>
        <v>0</v>
      </c>
      <c r="Q20" s="124"/>
      <c r="R20" s="6">
        <f t="shared" si="23"/>
        <v>12</v>
      </c>
      <c r="S20" s="84" t="str">
        <f t="shared" ca="1" si="2"/>
        <v/>
      </c>
      <c r="T20" s="125">
        <f>Basistabelle!D76</f>
        <v>0</v>
      </c>
      <c r="U20" s="124"/>
      <c r="V20" s="121">
        <f>Basistabelle!E76</f>
        <v>0</v>
      </c>
      <c r="W20" s="124"/>
      <c r="X20" s="125">
        <f>Basistabelle!F76</f>
        <v>0</v>
      </c>
      <c r="Y20" s="124"/>
      <c r="Z20" s="6">
        <f t="shared" si="16"/>
        <v>16</v>
      </c>
      <c r="AA20" s="84" t="str">
        <f t="shared" ca="1" si="3"/>
        <v/>
      </c>
      <c r="AB20" s="125">
        <f>Basistabelle!D111</f>
        <v>0</v>
      </c>
      <c r="AC20" s="124"/>
      <c r="AD20" s="121">
        <f>Basistabelle!E110</f>
        <v>0</v>
      </c>
      <c r="AE20" s="124"/>
      <c r="AF20" s="125">
        <f>Basistabelle!F111</f>
        <v>0</v>
      </c>
      <c r="AG20" s="124"/>
      <c r="AH20" s="6">
        <f t="shared" si="20"/>
        <v>14</v>
      </c>
      <c r="AI20" s="84" t="str">
        <f t="shared" ca="1" si="13"/>
        <v/>
      </c>
      <c r="AJ20" s="125">
        <f>Basistabelle!D139</f>
        <v>0</v>
      </c>
      <c r="AK20" s="124"/>
      <c r="AL20" s="121">
        <f>Basistabelle!E139</f>
        <v>0</v>
      </c>
      <c r="AM20" s="124"/>
      <c r="AN20" s="125">
        <f>Basistabelle!F139</f>
        <v>0</v>
      </c>
      <c r="AO20" s="124"/>
      <c r="AP20" s="6">
        <f t="shared" si="25"/>
        <v>11</v>
      </c>
      <c r="AQ20" s="84" t="str">
        <f t="shared" ca="1" si="5"/>
        <v/>
      </c>
      <c r="AR20" s="125">
        <f>Basistabelle!D167</f>
        <v>0</v>
      </c>
      <c r="AS20" s="124"/>
      <c r="AT20" s="121">
        <f>Basistabelle!E167</f>
        <v>0</v>
      </c>
      <c r="AU20" s="124"/>
      <c r="AV20" s="125">
        <f>Basistabelle!F167</f>
        <v>0</v>
      </c>
      <c r="AW20" s="124"/>
      <c r="AX20" s="6">
        <f t="shared" si="17"/>
        <v>16</v>
      </c>
      <c r="AY20" s="84" t="str">
        <f t="shared" ca="1" si="6"/>
        <v/>
      </c>
      <c r="AZ20" s="125">
        <f>Basistabelle!D201</f>
        <v>0</v>
      </c>
      <c r="BA20" s="124"/>
      <c r="BB20" s="121">
        <f>Basistabelle!E201</f>
        <v>0</v>
      </c>
      <c r="BC20" s="124"/>
      <c r="BD20" s="125">
        <f>Basistabelle!F201</f>
        <v>0</v>
      </c>
      <c r="BE20" s="124"/>
      <c r="BF20" s="21">
        <f t="shared" si="21"/>
        <v>13</v>
      </c>
      <c r="BG20" s="84" t="str">
        <f t="shared" ca="1" si="7"/>
        <v/>
      </c>
      <c r="BH20" s="125">
        <f>Basistabelle!D229</f>
        <v>0</v>
      </c>
      <c r="BI20" s="124"/>
      <c r="BJ20" s="121">
        <f>Basistabelle!E230</f>
        <v>0</v>
      </c>
      <c r="BK20" s="124"/>
      <c r="BL20" s="125">
        <f>Basistabelle!F230</f>
        <v>0</v>
      </c>
      <c r="BM20" s="124"/>
      <c r="BN20" s="6">
        <f t="shared" si="14"/>
        <v>17</v>
      </c>
      <c r="BO20" s="84" t="str">
        <f t="shared" ca="1" si="8"/>
        <v/>
      </c>
      <c r="BP20" s="125">
        <f>Basistabelle!D265</f>
        <v>0</v>
      </c>
      <c r="BQ20" s="124"/>
      <c r="BR20" s="121">
        <f>Basistabelle!E265</f>
        <v>0</v>
      </c>
      <c r="BS20" s="124"/>
      <c r="BT20" s="125">
        <f>Basistabelle!F265</f>
        <v>0</v>
      </c>
      <c r="BU20" s="124"/>
      <c r="BV20" s="6">
        <f t="shared" si="19"/>
        <v>15</v>
      </c>
      <c r="BW20" s="84" t="str">
        <f t="shared" ca="1" si="9"/>
        <v/>
      </c>
      <c r="BX20" s="125">
        <f>Basistabelle!D292</f>
        <v>0</v>
      </c>
      <c r="BY20" s="124"/>
      <c r="BZ20" s="121">
        <f>Basistabelle!E293</f>
        <v>0</v>
      </c>
      <c r="CA20" s="124"/>
      <c r="CB20" s="125">
        <f>Basistabelle!F293</f>
        <v>0</v>
      </c>
      <c r="CC20" s="124"/>
      <c r="CD20" s="6">
        <f t="shared" si="24"/>
        <v>12</v>
      </c>
      <c r="CE20" s="84" t="str">
        <f t="shared" ca="1" si="10"/>
        <v/>
      </c>
      <c r="CF20" s="125">
        <f>Basistabelle!D321</f>
        <v>0</v>
      </c>
      <c r="CG20" s="124"/>
      <c r="CH20" s="121">
        <f>Basistabelle!E321</f>
        <v>0</v>
      </c>
      <c r="CI20" s="124"/>
      <c r="CJ20" s="125">
        <f>Basistabelle!F321</f>
        <v>0</v>
      </c>
      <c r="CK20" s="124"/>
      <c r="CL20" s="6">
        <f t="shared" si="15"/>
        <v>17</v>
      </c>
      <c r="CM20" s="84" t="str">
        <f t="shared" ca="1" si="11"/>
        <v/>
      </c>
      <c r="CN20" s="125">
        <f>Basistabelle!D356</f>
        <v>0</v>
      </c>
      <c r="CO20" s="124"/>
      <c r="CP20" s="121">
        <f>Basistabelle!E356</f>
        <v>0</v>
      </c>
      <c r="CQ20" s="124"/>
      <c r="CR20" s="125">
        <f>Basistabelle!F356</f>
        <v>0</v>
      </c>
      <c r="CS20" s="139"/>
    </row>
    <row r="21" spans="1:97" s="2" customFormat="1" ht="12.75" customHeight="1" x14ac:dyDescent="0.2">
      <c r="A21" s="6" t="s">
        <v>3</v>
      </c>
      <c r="B21" s="8">
        <f t="shared" si="18"/>
        <v>16</v>
      </c>
      <c r="C21" s="84" t="str">
        <f t="shared" ca="1" si="12"/>
        <v/>
      </c>
      <c r="D21" s="125">
        <f>Basistabelle!D21</f>
        <v>0</v>
      </c>
      <c r="E21" s="124"/>
      <c r="F21" s="121">
        <f>Basistabelle!E21</f>
        <v>0</v>
      </c>
      <c r="G21" s="124"/>
      <c r="H21" s="125">
        <f>Basistabelle!F21</f>
        <v>0</v>
      </c>
      <c r="I21" s="124"/>
      <c r="J21" s="6">
        <f t="shared" si="22"/>
        <v>13</v>
      </c>
      <c r="K21" s="84" t="str">
        <f t="shared" ca="1" si="1"/>
        <v/>
      </c>
      <c r="L21" s="125">
        <f>Basistabelle!D48</f>
        <v>0</v>
      </c>
      <c r="M21" s="124"/>
      <c r="N21" s="121">
        <f>Basistabelle!E49</f>
        <v>0</v>
      </c>
      <c r="O21" s="124"/>
      <c r="P21" s="125">
        <f>Basistabelle!F49</f>
        <v>0</v>
      </c>
      <c r="Q21" s="124"/>
      <c r="R21" s="6">
        <f t="shared" si="23"/>
        <v>13</v>
      </c>
      <c r="S21" s="84" t="str">
        <f t="shared" ca="1" si="2"/>
        <v/>
      </c>
      <c r="T21" s="125">
        <f>Basistabelle!D77</f>
        <v>0</v>
      </c>
      <c r="U21" s="124"/>
      <c r="V21" s="121">
        <f>Basistabelle!E77</f>
        <v>0</v>
      </c>
      <c r="W21" s="124"/>
      <c r="X21" s="125">
        <f>Basistabelle!F77</f>
        <v>0</v>
      </c>
      <c r="Y21" s="124"/>
      <c r="Z21" s="6">
        <f t="shared" si="16"/>
        <v>17</v>
      </c>
      <c r="AA21" s="84" t="str">
        <f t="shared" ca="1" si="3"/>
        <v/>
      </c>
      <c r="AB21" s="125">
        <f>Basistabelle!D112</f>
        <v>0</v>
      </c>
      <c r="AC21" s="124"/>
      <c r="AD21" s="121">
        <f>Basistabelle!E111</f>
        <v>0</v>
      </c>
      <c r="AE21" s="124"/>
      <c r="AF21" s="125">
        <f>Basistabelle!F112</f>
        <v>0</v>
      </c>
      <c r="AG21" s="124"/>
      <c r="AH21" s="6">
        <f t="shared" si="20"/>
        <v>15</v>
      </c>
      <c r="AI21" s="84" t="str">
        <f t="shared" ca="1" si="13"/>
        <v/>
      </c>
      <c r="AJ21" s="125">
        <f>Basistabelle!D140</f>
        <v>0</v>
      </c>
      <c r="AK21" s="124"/>
      <c r="AL21" s="121">
        <f>Basistabelle!E140</f>
        <v>0</v>
      </c>
      <c r="AM21" s="124"/>
      <c r="AN21" s="125">
        <f>Basistabelle!F140</f>
        <v>0</v>
      </c>
      <c r="AO21" s="124"/>
      <c r="AP21" s="6">
        <f t="shared" si="25"/>
        <v>12</v>
      </c>
      <c r="AQ21" s="84" t="str">
        <f t="shared" ca="1" si="5"/>
        <v/>
      </c>
      <c r="AR21" s="125">
        <f>Basistabelle!D168</f>
        <v>0</v>
      </c>
      <c r="AS21" s="124"/>
      <c r="AT21" s="121">
        <f>Basistabelle!E168</f>
        <v>0</v>
      </c>
      <c r="AU21" s="124"/>
      <c r="AV21" s="125">
        <f>Basistabelle!F168</f>
        <v>0</v>
      </c>
      <c r="AW21" s="124"/>
      <c r="AX21" s="6">
        <f t="shared" si="17"/>
        <v>17</v>
      </c>
      <c r="AY21" s="84" t="str">
        <f t="shared" ca="1" si="6"/>
        <v/>
      </c>
      <c r="AZ21" s="125">
        <f>Basistabelle!D202</f>
        <v>0</v>
      </c>
      <c r="BA21" s="124"/>
      <c r="BB21" s="121">
        <f>Basistabelle!E202</f>
        <v>0</v>
      </c>
      <c r="BC21" s="124"/>
      <c r="BD21" s="125">
        <f>Basistabelle!F202</f>
        <v>0</v>
      </c>
      <c r="BE21" s="124"/>
      <c r="BF21" s="21">
        <f t="shared" si="21"/>
        <v>14</v>
      </c>
      <c r="BG21" s="84" t="str">
        <f t="shared" ca="1" si="7"/>
        <v/>
      </c>
      <c r="BH21" s="125">
        <f>Basistabelle!D230</f>
        <v>0</v>
      </c>
      <c r="BI21" s="124"/>
      <c r="BJ21" s="121">
        <f>Basistabelle!E231</f>
        <v>0</v>
      </c>
      <c r="BK21" s="124"/>
      <c r="BL21" s="125">
        <f>Basistabelle!F231</f>
        <v>0</v>
      </c>
      <c r="BM21" s="124"/>
      <c r="BN21" s="6">
        <f t="shared" si="14"/>
        <v>18</v>
      </c>
      <c r="BO21" s="84" t="str">
        <f t="shared" ca="1" si="8"/>
        <v/>
      </c>
      <c r="BP21" s="125">
        <f>Basistabelle!D266</f>
        <v>0</v>
      </c>
      <c r="BQ21" s="124"/>
      <c r="BR21" s="121">
        <f>Basistabelle!E266</f>
        <v>0</v>
      </c>
      <c r="BS21" s="124"/>
      <c r="BT21" s="125">
        <f>Basistabelle!F266</f>
        <v>0</v>
      </c>
      <c r="BU21" s="124"/>
      <c r="BV21" s="6">
        <f t="shared" si="19"/>
        <v>16</v>
      </c>
      <c r="BW21" s="84" t="str">
        <f t="shared" ca="1" si="9"/>
        <v/>
      </c>
      <c r="BX21" s="125">
        <f>Basistabelle!D293</f>
        <v>0</v>
      </c>
      <c r="BY21" s="124"/>
      <c r="BZ21" s="121">
        <f>Basistabelle!E294</f>
        <v>0</v>
      </c>
      <c r="CA21" s="124"/>
      <c r="CB21" s="125">
        <f>Basistabelle!F294</f>
        <v>0</v>
      </c>
      <c r="CC21" s="124"/>
      <c r="CD21" s="6">
        <f t="shared" si="24"/>
        <v>13</v>
      </c>
      <c r="CE21" s="84" t="str">
        <f t="shared" ca="1" si="10"/>
        <v/>
      </c>
      <c r="CF21" s="125">
        <f>Basistabelle!D322</f>
        <v>0</v>
      </c>
      <c r="CG21" s="124"/>
      <c r="CH21" s="121">
        <f>Basistabelle!E322</f>
        <v>0</v>
      </c>
      <c r="CI21" s="124"/>
      <c r="CJ21" s="125">
        <f>Basistabelle!F322</f>
        <v>0</v>
      </c>
      <c r="CK21" s="124"/>
      <c r="CL21" s="6">
        <f t="shared" si="15"/>
        <v>18</v>
      </c>
      <c r="CM21" s="84" t="str">
        <f t="shared" ca="1" si="11"/>
        <v/>
      </c>
      <c r="CN21" s="125">
        <f>Basistabelle!D357</f>
        <v>0</v>
      </c>
      <c r="CO21" s="124"/>
      <c r="CP21" s="121">
        <f>Basistabelle!E357</f>
        <v>0</v>
      </c>
      <c r="CQ21" s="124"/>
      <c r="CR21" s="125">
        <f>Basistabelle!F357</f>
        <v>0</v>
      </c>
      <c r="CS21" s="139"/>
    </row>
    <row r="22" spans="1:97" s="2" customFormat="1" ht="12.75" customHeight="1" x14ac:dyDescent="0.2">
      <c r="A22" s="9" t="s">
        <v>4</v>
      </c>
      <c r="B22" s="10">
        <f t="shared" si="18"/>
        <v>17</v>
      </c>
      <c r="C22" s="84" t="str">
        <f t="shared" ca="1" si="12"/>
        <v/>
      </c>
      <c r="D22" s="126">
        <f>Basistabelle!D22</f>
        <v>0</v>
      </c>
      <c r="E22" s="126"/>
      <c r="F22" s="126">
        <f>Basistabelle!E22</f>
        <v>0</v>
      </c>
      <c r="G22" s="126"/>
      <c r="H22" s="126">
        <f>Basistabelle!F22</f>
        <v>0</v>
      </c>
      <c r="I22" s="126"/>
      <c r="J22" s="51">
        <f t="shared" si="22"/>
        <v>14</v>
      </c>
      <c r="K22" s="84" t="str">
        <f t="shared" ca="1" si="1"/>
        <v/>
      </c>
      <c r="L22" s="126">
        <f>Basistabelle!D49</f>
        <v>0</v>
      </c>
      <c r="M22" s="126"/>
      <c r="N22" s="126">
        <f>Basistabelle!E50</f>
        <v>0</v>
      </c>
      <c r="O22" s="126"/>
      <c r="P22" s="126">
        <f>Basistabelle!F50</f>
        <v>0</v>
      </c>
      <c r="Q22" s="126"/>
      <c r="R22" s="9">
        <f t="shared" si="23"/>
        <v>14</v>
      </c>
      <c r="S22" s="84" t="str">
        <f t="shared" ca="1" si="2"/>
        <v/>
      </c>
      <c r="T22" s="126">
        <f>Basistabelle!D78</f>
        <v>0</v>
      </c>
      <c r="U22" s="126"/>
      <c r="V22" s="126">
        <f>Basistabelle!E78</f>
        <v>0</v>
      </c>
      <c r="W22" s="126"/>
      <c r="X22" s="126">
        <f>Basistabelle!F78</f>
        <v>0</v>
      </c>
      <c r="Y22" s="126"/>
      <c r="Z22" s="9">
        <f t="shared" si="16"/>
        <v>18</v>
      </c>
      <c r="AA22" s="84" t="str">
        <f t="shared" ca="1" si="3"/>
        <v/>
      </c>
      <c r="AB22" s="126">
        <f>Basistabelle!D113</f>
        <v>0</v>
      </c>
      <c r="AC22" s="126"/>
      <c r="AD22" s="126">
        <f>Basistabelle!E112</f>
        <v>0</v>
      </c>
      <c r="AE22" s="126"/>
      <c r="AF22" s="126">
        <f>Basistabelle!F113</f>
        <v>0</v>
      </c>
      <c r="AG22" s="126"/>
      <c r="AH22" s="9">
        <f t="shared" si="20"/>
        <v>16</v>
      </c>
      <c r="AI22" s="84" t="str">
        <f t="shared" ca="1" si="13"/>
        <v/>
      </c>
      <c r="AJ22" s="126">
        <f>Basistabelle!D141</f>
        <v>0</v>
      </c>
      <c r="AK22" s="126"/>
      <c r="AL22" s="126">
        <f>Basistabelle!E141</f>
        <v>0</v>
      </c>
      <c r="AM22" s="126"/>
      <c r="AN22" s="126">
        <f>Basistabelle!F141</f>
        <v>0</v>
      </c>
      <c r="AO22" s="126"/>
      <c r="AP22" s="9">
        <f t="shared" si="25"/>
        <v>13</v>
      </c>
      <c r="AQ22" s="84" t="str">
        <f t="shared" ca="1" si="5"/>
        <v/>
      </c>
      <c r="AR22" s="126">
        <f>Basistabelle!D169</f>
        <v>0</v>
      </c>
      <c r="AS22" s="126"/>
      <c r="AT22" s="126">
        <f>Basistabelle!E169</f>
        <v>0</v>
      </c>
      <c r="AU22" s="126"/>
      <c r="AV22" s="126">
        <f>Basistabelle!F169</f>
        <v>0</v>
      </c>
      <c r="AW22" s="126"/>
      <c r="AX22" s="9">
        <f t="shared" si="17"/>
        <v>18</v>
      </c>
      <c r="AY22" s="84" t="str">
        <f t="shared" ca="1" si="6"/>
        <v/>
      </c>
      <c r="AZ22" s="126">
        <f>Basistabelle!D203</f>
        <v>0</v>
      </c>
      <c r="BA22" s="126"/>
      <c r="BB22" s="126">
        <f>Basistabelle!E203</f>
        <v>0</v>
      </c>
      <c r="BC22" s="126"/>
      <c r="BD22" s="126">
        <f>Basistabelle!F203</f>
        <v>0</v>
      </c>
      <c r="BE22" s="126"/>
      <c r="BF22" s="22">
        <f t="shared" si="21"/>
        <v>15</v>
      </c>
      <c r="BG22" s="84" t="str">
        <f t="shared" ca="1" si="7"/>
        <v/>
      </c>
      <c r="BH22" s="126">
        <f>Basistabelle!D231</f>
        <v>0</v>
      </c>
      <c r="BI22" s="126"/>
      <c r="BJ22" s="126">
        <f>Basistabelle!E232</f>
        <v>0</v>
      </c>
      <c r="BK22" s="126"/>
      <c r="BL22" s="126">
        <f>Basistabelle!F232</f>
        <v>0</v>
      </c>
      <c r="BM22" s="126"/>
      <c r="BN22" s="9">
        <f t="shared" si="14"/>
        <v>19</v>
      </c>
      <c r="BO22" s="84" t="str">
        <f t="shared" ca="1" si="8"/>
        <v/>
      </c>
      <c r="BP22" s="126">
        <f>Basistabelle!D267</f>
        <v>0</v>
      </c>
      <c r="BQ22" s="126"/>
      <c r="BR22" s="126">
        <f>Basistabelle!E267</f>
        <v>0</v>
      </c>
      <c r="BS22" s="126"/>
      <c r="BT22" s="126">
        <f>Basistabelle!F267</f>
        <v>0</v>
      </c>
      <c r="BU22" s="126"/>
      <c r="BV22" s="9">
        <f t="shared" si="19"/>
        <v>17</v>
      </c>
      <c r="BW22" s="84" t="str">
        <f t="shared" ca="1" si="9"/>
        <v/>
      </c>
      <c r="BX22" s="126">
        <f>Basistabelle!D294</f>
        <v>0</v>
      </c>
      <c r="BY22" s="126"/>
      <c r="BZ22" s="126">
        <f>Basistabelle!E295</f>
        <v>0</v>
      </c>
      <c r="CA22" s="126"/>
      <c r="CB22" s="126">
        <f>Basistabelle!F295</f>
        <v>0</v>
      </c>
      <c r="CC22" s="126"/>
      <c r="CD22" s="9">
        <f t="shared" si="24"/>
        <v>14</v>
      </c>
      <c r="CE22" s="84" t="str">
        <f t="shared" ca="1" si="10"/>
        <v/>
      </c>
      <c r="CF22" s="126">
        <f>Basistabelle!D323</f>
        <v>0</v>
      </c>
      <c r="CG22" s="126"/>
      <c r="CH22" s="126">
        <f>Basistabelle!E323</f>
        <v>0</v>
      </c>
      <c r="CI22" s="126"/>
      <c r="CJ22" s="126">
        <f>Basistabelle!F323</f>
        <v>0</v>
      </c>
      <c r="CK22" s="126"/>
      <c r="CL22" s="9">
        <f t="shared" si="15"/>
        <v>19</v>
      </c>
      <c r="CM22" s="84" t="str">
        <f t="shared" ca="1" si="11"/>
        <v/>
      </c>
      <c r="CN22" s="126">
        <f>Basistabelle!D358</f>
        <v>0</v>
      </c>
      <c r="CO22" s="126"/>
      <c r="CP22" s="126">
        <f>Basistabelle!E358</f>
        <v>0</v>
      </c>
      <c r="CQ22" s="126"/>
      <c r="CR22" s="126">
        <f>Basistabelle!F358</f>
        <v>0</v>
      </c>
      <c r="CS22" s="140"/>
    </row>
    <row r="23" spans="1:97" s="2" customFormat="1" ht="12.75" customHeight="1" x14ac:dyDescent="0.2">
      <c r="A23" s="9" t="s">
        <v>5</v>
      </c>
      <c r="B23" s="10">
        <f t="shared" si="18"/>
        <v>18</v>
      </c>
      <c r="C23" s="84" t="str">
        <f t="shared" ca="1" si="12"/>
        <v/>
      </c>
      <c r="D23" s="126">
        <f>Basistabelle!D23</f>
        <v>0</v>
      </c>
      <c r="E23" s="126"/>
      <c r="F23" s="126">
        <f>Basistabelle!E23</f>
        <v>0</v>
      </c>
      <c r="G23" s="126"/>
      <c r="H23" s="126">
        <f>Basistabelle!F23</f>
        <v>0</v>
      </c>
      <c r="I23" s="126"/>
      <c r="J23" s="51">
        <f t="shared" si="22"/>
        <v>15</v>
      </c>
      <c r="K23" s="84" t="str">
        <f t="shared" ca="1" si="1"/>
        <v/>
      </c>
      <c r="L23" s="126">
        <f>Basistabelle!D50</f>
        <v>0</v>
      </c>
      <c r="M23" s="126"/>
      <c r="N23" s="126">
        <f>Basistabelle!E51</f>
        <v>0</v>
      </c>
      <c r="O23" s="126"/>
      <c r="P23" s="126">
        <f>Basistabelle!F51</f>
        <v>0</v>
      </c>
      <c r="Q23" s="126"/>
      <c r="R23" s="9">
        <f t="shared" si="23"/>
        <v>15</v>
      </c>
      <c r="S23" s="84" t="str">
        <f t="shared" ca="1" si="2"/>
        <v/>
      </c>
      <c r="T23" s="126">
        <f>Basistabelle!D79</f>
        <v>0</v>
      </c>
      <c r="U23" s="126"/>
      <c r="V23" s="126">
        <f>Basistabelle!E79</f>
        <v>0</v>
      </c>
      <c r="W23" s="126"/>
      <c r="X23" s="126">
        <f>Basistabelle!F79</f>
        <v>0</v>
      </c>
      <c r="Y23" s="126"/>
      <c r="Z23" s="9">
        <f t="shared" si="16"/>
        <v>19</v>
      </c>
      <c r="AA23" s="84" t="str">
        <f t="shared" ca="1" si="3"/>
        <v/>
      </c>
      <c r="AB23" s="126">
        <f>Basistabelle!D114</f>
        <v>0</v>
      </c>
      <c r="AC23" s="126"/>
      <c r="AD23" s="126">
        <f>Basistabelle!E113</f>
        <v>0</v>
      </c>
      <c r="AE23" s="126"/>
      <c r="AF23" s="126">
        <f>Basistabelle!F114</f>
        <v>0</v>
      </c>
      <c r="AG23" s="126"/>
      <c r="AH23" s="9">
        <f t="shared" si="20"/>
        <v>17</v>
      </c>
      <c r="AI23" s="84" t="str">
        <f t="shared" ca="1" si="13"/>
        <v/>
      </c>
      <c r="AJ23" s="126">
        <f>Basistabelle!D142</f>
        <v>0</v>
      </c>
      <c r="AK23" s="126"/>
      <c r="AL23" s="126">
        <f>Basistabelle!E142</f>
        <v>0</v>
      </c>
      <c r="AM23" s="126"/>
      <c r="AN23" s="126">
        <f>Basistabelle!F142</f>
        <v>0</v>
      </c>
      <c r="AO23" s="126"/>
      <c r="AP23" s="9">
        <f t="shared" si="25"/>
        <v>14</v>
      </c>
      <c r="AQ23" s="84" t="str">
        <f t="shared" ca="1" si="5"/>
        <v/>
      </c>
      <c r="AR23" s="126">
        <f>Basistabelle!D170</f>
        <v>0</v>
      </c>
      <c r="AS23" s="126"/>
      <c r="AT23" s="126">
        <f>Basistabelle!E170</f>
        <v>0</v>
      </c>
      <c r="AU23" s="126"/>
      <c r="AV23" s="126">
        <f>Basistabelle!F170</f>
        <v>0</v>
      </c>
      <c r="AW23" s="126"/>
      <c r="AX23" s="9">
        <f t="shared" si="17"/>
        <v>19</v>
      </c>
      <c r="AY23" s="84" t="str">
        <f t="shared" ca="1" si="6"/>
        <v/>
      </c>
      <c r="AZ23" s="126">
        <f>Basistabelle!D204</f>
        <v>0</v>
      </c>
      <c r="BA23" s="126"/>
      <c r="BB23" s="126">
        <f>Basistabelle!E204</f>
        <v>0</v>
      </c>
      <c r="BC23" s="126"/>
      <c r="BD23" s="126">
        <f>Basistabelle!F204</f>
        <v>0</v>
      </c>
      <c r="BE23" s="126"/>
      <c r="BF23" s="9">
        <f t="shared" si="21"/>
        <v>16</v>
      </c>
      <c r="BG23" s="84" t="str">
        <f t="shared" ca="1" si="7"/>
        <v/>
      </c>
      <c r="BH23" s="126">
        <f>Basistabelle!D232</f>
        <v>0</v>
      </c>
      <c r="BI23" s="126"/>
      <c r="BJ23" s="126">
        <f>Basistabelle!E233</f>
        <v>0</v>
      </c>
      <c r="BK23" s="126"/>
      <c r="BL23" s="126">
        <f>Basistabelle!F233</f>
        <v>0</v>
      </c>
      <c r="BM23" s="126"/>
      <c r="BN23" s="9">
        <f t="shared" si="14"/>
        <v>20</v>
      </c>
      <c r="BO23" s="84" t="str">
        <f t="shared" ca="1" si="8"/>
        <v/>
      </c>
      <c r="BP23" s="126">
        <f>Basistabelle!D268</f>
        <v>0</v>
      </c>
      <c r="BQ23" s="126"/>
      <c r="BR23" s="126">
        <f>Basistabelle!E268</f>
        <v>0</v>
      </c>
      <c r="BS23" s="126"/>
      <c r="BT23" s="126">
        <f>Basistabelle!F268</f>
        <v>0</v>
      </c>
      <c r="BU23" s="126"/>
      <c r="BV23" s="9">
        <f t="shared" si="19"/>
        <v>18</v>
      </c>
      <c r="BW23" s="84" t="str">
        <f t="shared" ca="1" si="9"/>
        <v/>
      </c>
      <c r="BX23" s="126">
        <f>Basistabelle!D295</f>
        <v>0</v>
      </c>
      <c r="BY23" s="126"/>
      <c r="BZ23" s="126">
        <f>Basistabelle!E296</f>
        <v>0</v>
      </c>
      <c r="CA23" s="126"/>
      <c r="CB23" s="126">
        <f>Basistabelle!F296</f>
        <v>0</v>
      </c>
      <c r="CC23" s="126"/>
      <c r="CD23" s="9">
        <f t="shared" si="24"/>
        <v>15</v>
      </c>
      <c r="CE23" s="84" t="str">
        <f t="shared" ca="1" si="10"/>
        <v/>
      </c>
      <c r="CF23" s="126">
        <f>Basistabelle!D324</f>
        <v>0</v>
      </c>
      <c r="CG23" s="126"/>
      <c r="CH23" s="126">
        <f>Basistabelle!E324</f>
        <v>0</v>
      </c>
      <c r="CI23" s="126"/>
      <c r="CJ23" s="126">
        <f>Basistabelle!F324</f>
        <v>0</v>
      </c>
      <c r="CK23" s="126"/>
      <c r="CL23" s="9">
        <f t="shared" si="15"/>
        <v>20</v>
      </c>
      <c r="CM23" s="84" t="str">
        <f t="shared" ca="1" si="11"/>
        <v/>
      </c>
      <c r="CN23" s="126">
        <f>Basistabelle!D359</f>
        <v>0</v>
      </c>
      <c r="CO23" s="126"/>
      <c r="CP23" s="126">
        <f>Basistabelle!E359</f>
        <v>0</v>
      </c>
      <c r="CQ23" s="126"/>
      <c r="CR23" s="126">
        <f>Basistabelle!F359</f>
        <v>0</v>
      </c>
      <c r="CS23" s="140"/>
    </row>
    <row r="24" spans="1:97" s="2" customFormat="1" ht="15" customHeight="1" x14ac:dyDescent="0.2">
      <c r="A24" s="6" t="s">
        <v>25</v>
      </c>
      <c r="B24" s="8">
        <f t="shared" si="18"/>
        <v>19</v>
      </c>
      <c r="C24" s="84" t="str">
        <f t="shared" ca="1" si="12"/>
        <v/>
      </c>
      <c r="D24" s="169">
        <v>4</v>
      </c>
      <c r="E24" s="169"/>
      <c r="F24" s="169"/>
      <c r="G24" s="169"/>
      <c r="H24" s="169"/>
      <c r="I24" s="170"/>
      <c r="J24" s="6">
        <f t="shared" si="22"/>
        <v>16</v>
      </c>
      <c r="K24" s="84" t="str">
        <f t="shared" ca="1" si="1"/>
        <v/>
      </c>
      <c r="L24" s="125">
        <f>Basistabelle!D51</f>
        <v>0</v>
      </c>
      <c r="M24" s="124"/>
      <c r="N24" s="121">
        <f>Basistabelle!E52</f>
        <v>0</v>
      </c>
      <c r="O24" s="124"/>
      <c r="P24" s="125">
        <f>Basistabelle!F52</f>
        <v>0</v>
      </c>
      <c r="Q24" s="124"/>
      <c r="R24" s="18">
        <f t="shared" si="23"/>
        <v>16</v>
      </c>
      <c r="S24" s="84" t="str">
        <f t="shared" ca="1" si="2"/>
        <v/>
      </c>
      <c r="T24" s="167">
        <v>12</v>
      </c>
      <c r="U24" s="167"/>
      <c r="V24" s="167"/>
      <c r="W24" s="167"/>
      <c r="X24" s="167"/>
      <c r="Y24" s="168"/>
      <c r="Z24" s="18">
        <f t="shared" si="16"/>
        <v>20</v>
      </c>
      <c r="AA24" s="84" t="str">
        <f t="shared" ca="1" si="3"/>
        <v/>
      </c>
      <c r="AB24" s="125" t="e">
        <f>Basistabelle!#REF!</f>
        <v>#REF!</v>
      </c>
      <c r="AC24" s="171">
        <v>17</v>
      </c>
      <c r="AD24" s="171"/>
      <c r="AE24" s="171"/>
      <c r="AF24" s="171"/>
      <c r="AG24" s="172"/>
      <c r="AH24" s="18">
        <f t="shared" si="20"/>
        <v>18</v>
      </c>
      <c r="AI24" s="84" t="str">
        <f t="shared" ca="1" si="13"/>
        <v/>
      </c>
      <c r="AJ24" s="167">
        <v>21</v>
      </c>
      <c r="AK24" s="167"/>
      <c r="AL24" s="167"/>
      <c r="AM24" s="167"/>
      <c r="AN24" s="167"/>
      <c r="AO24" s="168"/>
      <c r="AP24" s="18">
        <f t="shared" si="25"/>
        <v>15</v>
      </c>
      <c r="AQ24" s="84" t="str">
        <f t="shared" ca="1" si="5"/>
        <v/>
      </c>
      <c r="AR24" s="167">
        <v>25</v>
      </c>
      <c r="AS24" s="167"/>
      <c r="AT24" s="167"/>
      <c r="AU24" s="167"/>
      <c r="AV24" s="167"/>
      <c r="AW24" s="168"/>
      <c r="AX24" s="18">
        <f t="shared" si="17"/>
        <v>20</v>
      </c>
      <c r="AY24" s="84" t="str">
        <f t="shared" ca="1" si="6"/>
        <v/>
      </c>
      <c r="AZ24" s="125">
        <f>Basistabelle!D205</f>
        <v>0</v>
      </c>
      <c r="BA24" s="124"/>
      <c r="BB24" s="121">
        <f>Basistabelle!E205</f>
        <v>0</v>
      </c>
      <c r="BC24" s="124"/>
      <c r="BD24" s="125">
        <f>Basistabelle!F205</f>
        <v>0</v>
      </c>
      <c r="BE24" s="137"/>
      <c r="BF24" s="21">
        <f t="shared" si="21"/>
        <v>17</v>
      </c>
      <c r="BG24" s="84" t="str">
        <f t="shared" ca="1" si="7"/>
        <v/>
      </c>
      <c r="BH24" s="167">
        <v>34</v>
      </c>
      <c r="BI24" s="167"/>
      <c r="BJ24" s="167"/>
      <c r="BK24" s="167"/>
      <c r="BL24" s="167"/>
      <c r="BM24" s="168"/>
      <c r="BN24" s="18">
        <f t="shared" si="14"/>
        <v>21</v>
      </c>
      <c r="BO24" s="84" t="str">
        <f t="shared" ca="1" si="8"/>
        <v/>
      </c>
      <c r="BP24" s="125">
        <f>Basistabelle!D269</f>
        <v>0</v>
      </c>
      <c r="BQ24" s="124"/>
      <c r="BR24" s="121" t="e">
        <f>Basistabelle!#REF!</f>
        <v>#REF!</v>
      </c>
      <c r="BS24" s="124"/>
      <c r="BT24" s="125">
        <f>Basistabelle!F269</f>
        <v>0</v>
      </c>
      <c r="BU24" s="137"/>
      <c r="BV24" s="18">
        <f t="shared" si="19"/>
        <v>19</v>
      </c>
      <c r="BW24" s="84" t="str">
        <f t="shared" ca="1" si="9"/>
        <v/>
      </c>
      <c r="BX24" s="167">
        <v>43</v>
      </c>
      <c r="BY24" s="167"/>
      <c r="BZ24" s="167"/>
      <c r="CA24" s="167"/>
      <c r="CB24" s="167"/>
      <c r="CC24" s="168"/>
      <c r="CD24" s="18">
        <f t="shared" si="24"/>
        <v>16</v>
      </c>
      <c r="CE24" s="84" t="str">
        <f t="shared" ca="1" si="10"/>
        <v/>
      </c>
      <c r="CF24" s="167">
        <v>47</v>
      </c>
      <c r="CG24" s="167"/>
      <c r="CH24" s="167"/>
      <c r="CI24" s="167"/>
      <c r="CJ24" s="167"/>
      <c r="CK24" s="168"/>
      <c r="CL24" s="18">
        <f t="shared" si="15"/>
        <v>21</v>
      </c>
      <c r="CM24" s="84" t="str">
        <f t="shared" ca="1" si="11"/>
        <v/>
      </c>
      <c r="CN24" s="125">
        <f>Basistabelle!D360</f>
        <v>0</v>
      </c>
      <c r="CO24" s="171">
        <v>52</v>
      </c>
      <c r="CP24" s="171"/>
      <c r="CQ24" s="171"/>
      <c r="CR24" s="171"/>
      <c r="CS24" s="172"/>
    </row>
    <row r="25" spans="1:97" s="2" customFormat="1" x14ac:dyDescent="0.2">
      <c r="A25" s="6" t="s">
        <v>6</v>
      </c>
      <c r="B25" s="8">
        <f t="shared" si="18"/>
        <v>20</v>
      </c>
      <c r="C25" s="84" t="str">
        <f t="shared" ca="1" si="12"/>
        <v/>
      </c>
      <c r="D25" s="125">
        <f>Basistabelle!D25</f>
        <v>0</v>
      </c>
      <c r="E25" s="124"/>
      <c r="F25" s="121">
        <f>Basistabelle!E25</f>
        <v>0</v>
      </c>
      <c r="G25" s="124"/>
      <c r="H25" s="125">
        <f>Basistabelle!F25</f>
        <v>0</v>
      </c>
      <c r="I25" s="124"/>
      <c r="J25" s="6">
        <f t="shared" si="22"/>
        <v>17</v>
      </c>
      <c r="K25" s="84" t="str">
        <f t="shared" ca="1" si="1"/>
        <v/>
      </c>
      <c r="L25" s="125">
        <f>Basistabelle!D52</f>
        <v>0</v>
      </c>
      <c r="M25" s="124"/>
      <c r="N25" s="121">
        <f>Basistabelle!E53</f>
        <v>0</v>
      </c>
      <c r="O25" s="124"/>
      <c r="P25" s="125">
        <f>Basistabelle!F53</f>
        <v>0</v>
      </c>
      <c r="Q25" s="124"/>
      <c r="R25" s="6">
        <f t="shared" si="23"/>
        <v>17</v>
      </c>
      <c r="S25" s="84" t="str">
        <f t="shared" ca="1" si="2"/>
        <v/>
      </c>
      <c r="T25" s="125">
        <f>Basistabelle!D81</f>
        <v>0</v>
      </c>
      <c r="U25" s="124"/>
      <c r="V25" s="121">
        <f>Basistabelle!E81</f>
        <v>0</v>
      </c>
      <c r="W25" s="124"/>
      <c r="X25" s="125">
        <f>Basistabelle!F81</f>
        <v>0</v>
      </c>
      <c r="Y25" s="124"/>
      <c r="Z25" s="6">
        <f t="shared" si="16"/>
        <v>21</v>
      </c>
      <c r="AA25" s="84" t="str">
        <f t="shared" ca="1" si="3"/>
        <v/>
      </c>
      <c r="AB25" s="125">
        <f>Basistabelle!D115</f>
        <v>0</v>
      </c>
      <c r="AC25" s="124"/>
      <c r="AD25" s="121">
        <f>Basistabelle!E115</f>
        <v>0</v>
      </c>
      <c r="AE25" s="124"/>
      <c r="AF25" s="125">
        <f>Basistabelle!F116</f>
        <v>0</v>
      </c>
      <c r="AG25" s="124"/>
      <c r="AH25" s="6">
        <f t="shared" si="20"/>
        <v>19</v>
      </c>
      <c r="AI25" s="84" t="str">
        <f t="shared" ca="1" si="13"/>
        <v/>
      </c>
      <c r="AJ25" s="125">
        <f>Basistabelle!D144</f>
        <v>0</v>
      </c>
      <c r="AK25" s="124"/>
      <c r="AL25" s="121">
        <f>Basistabelle!E144</f>
        <v>0</v>
      </c>
      <c r="AM25" s="124"/>
      <c r="AN25" s="125">
        <f>Basistabelle!F144</f>
        <v>0</v>
      </c>
      <c r="AO25" s="124"/>
      <c r="AP25" s="6">
        <f t="shared" si="25"/>
        <v>16</v>
      </c>
      <c r="AQ25" s="84" t="str">
        <f t="shared" ca="1" si="5"/>
        <v/>
      </c>
      <c r="AR25" s="125">
        <f>Basistabelle!D172</f>
        <v>0</v>
      </c>
      <c r="AS25" s="124"/>
      <c r="AT25" s="121">
        <f>Basistabelle!E172</f>
        <v>0</v>
      </c>
      <c r="AU25" s="124"/>
      <c r="AV25" s="125">
        <f>Basistabelle!F172</f>
        <v>0</v>
      </c>
      <c r="AW25" s="124"/>
      <c r="AX25" s="6">
        <f t="shared" si="17"/>
        <v>21</v>
      </c>
      <c r="AY25" s="84" t="str">
        <f t="shared" ca="1" si="6"/>
        <v/>
      </c>
      <c r="AZ25" s="125">
        <f>Basistabelle!D206</f>
        <v>0</v>
      </c>
      <c r="BA25" s="124"/>
      <c r="BB25" s="121">
        <f>Basistabelle!E206</f>
        <v>0</v>
      </c>
      <c r="BC25" s="124"/>
      <c r="BD25" s="125">
        <f>Basistabelle!F206</f>
        <v>0</v>
      </c>
      <c r="BE25" s="124"/>
      <c r="BF25" s="21">
        <f t="shared" si="21"/>
        <v>18</v>
      </c>
      <c r="BG25" s="84" t="str">
        <f t="shared" ca="1" si="7"/>
        <v/>
      </c>
      <c r="BH25" s="125">
        <f>Basistabelle!D234</f>
        <v>0</v>
      </c>
      <c r="BI25" s="124"/>
      <c r="BJ25" s="121">
        <f>Basistabelle!E235</f>
        <v>0</v>
      </c>
      <c r="BK25" s="124"/>
      <c r="BL25" s="125">
        <f>Basistabelle!F235</f>
        <v>0</v>
      </c>
      <c r="BM25" s="124"/>
      <c r="BN25" s="6">
        <f t="shared" si="14"/>
        <v>22</v>
      </c>
      <c r="BO25" s="84" t="str">
        <f t="shared" ca="1" si="8"/>
        <v/>
      </c>
      <c r="BP25" s="125">
        <f>Basistabelle!D270</f>
        <v>0</v>
      </c>
      <c r="BQ25" s="124"/>
      <c r="BR25" s="121">
        <f>Basistabelle!E269</f>
        <v>0</v>
      </c>
      <c r="BS25" s="124"/>
      <c r="BT25" s="125">
        <f>Basistabelle!F270</f>
        <v>0</v>
      </c>
      <c r="BU25" s="124"/>
      <c r="BV25" s="6">
        <f t="shared" si="19"/>
        <v>20</v>
      </c>
      <c r="BW25" s="84" t="str">
        <f t="shared" ca="1" si="9"/>
        <v/>
      </c>
      <c r="BX25" s="125">
        <f>Basistabelle!D297</f>
        <v>0</v>
      </c>
      <c r="BY25" s="124"/>
      <c r="BZ25" s="121">
        <f>Basistabelle!E298</f>
        <v>0</v>
      </c>
      <c r="CA25" s="124"/>
      <c r="CB25" s="125">
        <f>Basistabelle!F298</f>
        <v>0</v>
      </c>
      <c r="CC25" s="124"/>
      <c r="CD25" s="6">
        <f t="shared" si="24"/>
        <v>17</v>
      </c>
      <c r="CE25" s="84" t="str">
        <f t="shared" ca="1" si="10"/>
        <v/>
      </c>
      <c r="CF25" s="125">
        <f>Basistabelle!D326</f>
        <v>0</v>
      </c>
      <c r="CG25" s="124"/>
      <c r="CH25" s="121">
        <f>Basistabelle!E326</f>
        <v>0</v>
      </c>
      <c r="CI25" s="124"/>
      <c r="CJ25" s="125">
        <f>Basistabelle!F326</f>
        <v>0</v>
      </c>
      <c r="CK25" s="124"/>
      <c r="CL25" s="6">
        <f t="shared" si="15"/>
        <v>22</v>
      </c>
      <c r="CM25" s="84" t="str">
        <f t="shared" ca="1" si="11"/>
        <v/>
      </c>
      <c r="CN25" s="125">
        <f>Basistabelle!D361</f>
        <v>0</v>
      </c>
      <c r="CO25" s="124"/>
      <c r="CP25" s="121">
        <f>Basistabelle!E361</f>
        <v>0</v>
      </c>
      <c r="CQ25" s="124"/>
      <c r="CR25" s="125">
        <f>Basistabelle!F361</f>
        <v>0</v>
      </c>
      <c r="CS25" s="139"/>
    </row>
    <row r="26" spans="1:97" s="2" customFormat="1" x14ac:dyDescent="0.2">
      <c r="A26" s="6" t="s">
        <v>7</v>
      </c>
      <c r="B26" s="8">
        <f t="shared" si="18"/>
        <v>21</v>
      </c>
      <c r="C26" s="84" t="str">
        <f t="shared" ca="1" si="12"/>
        <v/>
      </c>
      <c r="D26" s="125">
        <f>Basistabelle!D26</f>
        <v>0</v>
      </c>
      <c r="E26" s="124"/>
      <c r="F26" s="121">
        <f>Basistabelle!E26</f>
        <v>0</v>
      </c>
      <c r="G26" s="124"/>
      <c r="H26" s="125">
        <f>Basistabelle!F26</f>
        <v>0</v>
      </c>
      <c r="I26" s="124"/>
      <c r="J26" s="6">
        <f t="shared" si="22"/>
        <v>18</v>
      </c>
      <c r="K26" s="84" t="str">
        <f t="shared" ca="1" si="1"/>
        <v/>
      </c>
      <c r="L26" s="125">
        <f>Basistabelle!D53</f>
        <v>0</v>
      </c>
      <c r="M26" s="124"/>
      <c r="N26" s="121">
        <f>Basistabelle!E54</f>
        <v>0</v>
      </c>
      <c r="O26" s="124"/>
      <c r="P26" s="125">
        <f>Basistabelle!F54</f>
        <v>0</v>
      </c>
      <c r="Q26" s="124"/>
      <c r="R26" s="6">
        <f t="shared" si="23"/>
        <v>18</v>
      </c>
      <c r="S26" s="84" t="str">
        <f t="shared" ca="1" si="2"/>
        <v/>
      </c>
      <c r="T26" s="125">
        <f>Basistabelle!D82</f>
        <v>0</v>
      </c>
      <c r="U26" s="124"/>
      <c r="V26" s="121">
        <f>Basistabelle!E82</f>
        <v>0</v>
      </c>
      <c r="W26" s="124"/>
      <c r="X26" s="125">
        <f>Basistabelle!F82</f>
        <v>0</v>
      </c>
      <c r="Y26" s="124"/>
      <c r="Z26" s="6">
        <f t="shared" si="16"/>
        <v>22</v>
      </c>
      <c r="AA26" s="84" t="str">
        <f t="shared" ca="1" si="3"/>
        <v/>
      </c>
      <c r="AB26" s="125">
        <f>Basistabelle!D116</f>
        <v>0</v>
      </c>
      <c r="AC26" s="124"/>
      <c r="AD26" s="121">
        <f>Basistabelle!E116</f>
        <v>0</v>
      </c>
      <c r="AE26" s="124"/>
      <c r="AF26" s="125">
        <f>Basistabelle!F117</f>
        <v>0</v>
      </c>
      <c r="AG26" s="124"/>
      <c r="AH26" s="6">
        <f t="shared" si="20"/>
        <v>20</v>
      </c>
      <c r="AI26" s="84" t="str">
        <f t="shared" ca="1" si="13"/>
        <v/>
      </c>
      <c r="AJ26" s="125">
        <f>Basistabelle!D145</f>
        <v>0</v>
      </c>
      <c r="AK26" s="124"/>
      <c r="AL26" s="121">
        <f>Basistabelle!E145</f>
        <v>0</v>
      </c>
      <c r="AM26" s="124"/>
      <c r="AN26" s="125">
        <f>Basistabelle!F145</f>
        <v>0</v>
      </c>
      <c r="AO26" s="124"/>
      <c r="AP26" s="6">
        <f t="shared" si="25"/>
        <v>17</v>
      </c>
      <c r="AQ26" s="84" t="str">
        <f t="shared" ca="1" si="5"/>
        <v/>
      </c>
      <c r="AR26" s="125">
        <f>Basistabelle!D173</f>
        <v>0</v>
      </c>
      <c r="AS26" s="124"/>
      <c r="AT26" s="121">
        <f>Basistabelle!E173</f>
        <v>0</v>
      </c>
      <c r="AU26" s="124"/>
      <c r="AV26" s="125">
        <f>Basistabelle!F173</f>
        <v>0</v>
      </c>
      <c r="AW26" s="124"/>
      <c r="AX26" s="6">
        <f t="shared" si="17"/>
        <v>22</v>
      </c>
      <c r="AY26" s="84" t="str">
        <f t="shared" ca="1" si="6"/>
        <v/>
      </c>
      <c r="AZ26" s="125">
        <f>Basistabelle!D207</f>
        <v>0</v>
      </c>
      <c r="BA26" s="124"/>
      <c r="BB26" s="121">
        <f>Basistabelle!E207</f>
        <v>0</v>
      </c>
      <c r="BC26" s="124"/>
      <c r="BD26" s="125">
        <f>Basistabelle!F207</f>
        <v>0</v>
      </c>
      <c r="BE26" s="124"/>
      <c r="BF26" s="21">
        <f t="shared" si="21"/>
        <v>19</v>
      </c>
      <c r="BG26" s="84" t="str">
        <f t="shared" ca="1" si="7"/>
        <v/>
      </c>
      <c r="BH26" s="125">
        <f>Basistabelle!D235</f>
        <v>0</v>
      </c>
      <c r="BI26" s="124"/>
      <c r="BJ26" s="121">
        <f>Basistabelle!E236</f>
        <v>0</v>
      </c>
      <c r="BK26" s="124"/>
      <c r="BL26" s="125">
        <f>Basistabelle!F236</f>
        <v>0</v>
      </c>
      <c r="BM26" s="124"/>
      <c r="BN26" s="6">
        <f t="shared" si="14"/>
        <v>23</v>
      </c>
      <c r="BO26" s="84" t="str">
        <f t="shared" ca="1" si="8"/>
        <v/>
      </c>
      <c r="BP26" s="125">
        <f>Basistabelle!D271</f>
        <v>0</v>
      </c>
      <c r="BQ26" s="124"/>
      <c r="BR26" s="121">
        <f>Basistabelle!E270</f>
        <v>0</v>
      </c>
      <c r="BS26" s="124"/>
      <c r="BT26" s="125">
        <f>Basistabelle!F271</f>
        <v>0</v>
      </c>
      <c r="BU26" s="124"/>
      <c r="BV26" s="6">
        <f t="shared" si="19"/>
        <v>21</v>
      </c>
      <c r="BW26" s="84" t="str">
        <f t="shared" ca="1" si="9"/>
        <v/>
      </c>
      <c r="BX26" s="125">
        <f>Basistabelle!D298</f>
        <v>0</v>
      </c>
      <c r="BY26" s="124"/>
      <c r="BZ26" s="121">
        <f>Basistabelle!E299</f>
        <v>0</v>
      </c>
      <c r="CA26" s="124"/>
      <c r="CB26" s="125">
        <f>Basistabelle!F299</f>
        <v>0</v>
      </c>
      <c r="CC26" s="124"/>
      <c r="CD26" s="6">
        <f t="shared" si="24"/>
        <v>18</v>
      </c>
      <c r="CE26" s="84" t="str">
        <f t="shared" ca="1" si="10"/>
        <v/>
      </c>
      <c r="CF26" s="125">
        <f>Basistabelle!D327</f>
        <v>0</v>
      </c>
      <c r="CG26" s="124"/>
      <c r="CH26" s="121">
        <f>Basistabelle!E327</f>
        <v>0</v>
      </c>
      <c r="CI26" s="124"/>
      <c r="CJ26" s="125">
        <f>Basistabelle!F327</f>
        <v>0</v>
      </c>
      <c r="CK26" s="124"/>
      <c r="CL26" s="6">
        <f t="shared" si="15"/>
        <v>23</v>
      </c>
      <c r="CM26" s="84" t="str">
        <f t="shared" ca="1" si="11"/>
        <v/>
      </c>
      <c r="CN26" s="125">
        <f>Basistabelle!D362</f>
        <v>0</v>
      </c>
      <c r="CO26" s="124"/>
      <c r="CP26" s="121">
        <f>Basistabelle!E362</f>
        <v>0</v>
      </c>
      <c r="CQ26" s="124"/>
      <c r="CR26" s="125">
        <f>Basistabelle!F362</f>
        <v>0</v>
      </c>
      <c r="CS26" s="139"/>
    </row>
    <row r="27" spans="1:97" s="2" customFormat="1" x14ac:dyDescent="0.2">
      <c r="A27" s="6" t="s">
        <v>8</v>
      </c>
      <c r="B27" s="8">
        <f t="shared" si="18"/>
        <v>22</v>
      </c>
      <c r="C27" s="84" t="str">
        <f t="shared" ca="1" si="12"/>
        <v/>
      </c>
      <c r="D27" s="125">
        <f>Basistabelle!D27</f>
        <v>0</v>
      </c>
      <c r="E27" s="124"/>
      <c r="F27" s="121">
        <f>Basistabelle!E27</f>
        <v>0</v>
      </c>
      <c r="G27" s="124"/>
      <c r="H27" s="125">
        <f>Basistabelle!F27</f>
        <v>0</v>
      </c>
      <c r="I27" s="124"/>
      <c r="J27" s="6">
        <f t="shared" si="22"/>
        <v>19</v>
      </c>
      <c r="K27" s="84" t="str">
        <f t="shared" ca="1" si="1"/>
        <v/>
      </c>
      <c r="L27" s="125">
        <f>Basistabelle!D54</f>
        <v>0</v>
      </c>
      <c r="M27" s="124"/>
      <c r="N27" s="121">
        <f>Basistabelle!E55</f>
        <v>0</v>
      </c>
      <c r="O27" s="124"/>
      <c r="P27" s="125">
        <f>Basistabelle!F55</f>
        <v>0</v>
      </c>
      <c r="Q27" s="124"/>
      <c r="R27" s="6">
        <f t="shared" si="23"/>
        <v>19</v>
      </c>
      <c r="S27" s="84" t="str">
        <f t="shared" ca="1" si="2"/>
        <v/>
      </c>
      <c r="T27" s="125">
        <f>Basistabelle!D83</f>
        <v>0</v>
      </c>
      <c r="U27" s="124"/>
      <c r="V27" s="121">
        <f>Basistabelle!E83</f>
        <v>0</v>
      </c>
      <c r="W27" s="124"/>
      <c r="X27" s="125">
        <f>Basistabelle!F83</f>
        <v>0</v>
      </c>
      <c r="Y27" s="124"/>
      <c r="Z27" s="6">
        <f t="shared" si="16"/>
        <v>23</v>
      </c>
      <c r="AA27" s="84" t="str">
        <f t="shared" ca="1" si="3"/>
        <v/>
      </c>
      <c r="AB27" s="125">
        <f>Basistabelle!D117</f>
        <v>0</v>
      </c>
      <c r="AC27" s="124"/>
      <c r="AD27" s="121">
        <f>Basistabelle!E118</f>
        <v>0</v>
      </c>
      <c r="AE27" s="124"/>
      <c r="AF27" s="125">
        <f>Basistabelle!F118</f>
        <v>0</v>
      </c>
      <c r="AG27" s="124"/>
      <c r="AH27" s="6">
        <f t="shared" si="20"/>
        <v>21</v>
      </c>
      <c r="AI27" s="84" t="str">
        <f t="shared" ca="1" si="13"/>
        <v/>
      </c>
      <c r="AJ27" s="125">
        <f>Basistabelle!D146</f>
        <v>0</v>
      </c>
      <c r="AK27" s="124"/>
      <c r="AL27" s="121">
        <f>Basistabelle!E146</f>
        <v>0</v>
      </c>
      <c r="AM27" s="124"/>
      <c r="AN27" s="125">
        <f>Basistabelle!F146</f>
        <v>0</v>
      </c>
      <c r="AO27" s="124"/>
      <c r="AP27" s="6">
        <f t="shared" si="25"/>
        <v>18</v>
      </c>
      <c r="AQ27" s="84" t="str">
        <f t="shared" ca="1" si="5"/>
        <v/>
      </c>
      <c r="AR27" s="125">
        <f>Basistabelle!D174</f>
        <v>0</v>
      </c>
      <c r="AS27" s="124"/>
      <c r="AT27" s="121">
        <f>Basistabelle!E174</f>
        <v>0</v>
      </c>
      <c r="AU27" s="124"/>
      <c r="AV27" s="125">
        <f>Basistabelle!F174</f>
        <v>0</v>
      </c>
      <c r="AW27" s="124"/>
      <c r="AX27" s="6">
        <f t="shared" si="17"/>
        <v>23</v>
      </c>
      <c r="AY27" s="84" t="str">
        <f t="shared" ca="1" si="6"/>
        <v/>
      </c>
      <c r="AZ27" s="125">
        <f>Basistabelle!D208</f>
        <v>0</v>
      </c>
      <c r="BA27" s="124"/>
      <c r="BB27" s="121">
        <f>Basistabelle!E208</f>
        <v>0</v>
      </c>
      <c r="BC27" s="124"/>
      <c r="BD27" s="125">
        <f>Basistabelle!F208</f>
        <v>0</v>
      </c>
      <c r="BE27" s="124"/>
      <c r="BF27" s="21">
        <f t="shared" si="21"/>
        <v>20</v>
      </c>
      <c r="BG27" s="84" t="str">
        <f t="shared" ca="1" si="7"/>
        <v/>
      </c>
      <c r="BH27" s="125">
        <f>Basistabelle!D237</f>
        <v>0</v>
      </c>
      <c r="BI27" s="124"/>
      <c r="BJ27" s="121">
        <f>Basistabelle!E237</f>
        <v>0</v>
      </c>
      <c r="BK27" s="124"/>
      <c r="BL27" s="125">
        <f>Basistabelle!F237</f>
        <v>0</v>
      </c>
      <c r="BM27" s="124"/>
      <c r="BN27" s="6">
        <f t="shared" si="14"/>
        <v>24</v>
      </c>
      <c r="BO27" s="84" t="str">
        <f t="shared" ca="1" si="8"/>
        <v/>
      </c>
      <c r="BP27" s="125">
        <f>Basistabelle!D272</f>
        <v>0</v>
      </c>
      <c r="BQ27" s="124"/>
      <c r="BR27" s="121">
        <f>Basistabelle!E271</f>
        <v>0</v>
      </c>
      <c r="BS27" s="124"/>
      <c r="BT27" s="125">
        <f>Basistabelle!F272</f>
        <v>0</v>
      </c>
      <c r="BU27" s="124"/>
      <c r="BV27" s="6">
        <f t="shared" si="19"/>
        <v>22</v>
      </c>
      <c r="BW27" s="84" t="str">
        <f t="shared" ca="1" si="9"/>
        <v/>
      </c>
      <c r="BX27" s="125">
        <f>Basistabelle!D300</f>
        <v>0</v>
      </c>
      <c r="BY27" s="124"/>
      <c r="BZ27" s="121">
        <f>Basistabelle!E300</f>
        <v>0</v>
      </c>
      <c r="CA27" s="124"/>
      <c r="CB27" s="125">
        <f>Basistabelle!F300</f>
        <v>0</v>
      </c>
      <c r="CC27" s="124"/>
      <c r="CD27" s="6">
        <f t="shared" si="24"/>
        <v>19</v>
      </c>
      <c r="CE27" s="84" t="str">
        <f t="shared" ca="1" si="10"/>
        <v/>
      </c>
      <c r="CF27" s="125">
        <f>Basistabelle!D328</f>
        <v>0</v>
      </c>
      <c r="CG27" s="124"/>
      <c r="CH27" s="121">
        <f>Basistabelle!E328</f>
        <v>0</v>
      </c>
      <c r="CI27" s="124"/>
      <c r="CJ27" s="125">
        <f>Basistabelle!F328</f>
        <v>0</v>
      </c>
      <c r="CK27" s="124"/>
      <c r="CL27" s="6">
        <f t="shared" si="15"/>
        <v>24</v>
      </c>
      <c r="CM27" s="84" t="str">
        <f t="shared" ca="1" si="11"/>
        <v/>
      </c>
      <c r="CN27" s="125">
        <f>Basistabelle!D363</f>
        <v>0</v>
      </c>
      <c r="CO27" s="124"/>
      <c r="CP27" s="121">
        <f>Basistabelle!E363</f>
        <v>0</v>
      </c>
      <c r="CQ27" s="124"/>
      <c r="CR27" s="125">
        <f>Basistabelle!F363</f>
        <v>0</v>
      </c>
      <c r="CS27" s="139"/>
    </row>
    <row r="28" spans="1:97" s="2" customFormat="1" x14ac:dyDescent="0.2">
      <c r="A28" s="6" t="s">
        <v>3</v>
      </c>
      <c r="B28" s="8">
        <f t="shared" si="18"/>
        <v>23</v>
      </c>
      <c r="C28" s="84" t="str">
        <f t="shared" ca="1" si="12"/>
        <v/>
      </c>
      <c r="D28" s="125">
        <f>Basistabelle!D28</f>
        <v>0</v>
      </c>
      <c r="E28" s="124"/>
      <c r="F28" s="121">
        <f>Basistabelle!E28</f>
        <v>0</v>
      </c>
      <c r="G28" s="124"/>
      <c r="H28" s="125">
        <f>Basistabelle!F28</f>
        <v>0</v>
      </c>
      <c r="I28" s="124"/>
      <c r="J28" s="6">
        <f t="shared" si="22"/>
        <v>20</v>
      </c>
      <c r="K28" s="84" t="str">
        <f t="shared" ca="1" si="1"/>
        <v/>
      </c>
      <c r="L28" s="125">
        <f>Basistabelle!D55</f>
        <v>0</v>
      </c>
      <c r="M28" s="124"/>
      <c r="N28" s="121">
        <f>Basistabelle!E56</f>
        <v>0</v>
      </c>
      <c r="O28" s="124"/>
      <c r="P28" s="125">
        <f>Basistabelle!F56</f>
        <v>0</v>
      </c>
      <c r="Q28" s="124"/>
      <c r="R28" s="6">
        <f t="shared" si="23"/>
        <v>20</v>
      </c>
      <c r="S28" s="84" t="str">
        <f t="shared" ca="1" si="2"/>
        <v/>
      </c>
      <c r="T28" s="125">
        <f>Basistabelle!D84</f>
        <v>0</v>
      </c>
      <c r="U28" s="124"/>
      <c r="V28" s="121">
        <f>Basistabelle!E84</f>
        <v>0</v>
      </c>
      <c r="W28" s="124"/>
      <c r="X28" s="125">
        <f>Basistabelle!F84</f>
        <v>0</v>
      </c>
      <c r="Y28" s="124"/>
      <c r="Z28" s="6">
        <f t="shared" si="16"/>
        <v>24</v>
      </c>
      <c r="AA28" s="84" t="str">
        <f t="shared" ca="1" si="3"/>
        <v/>
      </c>
      <c r="AB28" s="125">
        <f>Basistabelle!D118</f>
        <v>0</v>
      </c>
      <c r="AC28" s="124"/>
      <c r="AD28" s="121">
        <f>Basistabelle!E119</f>
        <v>0</v>
      </c>
      <c r="AE28" s="124"/>
      <c r="AF28" s="125">
        <f>Basistabelle!F119</f>
        <v>0</v>
      </c>
      <c r="AG28" s="124"/>
      <c r="AH28" s="6">
        <f t="shared" si="20"/>
        <v>22</v>
      </c>
      <c r="AI28" s="84" t="str">
        <f t="shared" ca="1" si="13"/>
        <v/>
      </c>
      <c r="AJ28" s="125">
        <f>Basistabelle!D147</f>
        <v>0</v>
      </c>
      <c r="AK28" s="124"/>
      <c r="AL28" s="121">
        <f>Basistabelle!E147</f>
        <v>0</v>
      </c>
      <c r="AM28" s="124"/>
      <c r="AN28" s="125">
        <f>Basistabelle!F147</f>
        <v>0</v>
      </c>
      <c r="AO28" s="124"/>
      <c r="AP28" s="6">
        <f t="shared" si="25"/>
        <v>19</v>
      </c>
      <c r="AQ28" s="84" t="str">
        <f t="shared" ca="1" si="5"/>
        <v/>
      </c>
      <c r="AR28" s="125">
        <f>Basistabelle!D175</f>
        <v>0</v>
      </c>
      <c r="AS28" s="124"/>
      <c r="AT28" s="121">
        <f>Basistabelle!E175</f>
        <v>0</v>
      </c>
      <c r="AU28" s="124"/>
      <c r="AV28" s="125">
        <f>Basistabelle!F175</f>
        <v>0</v>
      </c>
      <c r="AW28" s="124"/>
      <c r="AX28" s="6">
        <f t="shared" si="17"/>
        <v>24</v>
      </c>
      <c r="AY28" s="84" t="str">
        <f t="shared" ca="1" si="6"/>
        <v/>
      </c>
      <c r="AZ28" s="125">
        <f>Basistabelle!D209</f>
        <v>0</v>
      </c>
      <c r="BA28" s="124"/>
      <c r="BB28" s="121">
        <f>Basistabelle!E209</f>
        <v>0</v>
      </c>
      <c r="BC28" s="124"/>
      <c r="BD28" s="125">
        <f>Basistabelle!F209</f>
        <v>0</v>
      </c>
      <c r="BE28" s="124"/>
      <c r="BF28" s="21">
        <f t="shared" si="21"/>
        <v>21</v>
      </c>
      <c r="BG28" s="84" t="str">
        <f t="shared" ca="1" si="7"/>
        <v/>
      </c>
      <c r="BH28" s="125">
        <f>Basistabelle!D238</f>
        <v>0</v>
      </c>
      <c r="BI28" s="124"/>
      <c r="BJ28" s="121">
        <f>Basistabelle!E238</f>
        <v>0</v>
      </c>
      <c r="BK28" s="124"/>
      <c r="BL28" s="125">
        <f>Basistabelle!F238</f>
        <v>0</v>
      </c>
      <c r="BM28" s="124"/>
      <c r="BN28" s="6">
        <f t="shared" si="14"/>
        <v>25</v>
      </c>
      <c r="BO28" s="84" t="str">
        <f t="shared" ca="1" si="8"/>
        <v/>
      </c>
      <c r="BP28" s="125">
        <f>Basistabelle!D273</f>
        <v>0</v>
      </c>
      <c r="BQ28" s="124"/>
      <c r="BR28" s="121">
        <f>Basistabelle!E272</f>
        <v>0</v>
      </c>
      <c r="BS28" s="124"/>
      <c r="BT28" s="125">
        <f>Basistabelle!F273</f>
        <v>0</v>
      </c>
      <c r="BU28" s="124"/>
      <c r="BV28" s="6">
        <f t="shared" si="19"/>
        <v>23</v>
      </c>
      <c r="BW28" s="84" t="str">
        <f t="shared" ca="1" si="9"/>
        <v/>
      </c>
      <c r="BX28" s="125">
        <f>Basistabelle!D301</f>
        <v>0</v>
      </c>
      <c r="BY28" s="124"/>
      <c r="BZ28" s="121">
        <f>Basistabelle!E301</f>
        <v>0</v>
      </c>
      <c r="CA28" s="124"/>
      <c r="CB28" s="125">
        <f>Basistabelle!F301</f>
        <v>0</v>
      </c>
      <c r="CC28" s="124"/>
      <c r="CD28" s="6">
        <f t="shared" si="24"/>
        <v>20</v>
      </c>
      <c r="CE28" s="84" t="str">
        <f t="shared" ca="1" si="10"/>
        <v/>
      </c>
      <c r="CF28" s="125">
        <f>Basistabelle!D329</f>
        <v>0</v>
      </c>
      <c r="CG28" s="124"/>
      <c r="CH28" s="121">
        <f>Basistabelle!E329</f>
        <v>0</v>
      </c>
      <c r="CI28" s="124"/>
      <c r="CJ28" s="125">
        <f>Basistabelle!F329</f>
        <v>0</v>
      </c>
      <c r="CK28" s="124"/>
      <c r="CL28" s="6">
        <f t="shared" si="15"/>
        <v>25</v>
      </c>
      <c r="CM28" s="84" t="str">
        <f t="shared" ca="1" si="11"/>
        <v/>
      </c>
      <c r="CN28" s="125">
        <f>Basistabelle!D364</f>
        <v>0</v>
      </c>
      <c r="CO28" s="124"/>
      <c r="CP28" s="121">
        <f>Basistabelle!E364</f>
        <v>0</v>
      </c>
      <c r="CQ28" s="124"/>
      <c r="CR28" s="125">
        <f>Basistabelle!F364</f>
        <v>0</v>
      </c>
      <c r="CS28" s="139"/>
    </row>
    <row r="29" spans="1:97" s="2" customFormat="1" ht="12.75" customHeight="1" x14ac:dyDescent="0.2">
      <c r="A29" s="9" t="s">
        <v>4</v>
      </c>
      <c r="B29" s="10">
        <f t="shared" si="18"/>
        <v>24</v>
      </c>
      <c r="C29" s="84" t="str">
        <f t="shared" ca="1" si="12"/>
        <v/>
      </c>
      <c r="D29" s="126">
        <f>Basistabelle!D29</f>
        <v>0</v>
      </c>
      <c r="E29" s="126"/>
      <c r="F29" s="126">
        <f>Basistabelle!E29</f>
        <v>0</v>
      </c>
      <c r="G29" s="126"/>
      <c r="H29" s="126">
        <f>Basistabelle!F29</f>
        <v>0</v>
      </c>
      <c r="I29" s="126"/>
      <c r="J29" s="51">
        <f t="shared" si="22"/>
        <v>21</v>
      </c>
      <c r="K29" s="84" t="str">
        <f t="shared" ca="1" si="1"/>
        <v/>
      </c>
      <c r="L29" s="126">
        <f>Basistabelle!D56</f>
        <v>0</v>
      </c>
      <c r="M29" s="126"/>
      <c r="N29" s="126">
        <f>Basistabelle!E57</f>
        <v>0</v>
      </c>
      <c r="O29" s="126"/>
      <c r="P29" s="126">
        <f>Basistabelle!F57</f>
        <v>0</v>
      </c>
      <c r="Q29" s="126"/>
      <c r="R29" s="9">
        <f t="shared" si="23"/>
        <v>21</v>
      </c>
      <c r="S29" s="84" t="str">
        <f t="shared" ca="1" si="2"/>
        <v/>
      </c>
      <c r="T29" s="126">
        <f>Basistabelle!D85</f>
        <v>0</v>
      </c>
      <c r="U29" s="126"/>
      <c r="V29" s="126">
        <f>Basistabelle!E85</f>
        <v>0</v>
      </c>
      <c r="W29" s="126"/>
      <c r="X29" s="126">
        <f>Basistabelle!F85</f>
        <v>0</v>
      </c>
      <c r="Y29" s="126"/>
      <c r="Z29" s="9">
        <f t="shared" si="16"/>
        <v>25</v>
      </c>
      <c r="AA29" s="84" t="str">
        <f t="shared" ca="1" si="3"/>
        <v/>
      </c>
      <c r="AB29" s="126">
        <f>Basistabelle!D119</f>
        <v>0</v>
      </c>
      <c r="AC29" s="126"/>
      <c r="AD29" s="126">
        <f>Basistabelle!E120</f>
        <v>0</v>
      </c>
      <c r="AE29" s="126"/>
      <c r="AF29" s="126">
        <f>Basistabelle!F120</f>
        <v>0</v>
      </c>
      <c r="AG29" s="126"/>
      <c r="AH29" s="9">
        <f t="shared" si="20"/>
        <v>23</v>
      </c>
      <c r="AI29" s="84" t="str">
        <f t="shared" ca="1" si="13"/>
        <v/>
      </c>
      <c r="AJ29" s="126">
        <f>Basistabelle!D148</f>
        <v>0</v>
      </c>
      <c r="AK29" s="126"/>
      <c r="AL29" s="126">
        <f>Basistabelle!E148</f>
        <v>0</v>
      </c>
      <c r="AM29" s="126"/>
      <c r="AN29" s="126">
        <f>Basistabelle!F148</f>
        <v>0</v>
      </c>
      <c r="AO29" s="126"/>
      <c r="AP29" s="9">
        <f t="shared" si="25"/>
        <v>20</v>
      </c>
      <c r="AQ29" s="84" t="str">
        <f t="shared" ca="1" si="5"/>
        <v/>
      </c>
      <c r="AR29" s="126">
        <f>Basistabelle!D176</f>
        <v>0</v>
      </c>
      <c r="AS29" s="126"/>
      <c r="AT29" s="126">
        <f>Basistabelle!E176</f>
        <v>0</v>
      </c>
      <c r="AU29" s="126"/>
      <c r="AV29" s="126">
        <f>Basistabelle!F176</f>
        <v>0</v>
      </c>
      <c r="AW29" s="126"/>
      <c r="AX29" s="9">
        <f t="shared" si="17"/>
        <v>25</v>
      </c>
      <c r="AY29" s="84" t="str">
        <f t="shared" ca="1" si="6"/>
        <v/>
      </c>
      <c r="AZ29" s="126">
        <f>Basistabelle!D210</f>
        <v>0</v>
      </c>
      <c r="BA29" s="126"/>
      <c r="BB29" s="126">
        <f>Basistabelle!E210</f>
        <v>0</v>
      </c>
      <c r="BC29" s="126"/>
      <c r="BD29" s="126">
        <f>Basistabelle!F210</f>
        <v>0</v>
      </c>
      <c r="BE29" s="126"/>
      <c r="BF29" s="22">
        <f t="shared" si="21"/>
        <v>22</v>
      </c>
      <c r="BG29" s="84" t="str">
        <f t="shared" ca="1" si="7"/>
        <v/>
      </c>
      <c r="BH29" s="126">
        <f>Basistabelle!D239</f>
        <v>0</v>
      </c>
      <c r="BI29" s="126"/>
      <c r="BJ29" s="126">
        <f>Basistabelle!E239</f>
        <v>0</v>
      </c>
      <c r="BK29" s="126"/>
      <c r="BL29" s="126">
        <f>Basistabelle!F239</f>
        <v>0</v>
      </c>
      <c r="BM29" s="126"/>
      <c r="BN29" s="9">
        <f t="shared" si="14"/>
        <v>26</v>
      </c>
      <c r="BO29" s="84" t="str">
        <f t="shared" ca="1" si="8"/>
        <v/>
      </c>
      <c r="BP29" s="126">
        <f>Basistabelle!D274</f>
        <v>0</v>
      </c>
      <c r="BQ29" s="126"/>
      <c r="BR29" s="126">
        <f>Basistabelle!E273</f>
        <v>0</v>
      </c>
      <c r="BS29" s="126"/>
      <c r="BT29" s="126">
        <f>Basistabelle!F274</f>
        <v>0</v>
      </c>
      <c r="BU29" s="126"/>
      <c r="BV29" s="9">
        <f t="shared" si="19"/>
        <v>24</v>
      </c>
      <c r="BW29" s="84" t="str">
        <f t="shared" ca="1" si="9"/>
        <v/>
      </c>
      <c r="BX29" s="126">
        <f>Basistabelle!D302</f>
        <v>0</v>
      </c>
      <c r="BY29" s="126"/>
      <c r="BZ29" s="126">
        <f>Basistabelle!E302</f>
        <v>0</v>
      </c>
      <c r="CA29" s="126"/>
      <c r="CB29" s="126">
        <f>Basistabelle!F302</f>
        <v>0</v>
      </c>
      <c r="CC29" s="126"/>
      <c r="CD29" s="9">
        <f t="shared" si="24"/>
        <v>21</v>
      </c>
      <c r="CE29" s="84" t="str">
        <f t="shared" ca="1" si="10"/>
        <v/>
      </c>
      <c r="CF29" s="126">
        <f>Basistabelle!D330</f>
        <v>0</v>
      </c>
      <c r="CG29" s="126"/>
      <c r="CH29" s="126">
        <f>Basistabelle!E330</f>
        <v>0</v>
      </c>
      <c r="CI29" s="126"/>
      <c r="CJ29" s="126">
        <f>Basistabelle!F330</f>
        <v>0</v>
      </c>
      <c r="CK29" s="126"/>
      <c r="CL29" s="9">
        <f t="shared" si="15"/>
        <v>26</v>
      </c>
      <c r="CM29" s="84" t="str">
        <f t="shared" ca="1" si="11"/>
        <v/>
      </c>
      <c r="CN29" s="126">
        <f>Basistabelle!D365</f>
        <v>0</v>
      </c>
      <c r="CO29" s="126"/>
      <c r="CP29" s="126">
        <f>Basistabelle!E365</f>
        <v>0</v>
      </c>
      <c r="CQ29" s="126"/>
      <c r="CR29" s="126">
        <f>Basistabelle!F365</f>
        <v>0</v>
      </c>
      <c r="CS29" s="140"/>
    </row>
    <row r="30" spans="1:97" s="2" customFormat="1" x14ac:dyDescent="0.2">
      <c r="A30" s="9" t="s">
        <v>5</v>
      </c>
      <c r="B30" s="10">
        <f t="shared" si="18"/>
        <v>25</v>
      </c>
      <c r="C30" s="84" t="str">
        <f t="shared" ca="1" si="12"/>
        <v/>
      </c>
      <c r="D30" s="126">
        <f>Basistabelle!D30</f>
        <v>0</v>
      </c>
      <c r="E30" s="126"/>
      <c r="F30" s="126">
        <f>Basistabelle!E30</f>
        <v>0</v>
      </c>
      <c r="G30" s="126"/>
      <c r="H30" s="126">
        <f>Basistabelle!F30</f>
        <v>0</v>
      </c>
      <c r="I30" s="126"/>
      <c r="J30" s="51">
        <f t="shared" si="22"/>
        <v>22</v>
      </c>
      <c r="K30" s="84" t="str">
        <f t="shared" ca="1" si="1"/>
        <v/>
      </c>
      <c r="L30" s="126">
        <f>Basistabelle!D57</f>
        <v>0</v>
      </c>
      <c r="M30" s="126"/>
      <c r="N30" s="126">
        <f>Basistabelle!E58</f>
        <v>0</v>
      </c>
      <c r="O30" s="126"/>
      <c r="P30" s="126">
        <f>Basistabelle!F58</f>
        <v>0</v>
      </c>
      <c r="Q30" s="126"/>
      <c r="R30" s="9">
        <f t="shared" si="23"/>
        <v>22</v>
      </c>
      <c r="S30" s="84" t="str">
        <f t="shared" ca="1" si="2"/>
        <v/>
      </c>
      <c r="T30" s="126">
        <f>Basistabelle!D86</f>
        <v>0</v>
      </c>
      <c r="U30" s="126"/>
      <c r="V30" s="126">
        <f>Basistabelle!E86</f>
        <v>0</v>
      </c>
      <c r="W30" s="126"/>
      <c r="X30" s="126">
        <f>Basistabelle!F86</f>
        <v>0</v>
      </c>
      <c r="Y30" s="126"/>
      <c r="Z30" s="9">
        <f t="shared" si="16"/>
        <v>26</v>
      </c>
      <c r="AA30" s="84" t="str">
        <f t="shared" ca="1" si="3"/>
        <v/>
      </c>
      <c r="AB30" s="126">
        <f>Basistabelle!D120</f>
        <v>0</v>
      </c>
      <c r="AC30" s="126"/>
      <c r="AD30" s="126">
        <f>Basistabelle!E121</f>
        <v>0</v>
      </c>
      <c r="AE30" s="126"/>
      <c r="AF30" s="126">
        <f>Basistabelle!F121</f>
        <v>0</v>
      </c>
      <c r="AG30" s="126"/>
      <c r="AH30" s="9">
        <f t="shared" si="20"/>
        <v>24</v>
      </c>
      <c r="AI30" s="84" t="str">
        <f t="shared" ca="1" si="13"/>
        <v/>
      </c>
      <c r="AJ30" s="126">
        <f>Basistabelle!D149</f>
        <v>0</v>
      </c>
      <c r="AK30" s="126"/>
      <c r="AL30" s="126">
        <f>Basistabelle!E149</f>
        <v>0</v>
      </c>
      <c r="AM30" s="126"/>
      <c r="AN30" s="126">
        <f>Basistabelle!F149</f>
        <v>0</v>
      </c>
      <c r="AO30" s="126"/>
      <c r="AP30" s="9">
        <f t="shared" si="25"/>
        <v>21</v>
      </c>
      <c r="AQ30" s="84" t="str">
        <f t="shared" ca="1" si="5"/>
        <v/>
      </c>
      <c r="AR30" s="126">
        <f>Basistabelle!D177</f>
        <v>0</v>
      </c>
      <c r="AS30" s="126"/>
      <c r="AT30" s="126">
        <f>Basistabelle!E177</f>
        <v>0</v>
      </c>
      <c r="AU30" s="126"/>
      <c r="AV30" s="126">
        <f>Basistabelle!F177</f>
        <v>0</v>
      </c>
      <c r="AW30" s="126"/>
      <c r="AX30" s="9">
        <f t="shared" si="17"/>
        <v>26</v>
      </c>
      <c r="AY30" s="84" t="str">
        <f t="shared" ca="1" si="6"/>
        <v/>
      </c>
      <c r="AZ30" s="126">
        <f>Basistabelle!D211</f>
        <v>0</v>
      </c>
      <c r="BA30" s="126"/>
      <c r="BB30" s="126">
        <f>Basistabelle!E211</f>
        <v>0</v>
      </c>
      <c r="BC30" s="126"/>
      <c r="BD30" s="126">
        <f>Basistabelle!F211</f>
        <v>0</v>
      </c>
      <c r="BE30" s="126"/>
      <c r="BF30" s="9">
        <f t="shared" si="21"/>
        <v>23</v>
      </c>
      <c r="BG30" s="84" t="str">
        <f t="shared" ca="1" si="7"/>
        <v/>
      </c>
      <c r="BH30" s="126">
        <f>Basistabelle!D240</f>
        <v>0</v>
      </c>
      <c r="BI30" s="126"/>
      <c r="BJ30" s="126">
        <f>Basistabelle!E240</f>
        <v>0</v>
      </c>
      <c r="BK30" s="126"/>
      <c r="BL30" s="126">
        <f>Basistabelle!F240</f>
        <v>0</v>
      </c>
      <c r="BM30" s="126"/>
      <c r="BN30" s="9">
        <f t="shared" si="14"/>
        <v>27</v>
      </c>
      <c r="BO30" s="84" t="str">
        <f t="shared" ca="1" si="8"/>
        <v/>
      </c>
      <c r="BP30" s="126">
        <f>Basistabelle!D275</f>
        <v>0</v>
      </c>
      <c r="BQ30" s="126"/>
      <c r="BR30" s="126">
        <f>Basistabelle!E274</f>
        <v>0</v>
      </c>
      <c r="BS30" s="126"/>
      <c r="BT30" s="126">
        <f>Basistabelle!F275</f>
        <v>0</v>
      </c>
      <c r="BU30" s="126"/>
      <c r="BV30" s="9">
        <f t="shared" si="19"/>
        <v>25</v>
      </c>
      <c r="BW30" s="84" t="str">
        <f t="shared" ca="1" si="9"/>
        <v/>
      </c>
      <c r="BX30" s="126">
        <f>Basistabelle!D303</f>
        <v>0</v>
      </c>
      <c r="BY30" s="126"/>
      <c r="BZ30" s="126">
        <f>Basistabelle!E303</f>
        <v>0</v>
      </c>
      <c r="CA30" s="126"/>
      <c r="CB30" s="126">
        <f>Basistabelle!F303</f>
        <v>0</v>
      </c>
      <c r="CC30" s="126"/>
      <c r="CD30" s="9">
        <f t="shared" si="24"/>
        <v>22</v>
      </c>
      <c r="CE30" s="84" t="str">
        <f t="shared" ca="1" si="10"/>
        <v/>
      </c>
      <c r="CF30" s="126">
        <f>Basistabelle!D331</f>
        <v>0</v>
      </c>
      <c r="CG30" s="126"/>
      <c r="CH30" s="126">
        <f>Basistabelle!E331</f>
        <v>0</v>
      </c>
      <c r="CI30" s="126"/>
      <c r="CJ30" s="126">
        <f>Basistabelle!F331</f>
        <v>0</v>
      </c>
      <c r="CK30" s="126"/>
      <c r="CL30" s="9">
        <f t="shared" si="15"/>
        <v>27</v>
      </c>
      <c r="CM30" s="84" t="str">
        <f t="shared" ca="1" si="11"/>
        <v/>
      </c>
      <c r="CN30" s="126">
        <f>Basistabelle!D366</f>
        <v>0</v>
      </c>
      <c r="CO30" s="126"/>
      <c r="CP30" s="126">
        <f>Basistabelle!E366</f>
        <v>0</v>
      </c>
      <c r="CQ30" s="126"/>
      <c r="CR30" s="126">
        <f>Basistabelle!F366</f>
        <v>0</v>
      </c>
      <c r="CS30" s="140"/>
    </row>
    <row r="31" spans="1:97" s="2" customFormat="1" ht="15" customHeight="1" x14ac:dyDescent="0.2">
      <c r="A31" s="6" t="s">
        <v>25</v>
      </c>
      <c r="B31" s="8">
        <f t="shared" si="18"/>
        <v>26</v>
      </c>
      <c r="C31" s="84" t="str">
        <f t="shared" ca="1" si="12"/>
        <v/>
      </c>
      <c r="D31" s="169">
        <v>5</v>
      </c>
      <c r="E31" s="169"/>
      <c r="F31" s="169"/>
      <c r="G31" s="169"/>
      <c r="H31" s="169"/>
      <c r="I31" s="170"/>
      <c r="J31" s="18">
        <f t="shared" si="22"/>
        <v>23</v>
      </c>
      <c r="K31" s="84" t="str">
        <f t="shared" ca="1" si="1"/>
        <v/>
      </c>
      <c r="L31" s="169">
        <v>9</v>
      </c>
      <c r="M31" s="169"/>
      <c r="N31" s="169"/>
      <c r="O31" s="169"/>
      <c r="P31" s="169"/>
      <c r="Q31" s="170"/>
      <c r="R31" s="18">
        <f t="shared" si="23"/>
        <v>23</v>
      </c>
      <c r="S31" s="84" t="str">
        <f t="shared" ca="1" si="2"/>
        <v/>
      </c>
      <c r="T31" s="167">
        <v>13</v>
      </c>
      <c r="U31" s="167"/>
      <c r="V31" s="167"/>
      <c r="W31" s="167"/>
      <c r="X31" s="167"/>
      <c r="Y31" s="168"/>
      <c r="Z31" s="18">
        <f t="shared" si="16"/>
        <v>27</v>
      </c>
      <c r="AA31" s="84" t="str">
        <f t="shared" ca="1" si="3"/>
        <v/>
      </c>
      <c r="AB31" s="125">
        <f>Basistabelle!D121</f>
        <v>0</v>
      </c>
      <c r="AC31" s="171">
        <v>18</v>
      </c>
      <c r="AD31" s="171"/>
      <c r="AE31" s="171"/>
      <c r="AF31" s="171"/>
      <c r="AG31" s="172"/>
      <c r="AH31" s="18">
        <f t="shared" si="20"/>
        <v>25</v>
      </c>
      <c r="AI31" s="84" t="str">
        <f t="shared" ca="1" si="13"/>
        <v/>
      </c>
      <c r="AJ31" s="167">
        <v>22</v>
      </c>
      <c r="AK31" s="167"/>
      <c r="AL31" s="167"/>
      <c r="AM31" s="167"/>
      <c r="AN31" s="167"/>
      <c r="AO31" s="168"/>
      <c r="AP31" s="18">
        <f t="shared" si="25"/>
        <v>22</v>
      </c>
      <c r="AQ31" s="84" t="str">
        <f t="shared" ca="1" si="5"/>
        <v/>
      </c>
      <c r="AR31" s="167">
        <v>26</v>
      </c>
      <c r="AS31" s="167"/>
      <c r="AT31" s="167"/>
      <c r="AU31" s="167"/>
      <c r="AV31" s="167"/>
      <c r="AW31" s="168"/>
      <c r="AX31" s="18">
        <f t="shared" si="17"/>
        <v>27</v>
      </c>
      <c r="AY31" s="84" t="str">
        <f t="shared" ca="1" si="6"/>
        <v/>
      </c>
      <c r="AZ31" s="125">
        <f>Basistabelle!D212</f>
        <v>0</v>
      </c>
      <c r="BA31" s="124"/>
      <c r="BB31" s="121">
        <f>Basistabelle!E212</f>
        <v>0</v>
      </c>
      <c r="BC31" s="124"/>
      <c r="BD31" s="125">
        <f>Basistabelle!F212</f>
        <v>0</v>
      </c>
      <c r="BE31" s="137"/>
      <c r="BF31" s="21">
        <f t="shared" si="21"/>
        <v>24</v>
      </c>
      <c r="BG31" s="84" t="str">
        <f t="shared" ca="1" si="7"/>
        <v/>
      </c>
      <c r="BH31" s="167">
        <v>35</v>
      </c>
      <c r="BI31" s="167"/>
      <c r="BJ31" s="167"/>
      <c r="BK31" s="167"/>
      <c r="BL31" s="167"/>
      <c r="BM31" s="168"/>
      <c r="BN31" s="18">
        <f t="shared" si="14"/>
        <v>28</v>
      </c>
      <c r="BO31" s="84" t="str">
        <f t="shared" ca="1" si="8"/>
        <v/>
      </c>
      <c r="BP31" s="125">
        <f>Basistabelle!D276</f>
        <v>0</v>
      </c>
      <c r="BQ31" s="124"/>
      <c r="BR31" s="121">
        <f>Basistabelle!E275</f>
        <v>0</v>
      </c>
      <c r="BS31" s="124"/>
      <c r="BT31" s="125">
        <f>Basistabelle!F276</f>
        <v>0</v>
      </c>
      <c r="BU31" s="137"/>
      <c r="BV31" s="18">
        <f t="shared" si="19"/>
        <v>26</v>
      </c>
      <c r="BW31" s="84" t="str">
        <f t="shared" ca="1" si="9"/>
        <v/>
      </c>
      <c r="BX31" s="167">
        <v>44</v>
      </c>
      <c r="BY31" s="167"/>
      <c r="BZ31" s="167"/>
      <c r="CA31" s="167"/>
      <c r="CB31" s="167"/>
      <c r="CC31" s="168"/>
      <c r="CD31" s="18">
        <f t="shared" si="24"/>
        <v>23</v>
      </c>
      <c r="CE31" s="84" t="str">
        <f t="shared" ca="1" si="10"/>
        <v/>
      </c>
      <c r="CF31" s="167">
        <v>48</v>
      </c>
      <c r="CG31" s="167"/>
      <c r="CH31" s="167"/>
      <c r="CI31" s="167"/>
      <c r="CJ31" s="167"/>
      <c r="CK31" s="168"/>
      <c r="CL31" s="18">
        <f t="shared" si="15"/>
        <v>28</v>
      </c>
      <c r="CM31" s="84" t="str">
        <f t="shared" ca="1" si="11"/>
        <v/>
      </c>
      <c r="CN31" s="125">
        <f>Basistabelle!D367</f>
        <v>0</v>
      </c>
      <c r="CO31" s="124"/>
      <c r="CP31" s="121">
        <f>Basistabelle!E367</f>
        <v>0</v>
      </c>
      <c r="CQ31" s="124"/>
      <c r="CR31" s="125">
        <f>Basistabelle!F367</f>
        <v>0</v>
      </c>
      <c r="CS31" s="137"/>
    </row>
    <row r="32" spans="1:97" s="2" customFormat="1" x14ac:dyDescent="0.2">
      <c r="A32" s="6" t="s">
        <v>6</v>
      </c>
      <c r="B32" s="8">
        <f t="shared" si="18"/>
        <v>27</v>
      </c>
      <c r="C32" s="84" t="str">
        <f t="shared" ca="1" si="12"/>
        <v/>
      </c>
      <c r="D32" s="125">
        <f>Basistabelle!D32</f>
        <v>0</v>
      </c>
      <c r="E32" s="124"/>
      <c r="F32" s="121">
        <f>Basistabelle!E32</f>
        <v>0</v>
      </c>
      <c r="G32" s="124"/>
      <c r="H32" s="125">
        <f>Basistabelle!F32</f>
        <v>0</v>
      </c>
      <c r="I32" s="124"/>
      <c r="J32" s="6">
        <f t="shared" si="22"/>
        <v>24</v>
      </c>
      <c r="K32" s="84" t="str">
        <f t="shared" ca="1" si="1"/>
        <v/>
      </c>
      <c r="L32" s="125">
        <f>Basistabelle!D59</f>
        <v>0</v>
      </c>
      <c r="M32" s="124"/>
      <c r="N32" s="121">
        <f>Basistabelle!E60</f>
        <v>0</v>
      </c>
      <c r="O32" s="124"/>
      <c r="P32" s="125">
        <f>Basistabelle!F60</f>
        <v>0</v>
      </c>
      <c r="Q32" s="124"/>
      <c r="R32" s="6">
        <f t="shared" si="23"/>
        <v>24</v>
      </c>
      <c r="S32" s="84" t="str">
        <f t="shared" ca="1" si="2"/>
        <v/>
      </c>
      <c r="T32" s="125">
        <f>Basistabelle!D88</f>
        <v>0</v>
      </c>
      <c r="U32" s="124"/>
      <c r="V32" s="121">
        <f>Basistabelle!E88</f>
        <v>0</v>
      </c>
      <c r="W32" s="124"/>
      <c r="X32" s="125">
        <f>Basistabelle!F88</f>
        <v>0</v>
      </c>
      <c r="Y32" s="124"/>
      <c r="Z32" s="6">
        <f t="shared" si="16"/>
        <v>28</v>
      </c>
      <c r="AA32" s="84" t="str">
        <f t="shared" ca="1" si="3"/>
        <v/>
      </c>
      <c r="AB32" s="125">
        <f>Basistabelle!D122</f>
        <v>0</v>
      </c>
      <c r="AC32" s="124"/>
      <c r="AD32" s="121">
        <f>Basistabelle!E123</f>
        <v>0</v>
      </c>
      <c r="AE32" s="124"/>
      <c r="AF32" s="125">
        <f>Basistabelle!F123</f>
        <v>0</v>
      </c>
      <c r="AG32" s="124"/>
      <c r="AH32" s="6">
        <f t="shared" si="20"/>
        <v>26</v>
      </c>
      <c r="AI32" s="84" t="str">
        <f t="shared" ca="1" si="13"/>
        <v/>
      </c>
      <c r="AJ32" s="125">
        <f>Basistabelle!D151</f>
        <v>0</v>
      </c>
      <c r="AK32" s="124"/>
      <c r="AL32" s="121">
        <f>Basistabelle!E151</f>
        <v>0</v>
      </c>
      <c r="AM32" s="124"/>
      <c r="AN32" s="125">
        <f>Basistabelle!F151</f>
        <v>0</v>
      </c>
      <c r="AO32" s="124"/>
      <c r="AP32" s="6">
        <f t="shared" si="25"/>
        <v>23</v>
      </c>
      <c r="AQ32" s="84" t="str">
        <f t="shared" ca="1" si="5"/>
        <v/>
      </c>
      <c r="AR32" s="125">
        <f>Basistabelle!D179</f>
        <v>0</v>
      </c>
      <c r="AS32" s="124"/>
      <c r="AT32" s="121">
        <f>Basistabelle!E179</f>
        <v>0</v>
      </c>
      <c r="AU32" s="124"/>
      <c r="AV32" s="125">
        <f>Basistabelle!F179</f>
        <v>0</v>
      </c>
      <c r="AW32" s="124"/>
      <c r="AX32" s="6">
        <f t="shared" si="17"/>
        <v>28</v>
      </c>
      <c r="AY32" s="84" t="str">
        <f t="shared" ca="1" si="6"/>
        <v/>
      </c>
      <c r="AZ32" s="125">
        <f>Basistabelle!D213</f>
        <v>0</v>
      </c>
      <c r="BA32" s="124"/>
      <c r="BB32" s="121">
        <f>Basistabelle!E213</f>
        <v>0</v>
      </c>
      <c r="BC32" s="124"/>
      <c r="BD32" s="125">
        <f>Basistabelle!F213</f>
        <v>0</v>
      </c>
      <c r="BE32" s="124"/>
      <c r="BF32" s="21">
        <f t="shared" si="21"/>
        <v>25</v>
      </c>
      <c r="BG32" s="84" t="str">
        <f t="shared" ca="1" si="7"/>
        <v/>
      </c>
      <c r="BH32" s="125">
        <f>Basistabelle!D242</f>
        <v>0</v>
      </c>
      <c r="BI32" s="124"/>
      <c r="BJ32" s="121">
        <f>Basistabelle!E242</f>
        <v>0</v>
      </c>
      <c r="BK32" s="124"/>
      <c r="BL32" s="125">
        <f>Basistabelle!F242</f>
        <v>0</v>
      </c>
      <c r="BM32" s="124"/>
      <c r="BN32" s="6">
        <f t="shared" si="14"/>
        <v>29</v>
      </c>
      <c r="BO32" s="84" t="str">
        <f t="shared" ca="1" si="8"/>
        <v/>
      </c>
      <c r="BP32" s="125">
        <f>Basistabelle!D277</f>
        <v>0</v>
      </c>
      <c r="BQ32" s="124"/>
      <c r="BR32" s="121">
        <f>Basistabelle!E276</f>
        <v>0</v>
      </c>
      <c r="BS32" s="124"/>
      <c r="BT32" s="125">
        <f>Basistabelle!F277</f>
        <v>0</v>
      </c>
      <c r="BU32" s="124"/>
      <c r="BV32" s="6">
        <f t="shared" si="19"/>
        <v>27</v>
      </c>
      <c r="BW32" s="84" t="str">
        <f t="shared" ca="1" si="9"/>
        <v/>
      </c>
      <c r="BX32" s="125">
        <f>Basistabelle!D305</f>
        <v>0</v>
      </c>
      <c r="BY32" s="124"/>
      <c r="BZ32" s="121">
        <f>Basistabelle!E305</f>
        <v>0</v>
      </c>
      <c r="CA32" s="124"/>
      <c r="CB32" s="125">
        <f>Basistabelle!F305</f>
        <v>0</v>
      </c>
      <c r="CC32" s="124"/>
      <c r="CD32" s="6">
        <f t="shared" si="24"/>
        <v>24</v>
      </c>
      <c r="CE32" s="84" t="str">
        <f t="shared" ca="1" si="10"/>
        <v/>
      </c>
      <c r="CF32" s="125">
        <f>Basistabelle!D333</f>
        <v>0</v>
      </c>
      <c r="CG32" s="124"/>
      <c r="CH32" s="121">
        <f>Basistabelle!E333</f>
        <v>0</v>
      </c>
      <c r="CI32" s="124"/>
      <c r="CJ32" s="125">
        <f>Basistabelle!F333</f>
        <v>0</v>
      </c>
      <c r="CK32" s="124"/>
      <c r="CL32" s="6">
        <f t="shared" si="15"/>
        <v>29</v>
      </c>
      <c r="CM32" s="84" t="str">
        <f t="shared" ca="1" si="11"/>
        <v/>
      </c>
      <c r="CN32" s="125">
        <f>Basistabelle!D368</f>
        <v>0</v>
      </c>
      <c r="CO32" s="124"/>
      <c r="CP32" s="121">
        <f>Basistabelle!E368</f>
        <v>0</v>
      </c>
      <c r="CQ32" s="124"/>
      <c r="CR32" s="125">
        <f>Basistabelle!F368</f>
        <v>0</v>
      </c>
      <c r="CS32" s="139"/>
    </row>
    <row r="33" spans="1:97" s="2" customFormat="1" x14ac:dyDescent="0.2">
      <c r="A33" s="6" t="s">
        <v>7</v>
      </c>
      <c r="B33" s="8">
        <f t="shared" si="18"/>
        <v>28</v>
      </c>
      <c r="C33" s="84" t="str">
        <f t="shared" ca="1" si="12"/>
        <v/>
      </c>
      <c r="D33" s="125">
        <f>Basistabelle!D33</f>
        <v>0</v>
      </c>
      <c r="E33" s="124"/>
      <c r="F33" s="121">
        <f>Basistabelle!E33</f>
        <v>0</v>
      </c>
      <c r="G33" s="124"/>
      <c r="H33" s="125">
        <f>Basistabelle!F33</f>
        <v>0</v>
      </c>
      <c r="I33" s="124"/>
      <c r="J33" s="6">
        <f t="shared" si="22"/>
        <v>25</v>
      </c>
      <c r="K33" s="84" t="str">
        <f t="shared" ca="1" si="1"/>
        <v/>
      </c>
      <c r="L33" s="125">
        <f>Basistabelle!D60</f>
        <v>0</v>
      </c>
      <c r="M33" s="124"/>
      <c r="N33" s="121">
        <f>Basistabelle!E61</f>
        <v>0</v>
      </c>
      <c r="O33" s="124"/>
      <c r="P33" s="125">
        <f>Basistabelle!F61</f>
        <v>0</v>
      </c>
      <c r="Q33" s="124"/>
      <c r="R33" s="6">
        <f t="shared" si="23"/>
        <v>25</v>
      </c>
      <c r="S33" s="84" t="str">
        <f t="shared" ca="1" si="2"/>
        <v/>
      </c>
      <c r="T33" s="125">
        <f>Basistabelle!D89</f>
        <v>0</v>
      </c>
      <c r="U33" s="124"/>
      <c r="V33" s="121">
        <f>Basistabelle!E89</f>
        <v>0</v>
      </c>
      <c r="W33" s="124"/>
      <c r="X33" s="125">
        <f>Basistabelle!F89</f>
        <v>0</v>
      </c>
      <c r="Y33" s="124"/>
      <c r="Z33" s="6">
        <f t="shared" si="16"/>
        <v>29</v>
      </c>
      <c r="AA33" s="84" t="str">
        <f t="shared" ca="1" si="3"/>
        <v/>
      </c>
      <c r="AB33" s="125">
        <f>Basistabelle!D123</f>
        <v>0</v>
      </c>
      <c r="AC33" s="124"/>
      <c r="AD33" s="121">
        <f>Basistabelle!E124</f>
        <v>0</v>
      </c>
      <c r="AE33" s="124"/>
      <c r="AF33" s="125">
        <f>Basistabelle!F124</f>
        <v>0</v>
      </c>
      <c r="AG33" s="124"/>
      <c r="AH33" s="6">
        <f t="shared" si="20"/>
        <v>27</v>
      </c>
      <c r="AI33" s="84" t="str">
        <f t="shared" ca="1" si="13"/>
        <v/>
      </c>
      <c r="AJ33" s="125">
        <f>Basistabelle!D152</f>
        <v>0</v>
      </c>
      <c r="AK33" s="124"/>
      <c r="AL33" s="121">
        <f>Basistabelle!E152</f>
        <v>0</v>
      </c>
      <c r="AM33" s="124"/>
      <c r="AN33" s="125">
        <f>Basistabelle!F152</f>
        <v>0</v>
      </c>
      <c r="AO33" s="124"/>
      <c r="AP33" s="6">
        <f t="shared" si="25"/>
        <v>24</v>
      </c>
      <c r="AQ33" s="84" t="str">
        <f t="shared" ca="1" si="5"/>
        <v/>
      </c>
      <c r="AR33" s="125">
        <f>Basistabelle!D180</f>
        <v>0</v>
      </c>
      <c r="AS33" s="124"/>
      <c r="AT33" s="121">
        <f>Basistabelle!E180</f>
        <v>0</v>
      </c>
      <c r="AU33" s="124"/>
      <c r="AV33" s="125">
        <f>Basistabelle!F180</f>
        <v>0</v>
      </c>
      <c r="AW33" s="124"/>
      <c r="AX33" s="6">
        <f t="shared" si="17"/>
        <v>29</v>
      </c>
      <c r="AY33" s="84" t="str">
        <f t="shared" ca="1" si="6"/>
        <v/>
      </c>
      <c r="AZ33" s="125">
        <f>Basistabelle!D214</f>
        <v>0</v>
      </c>
      <c r="BA33" s="124"/>
      <c r="BB33" s="121">
        <f>Basistabelle!E214</f>
        <v>0</v>
      </c>
      <c r="BC33" s="124"/>
      <c r="BD33" s="125">
        <f>Basistabelle!F214</f>
        <v>0</v>
      </c>
      <c r="BE33" s="124"/>
      <c r="BF33" s="21">
        <f t="shared" si="21"/>
        <v>26</v>
      </c>
      <c r="BG33" s="84" t="str">
        <f t="shared" ca="1" si="7"/>
        <v/>
      </c>
      <c r="BH33" s="125">
        <f>Basistabelle!D243</f>
        <v>0</v>
      </c>
      <c r="BI33" s="124"/>
      <c r="BJ33" s="121">
        <f>Basistabelle!E243</f>
        <v>0</v>
      </c>
      <c r="BK33" s="124"/>
      <c r="BL33" s="125">
        <f>Basistabelle!F243</f>
        <v>0</v>
      </c>
      <c r="BM33" s="124"/>
      <c r="BN33" s="6">
        <f t="shared" si="14"/>
        <v>30</v>
      </c>
      <c r="BO33" s="84" t="str">
        <f t="shared" ca="1" si="8"/>
        <v/>
      </c>
      <c r="BP33" s="125">
        <f>Basistabelle!D278</f>
        <v>0</v>
      </c>
      <c r="BQ33" s="124"/>
      <c r="BR33" s="121">
        <f>Basistabelle!E277</f>
        <v>0</v>
      </c>
      <c r="BS33" s="124"/>
      <c r="BT33" s="125">
        <f>Basistabelle!F278</f>
        <v>0</v>
      </c>
      <c r="BU33" s="124"/>
      <c r="BV33" s="6">
        <f t="shared" si="19"/>
        <v>28</v>
      </c>
      <c r="BW33" s="84" t="str">
        <f t="shared" ca="1" si="9"/>
        <v/>
      </c>
      <c r="BX33" s="125">
        <f>Basistabelle!D306</f>
        <v>0</v>
      </c>
      <c r="BY33" s="124"/>
      <c r="BZ33" s="121">
        <f>Basistabelle!E306</f>
        <v>0</v>
      </c>
      <c r="CA33" s="124"/>
      <c r="CB33" s="125">
        <f>Basistabelle!F306</f>
        <v>0</v>
      </c>
      <c r="CC33" s="124"/>
      <c r="CD33" s="6">
        <f t="shared" si="24"/>
        <v>25</v>
      </c>
      <c r="CE33" s="84" t="str">
        <f t="shared" ca="1" si="10"/>
        <v/>
      </c>
      <c r="CF33" s="125">
        <f>Basistabelle!D334</f>
        <v>0</v>
      </c>
      <c r="CG33" s="124"/>
      <c r="CH33" s="121">
        <f>Basistabelle!E334</f>
        <v>0</v>
      </c>
      <c r="CI33" s="124"/>
      <c r="CJ33" s="125">
        <f>Basistabelle!F334</f>
        <v>0</v>
      </c>
      <c r="CK33" s="124"/>
      <c r="CL33" s="6">
        <f t="shared" si="15"/>
        <v>30</v>
      </c>
      <c r="CM33" s="84" t="str">
        <f t="shared" ca="1" si="11"/>
        <v/>
      </c>
      <c r="CN33" s="125">
        <f>Basistabelle!D369</f>
        <v>0</v>
      </c>
      <c r="CO33" s="124"/>
      <c r="CP33" s="121">
        <f>Basistabelle!E369</f>
        <v>0</v>
      </c>
      <c r="CQ33" s="124"/>
      <c r="CR33" s="125">
        <f>Basistabelle!F369</f>
        <v>0</v>
      </c>
      <c r="CS33" s="139"/>
    </row>
    <row r="34" spans="1:97" s="2" customFormat="1" x14ac:dyDescent="0.2">
      <c r="A34" s="6" t="s">
        <v>8</v>
      </c>
      <c r="B34" s="8">
        <f t="shared" si="18"/>
        <v>29</v>
      </c>
      <c r="C34" s="84" t="str">
        <f t="shared" ca="1" si="12"/>
        <v/>
      </c>
      <c r="D34" s="125">
        <f>Basistabelle!D34</f>
        <v>0</v>
      </c>
      <c r="E34" s="124"/>
      <c r="F34" s="121">
        <f>Basistabelle!E34</f>
        <v>0</v>
      </c>
      <c r="G34" s="124"/>
      <c r="H34" s="125">
        <f>Basistabelle!F34</f>
        <v>0</v>
      </c>
      <c r="I34" s="124"/>
      <c r="J34" s="6">
        <f t="shared" si="22"/>
        <v>26</v>
      </c>
      <c r="K34" s="84" t="str">
        <f t="shared" ca="1" si="1"/>
        <v/>
      </c>
      <c r="L34" s="125">
        <f>Basistabelle!D62</f>
        <v>0</v>
      </c>
      <c r="M34" s="124"/>
      <c r="N34" s="121">
        <f>Basistabelle!E62</f>
        <v>0</v>
      </c>
      <c r="O34" s="124"/>
      <c r="P34" s="125">
        <f>Basistabelle!F62</f>
        <v>0</v>
      </c>
      <c r="Q34" s="124"/>
      <c r="R34" s="6">
        <f t="shared" si="23"/>
        <v>26</v>
      </c>
      <c r="S34" s="84" t="str">
        <f t="shared" ca="1" si="2"/>
        <v/>
      </c>
      <c r="T34" s="125">
        <f>Basistabelle!D90</f>
        <v>0</v>
      </c>
      <c r="U34" s="124"/>
      <c r="V34" s="121">
        <f>Basistabelle!E90</f>
        <v>0</v>
      </c>
      <c r="W34" s="124"/>
      <c r="X34" s="125">
        <f>Basistabelle!F90</f>
        <v>0</v>
      </c>
      <c r="Y34" s="124"/>
      <c r="Z34" s="6">
        <f t="shared" si="16"/>
        <v>30</v>
      </c>
      <c r="AA34" s="84" t="str">
        <f t="shared" ca="1" si="3"/>
        <v/>
      </c>
      <c r="AB34" s="125">
        <f>Basistabelle!D124</f>
        <v>0</v>
      </c>
      <c r="AC34" s="124"/>
      <c r="AD34" s="121">
        <f>Basistabelle!E125</f>
        <v>0</v>
      </c>
      <c r="AE34" s="124"/>
      <c r="AF34" s="125">
        <f>Basistabelle!F125</f>
        <v>0</v>
      </c>
      <c r="AG34" s="124"/>
      <c r="AH34" s="6">
        <f t="shared" si="20"/>
        <v>28</v>
      </c>
      <c r="AI34" s="84" t="str">
        <f t="shared" ca="1" si="13"/>
        <v/>
      </c>
      <c r="AJ34" s="125">
        <f>Basistabelle!D153</f>
        <v>0</v>
      </c>
      <c r="AK34" s="124"/>
      <c r="AL34" s="121">
        <f>Basistabelle!E153</f>
        <v>0</v>
      </c>
      <c r="AM34" s="124"/>
      <c r="AN34" s="125">
        <f>Basistabelle!F153</f>
        <v>0</v>
      </c>
      <c r="AO34" s="124"/>
      <c r="AP34" s="6">
        <f t="shared" si="25"/>
        <v>25</v>
      </c>
      <c r="AQ34" s="84" t="str">
        <f t="shared" ca="1" si="5"/>
        <v/>
      </c>
      <c r="AR34" s="125">
        <f>Basistabelle!D181</f>
        <v>0</v>
      </c>
      <c r="AS34" s="124"/>
      <c r="AT34" s="121">
        <f>Basistabelle!E181</f>
        <v>0</v>
      </c>
      <c r="AU34" s="124"/>
      <c r="AV34" s="125">
        <f>Basistabelle!F181</f>
        <v>0</v>
      </c>
      <c r="AW34" s="124"/>
      <c r="AX34" s="6">
        <f t="shared" si="17"/>
        <v>30</v>
      </c>
      <c r="AY34" s="84" t="str">
        <f t="shared" ca="1" si="6"/>
        <v/>
      </c>
      <c r="AZ34" s="125">
        <f>Basistabelle!D215</f>
        <v>0</v>
      </c>
      <c r="BA34" s="124"/>
      <c r="BB34" s="121">
        <f>Basistabelle!E215</f>
        <v>0</v>
      </c>
      <c r="BC34" s="124"/>
      <c r="BD34" s="125">
        <f>Basistabelle!F215</f>
        <v>0</v>
      </c>
      <c r="BE34" s="124"/>
      <c r="BF34" s="21">
        <f t="shared" si="21"/>
        <v>27</v>
      </c>
      <c r="BG34" s="84" t="str">
        <f t="shared" ca="1" si="7"/>
        <v/>
      </c>
      <c r="BH34" s="125">
        <f>Basistabelle!D244</f>
        <v>0</v>
      </c>
      <c r="BI34" s="124"/>
      <c r="BJ34" s="121">
        <f>Basistabelle!E244</f>
        <v>0</v>
      </c>
      <c r="BK34" s="124"/>
      <c r="BL34" s="125">
        <f>Basistabelle!F244</f>
        <v>0</v>
      </c>
      <c r="BM34" s="124"/>
      <c r="BN34" s="6"/>
      <c r="BO34" s="84" t="str">
        <f t="shared" ca="1" si="8"/>
        <v/>
      </c>
      <c r="BP34" s="125"/>
      <c r="BQ34" s="124"/>
      <c r="BR34" s="121"/>
      <c r="BS34" s="124"/>
      <c r="BT34" s="125"/>
      <c r="BU34" s="124"/>
      <c r="BV34" s="6">
        <f t="shared" si="19"/>
        <v>29</v>
      </c>
      <c r="BW34" s="84" t="str">
        <f t="shared" ca="1" si="9"/>
        <v/>
      </c>
      <c r="BX34" s="125">
        <f>Basistabelle!D307</f>
        <v>0</v>
      </c>
      <c r="BY34" s="124"/>
      <c r="BZ34" s="121">
        <f>Basistabelle!E307</f>
        <v>0</v>
      </c>
      <c r="CA34" s="124"/>
      <c r="CB34" s="125">
        <f>Basistabelle!F307</f>
        <v>0</v>
      </c>
      <c r="CC34" s="124"/>
      <c r="CD34" s="6">
        <f t="shared" si="24"/>
        <v>26</v>
      </c>
      <c r="CE34" s="84" t="str">
        <f t="shared" ca="1" si="10"/>
        <v/>
      </c>
      <c r="CF34" s="125">
        <f>Basistabelle!D335</f>
        <v>0</v>
      </c>
      <c r="CG34" s="124"/>
      <c r="CH34" s="121">
        <f>Basistabelle!E335</f>
        <v>0</v>
      </c>
      <c r="CI34" s="124"/>
      <c r="CJ34" s="125">
        <f>Basistabelle!F335</f>
        <v>0</v>
      </c>
      <c r="CK34" s="124"/>
      <c r="CL34" s="6">
        <f t="shared" si="15"/>
        <v>31</v>
      </c>
      <c r="CM34" s="84" t="str">
        <f t="shared" ca="1" si="11"/>
        <v/>
      </c>
      <c r="CN34" s="125">
        <f>Basistabelle!D370</f>
        <v>0</v>
      </c>
      <c r="CO34" s="124"/>
      <c r="CP34" s="121">
        <f>Basistabelle!E370</f>
        <v>0</v>
      </c>
      <c r="CQ34" s="124"/>
      <c r="CR34" s="125">
        <f>Basistabelle!F370</f>
        <v>0</v>
      </c>
      <c r="CS34" s="139"/>
    </row>
    <row r="35" spans="1:97" s="2" customFormat="1" x14ac:dyDescent="0.2">
      <c r="A35" s="6" t="s">
        <v>3</v>
      </c>
      <c r="B35" s="8">
        <f t="shared" si="18"/>
        <v>30</v>
      </c>
      <c r="C35" s="84" t="str">
        <f t="shared" ca="1" si="12"/>
        <v/>
      </c>
      <c r="D35" s="125">
        <f>Basistabelle!D35</f>
        <v>0</v>
      </c>
      <c r="E35" s="124"/>
      <c r="F35" s="121">
        <f>Basistabelle!E35</f>
        <v>0</v>
      </c>
      <c r="G35" s="124"/>
      <c r="H35" s="125">
        <f>Basistabelle!F35</f>
        <v>0</v>
      </c>
      <c r="I35" s="124"/>
      <c r="J35" s="6">
        <f t="shared" si="22"/>
        <v>27</v>
      </c>
      <c r="K35" s="84" t="str">
        <f t="shared" ca="1" si="1"/>
        <v/>
      </c>
      <c r="L35" s="125">
        <f>Basistabelle!D63</f>
        <v>0</v>
      </c>
      <c r="M35" s="124"/>
      <c r="N35" s="121">
        <f>Basistabelle!E63</f>
        <v>0</v>
      </c>
      <c r="O35" s="124"/>
      <c r="P35" s="125">
        <f>Basistabelle!F63</f>
        <v>0</v>
      </c>
      <c r="Q35" s="124"/>
      <c r="R35" s="6">
        <f t="shared" si="23"/>
        <v>27</v>
      </c>
      <c r="S35" s="84" t="str">
        <f t="shared" ca="1" si="2"/>
        <v/>
      </c>
      <c r="T35" s="125">
        <f>Basistabelle!D91</f>
        <v>0</v>
      </c>
      <c r="U35" s="124"/>
      <c r="V35" s="121">
        <f>Basistabelle!E91</f>
        <v>0</v>
      </c>
      <c r="W35" s="124"/>
      <c r="X35" s="125">
        <f>Basistabelle!F91</f>
        <v>0</v>
      </c>
      <c r="Y35" s="124"/>
      <c r="Z35" s="6"/>
      <c r="AA35" s="84" t="str">
        <f t="shared" ca="1" si="3"/>
        <v/>
      </c>
      <c r="AB35" s="125"/>
      <c r="AC35" s="124"/>
      <c r="AD35" s="121"/>
      <c r="AE35" s="124"/>
      <c r="AF35" s="125">
        <f>Basistabelle!R91</f>
        <v>0</v>
      </c>
      <c r="AG35" s="124"/>
      <c r="AH35" s="6">
        <f t="shared" si="20"/>
        <v>29</v>
      </c>
      <c r="AI35" s="84" t="str">
        <f t="shared" ca="1" si="13"/>
        <v/>
      </c>
      <c r="AJ35" s="125">
        <f>Basistabelle!D154</f>
        <v>0</v>
      </c>
      <c r="AK35" s="124"/>
      <c r="AL35" s="121">
        <f>Basistabelle!E154</f>
        <v>0</v>
      </c>
      <c r="AM35" s="124"/>
      <c r="AN35" s="125">
        <f>Basistabelle!F154</f>
        <v>0</v>
      </c>
      <c r="AO35" s="124"/>
      <c r="AP35" s="6">
        <f t="shared" si="25"/>
        <v>26</v>
      </c>
      <c r="AQ35" s="84" t="str">
        <f t="shared" ca="1" si="5"/>
        <v/>
      </c>
      <c r="AR35" s="125">
        <f>Basistabelle!D182</f>
        <v>0</v>
      </c>
      <c r="AS35" s="124"/>
      <c r="AT35" s="121">
        <f>Basistabelle!E182</f>
        <v>0</v>
      </c>
      <c r="AU35" s="124"/>
      <c r="AV35" s="125">
        <f>Basistabelle!F182</f>
        <v>0</v>
      </c>
      <c r="AW35" s="124"/>
      <c r="AX35" s="6">
        <f t="shared" si="17"/>
        <v>31</v>
      </c>
      <c r="AY35" s="84" t="str">
        <f t="shared" ca="1" si="6"/>
        <v/>
      </c>
      <c r="AZ35" s="125">
        <f>Basistabelle!D216</f>
        <v>0</v>
      </c>
      <c r="BA35" s="124"/>
      <c r="BB35" s="121">
        <f>Basistabelle!E216</f>
        <v>0</v>
      </c>
      <c r="BC35" s="124"/>
      <c r="BD35" s="125">
        <f>Basistabelle!F216</f>
        <v>0</v>
      </c>
      <c r="BE35" s="124"/>
      <c r="BF35" s="21">
        <f t="shared" si="21"/>
        <v>28</v>
      </c>
      <c r="BG35" s="84" t="str">
        <f t="shared" ca="1" si="7"/>
        <v/>
      </c>
      <c r="BH35" s="125">
        <f>Basistabelle!D245</f>
        <v>0</v>
      </c>
      <c r="BI35" s="124"/>
      <c r="BJ35" s="121">
        <f>Basistabelle!E245</f>
        <v>0</v>
      </c>
      <c r="BK35" s="124"/>
      <c r="BL35" s="125">
        <f>Basistabelle!F245</f>
        <v>0</v>
      </c>
      <c r="BM35" s="124"/>
      <c r="BN35" s="6"/>
      <c r="BO35" s="84" t="str">
        <f t="shared" ca="1" si="8"/>
        <v/>
      </c>
      <c r="BP35" s="125"/>
      <c r="BQ35" s="124"/>
      <c r="BR35" s="121"/>
      <c r="BS35" s="124"/>
      <c r="BT35" s="125"/>
      <c r="BU35" s="124"/>
      <c r="BV35" s="6">
        <f t="shared" si="19"/>
        <v>30</v>
      </c>
      <c r="BW35" s="84" t="str">
        <f t="shared" ca="1" si="9"/>
        <v/>
      </c>
      <c r="BX35" s="125">
        <f>Basistabelle!D308</f>
        <v>0</v>
      </c>
      <c r="BY35" s="124"/>
      <c r="BZ35" s="121">
        <f>Basistabelle!E308</f>
        <v>0</v>
      </c>
      <c r="CA35" s="124"/>
      <c r="CB35" s="125">
        <f>Basistabelle!F308</f>
        <v>0</v>
      </c>
      <c r="CC35" s="124"/>
      <c r="CD35" s="6">
        <f t="shared" si="24"/>
        <v>27</v>
      </c>
      <c r="CE35" s="84" t="str">
        <f t="shared" ca="1" si="10"/>
        <v/>
      </c>
      <c r="CF35" s="125">
        <f>Basistabelle!D336</f>
        <v>0</v>
      </c>
      <c r="CG35" s="124"/>
      <c r="CH35" s="121">
        <f>Basistabelle!E336</f>
        <v>0</v>
      </c>
      <c r="CI35" s="124"/>
      <c r="CJ35" s="125">
        <f>Basistabelle!F336</f>
        <v>0</v>
      </c>
      <c r="CK35" s="124"/>
      <c r="CL35" s="6"/>
      <c r="CM35" s="84" t="str">
        <f t="shared" ca="1" si="11"/>
        <v/>
      </c>
      <c r="CN35" s="125">
        <f>Basistabelle!P336</f>
        <v>0</v>
      </c>
      <c r="CO35" s="124"/>
      <c r="CP35" s="121">
        <f>Basistabelle!Q336</f>
        <v>0</v>
      </c>
      <c r="CQ35" s="124"/>
      <c r="CR35" s="125">
        <f>Basistabelle!R336</f>
        <v>0</v>
      </c>
      <c r="CS35" s="139"/>
    </row>
    <row r="36" spans="1:97" s="2" customFormat="1" ht="12.75" customHeight="1" x14ac:dyDescent="0.2">
      <c r="A36" s="9" t="s">
        <v>4</v>
      </c>
      <c r="B36" s="10">
        <f t="shared" si="18"/>
        <v>31</v>
      </c>
      <c r="C36" s="84" t="str">
        <f t="shared" ca="1" si="12"/>
        <v/>
      </c>
      <c r="D36" s="126">
        <f>Basistabelle!D36</f>
        <v>0</v>
      </c>
      <c r="E36" s="126"/>
      <c r="F36" s="126">
        <f>Basistabelle!E36</f>
        <v>0</v>
      </c>
      <c r="G36" s="126"/>
      <c r="H36" s="126">
        <f>Basistabelle!F36</f>
        <v>0</v>
      </c>
      <c r="I36" s="126"/>
      <c r="J36" s="51">
        <f t="shared" si="22"/>
        <v>28</v>
      </c>
      <c r="K36" s="84" t="str">
        <f t="shared" ca="1" si="1"/>
        <v/>
      </c>
      <c r="L36" s="126">
        <f>Basistabelle!D64</f>
        <v>0</v>
      </c>
      <c r="M36" s="126"/>
      <c r="N36" s="126">
        <f>Basistabelle!E64</f>
        <v>0</v>
      </c>
      <c r="O36" s="126"/>
      <c r="P36" s="126">
        <f>Basistabelle!F64</f>
        <v>0</v>
      </c>
      <c r="Q36" s="126"/>
      <c r="R36" s="9">
        <f t="shared" si="23"/>
        <v>28</v>
      </c>
      <c r="S36" s="84" t="str">
        <f t="shared" ca="1" si="2"/>
        <v/>
      </c>
      <c r="T36" s="126">
        <f>Basistabelle!D92</f>
        <v>0</v>
      </c>
      <c r="U36" s="126"/>
      <c r="V36" s="126">
        <f>Basistabelle!E92</f>
        <v>0</v>
      </c>
      <c r="W36" s="126"/>
      <c r="X36" s="126">
        <f>Basistabelle!F92</f>
        <v>0</v>
      </c>
      <c r="Y36" s="126"/>
      <c r="Z36" s="9"/>
      <c r="AA36" s="84" t="str">
        <f t="shared" ca="1" si="3"/>
        <v/>
      </c>
      <c r="AB36" s="126"/>
      <c r="AC36" s="126"/>
      <c r="AD36" s="126"/>
      <c r="AE36" s="126"/>
      <c r="AF36" s="126">
        <f>Basistabelle!R92</f>
        <v>0</v>
      </c>
      <c r="AG36" s="126"/>
      <c r="AH36" s="9">
        <f t="shared" si="20"/>
        <v>30</v>
      </c>
      <c r="AI36" s="84" t="str">
        <f t="shared" ca="1" si="13"/>
        <v/>
      </c>
      <c r="AJ36" s="126">
        <f>Basistabelle!D155</f>
        <v>0</v>
      </c>
      <c r="AK36" s="126"/>
      <c r="AL36" s="126">
        <f>Basistabelle!E155</f>
        <v>0</v>
      </c>
      <c r="AM36" s="126"/>
      <c r="AN36" s="126">
        <f>Basistabelle!F155</f>
        <v>0</v>
      </c>
      <c r="AO36" s="126"/>
      <c r="AP36" s="9">
        <f t="shared" si="25"/>
        <v>27</v>
      </c>
      <c r="AQ36" s="84" t="str">
        <f t="shared" ca="1" si="5"/>
        <v/>
      </c>
      <c r="AR36" s="126">
        <f>Basistabelle!D183</f>
        <v>0</v>
      </c>
      <c r="AS36" s="126"/>
      <c r="AT36" s="126">
        <f>Basistabelle!E183</f>
        <v>0</v>
      </c>
      <c r="AU36" s="126"/>
      <c r="AV36" s="126">
        <f>Basistabelle!F183</f>
        <v>0</v>
      </c>
      <c r="AW36" s="126"/>
      <c r="AX36" s="9"/>
      <c r="AY36" s="84" t="str">
        <f t="shared" ca="1" si="6"/>
        <v/>
      </c>
      <c r="AZ36" s="126">
        <f>Basistabelle!P183</f>
        <v>0</v>
      </c>
      <c r="BA36" s="126"/>
      <c r="BB36" s="126">
        <f>Basistabelle!Q183</f>
        <v>0</v>
      </c>
      <c r="BC36" s="126"/>
      <c r="BD36" s="126">
        <f>Basistabelle!R183</f>
        <v>0</v>
      </c>
      <c r="BE36" s="126"/>
      <c r="BF36" s="9">
        <f t="shared" si="21"/>
        <v>29</v>
      </c>
      <c r="BG36" s="84" t="str">
        <f t="shared" ca="1" si="7"/>
        <v/>
      </c>
      <c r="BH36" s="126">
        <f>Basistabelle!D246</f>
        <v>0</v>
      </c>
      <c r="BI36" s="126"/>
      <c r="BJ36" s="126">
        <f>Basistabelle!E246</f>
        <v>0</v>
      </c>
      <c r="BK36" s="126"/>
      <c r="BL36" s="126">
        <f>Basistabelle!F246</f>
        <v>0</v>
      </c>
      <c r="BM36" s="126"/>
      <c r="BN36" s="9"/>
      <c r="BO36" s="84" t="str">
        <f t="shared" ca="1" si="8"/>
        <v/>
      </c>
      <c r="BP36" s="126"/>
      <c r="BQ36" s="126"/>
      <c r="BR36" s="126"/>
      <c r="BS36" s="126"/>
      <c r="BT36" s="126"/>
      <c r="BU36" s="126"/>
      <c r="BV36" s="9">
        <f t="shared" si="19"/>
        <v>31</v>
      </c>
      <c r="BW36" s="84" t="str">
        <f t="shared" ca="1" si="9"/>
        <v/>
      </c>
      <c r="BX36" s="126">
        <f>Basistabelle!D309</f>
        <v>0</v>
      </c>
      <c r="BY36" s="126"/>
      <c r="BZ36" s="126">
        <f>Basistabelle!E309</f>
        <v>0</v>
      </c>
      <c r="CA36" s="126"/>
      <c r="CB36" s="126">
        <f>Basistabelle!F309</f>
        <v>0</v>
      </c>
      <c r="CC36" s="126"/>
      <c r="CD36" s="9">
        <f t="shared" si="24"/>
        <v>28</v>
      </c>
      <c r="CE36" s="84" t="str">
        <f t="shared" ca="1" si="10"/>
        <v/>
      </c>
      <c r="CF36" s="126">
        <f>Basistabelle!D337</f>
        <v>0</v>
      </c>
      <c r="CG36" s="126"/>
      <c r="CH36" s="126">
        <f>Basistabelle!E337</f>
        <v>0</v>
      </c>
      <c r="CI36" s="126"/>
      <c r="CJ36" s="126">
        <f>Basistabelle!F337</f>
        <v>0</v>
      </c>
      <c r="CK36" s="126"/>
      <c r="CL36" s="9"/>
      <c r="CM36" s="84" t="str">
        <f t="shared" ca="1" si="11"/>
        <v/>
      </c>
      <c r="CN36" s="126">
        <f>Basistabelle!P337</f>
        <v>0</v>
      </c>
      <c r="CO36" s="126"/>
      <c r="CP36" s="126">
        <f>Basistabelle!Q337</f>
        <v>0</v>
      </c>
      <c r="CQ36" s="126"/>
      <c r="CR36" s="126">
        <f>Basistabelle!R337</f>
        <v>0</v>
      </c>
      <c r="CS36" s="140"/>
    </row>
    <row r="37" spans="1:97" s="2" customFormat="1" x14ac:dyDescent="0.2">
      <c r="A37" s="9" t="s">
        <v>5</v>
      </c>
      <c r="B37" s="10"/>
      <c r="C37" s="84" t="str">
        <f t="shared" ca="1" si="12"/>
        <v/>
      </c>
      <c r="D37" s="126"/>
      <c r="E37" s="126"/>
      <c r="F37" s="126"/>
      <c r="G37" s="126"/>
      <c r="H37" s="126"/>
      <c r="I37" s="126"/>
      <c r="J37" s="51"/>
      <c r="K37" s="84" t="str">
        <f t="shared" ca="1" si="1"/>
        <v/>
      </c>
      <c r="L37" s="126"/>
      <c r="M37" s="126"/>
      <c r="N37" s="126"/>
      <c r="O37" s="126"/>
      <c r="P37" s="126"/>
      <c r="Q37" s="126"/>
      <c r="R37" s="9">
        <f t="shared" si="23"/>
        <v>29</v>
      </c>
      <c r="S37" s="84" t="str">
        <f t="shared" ca="1" si="2"/>
        <v/>
      </c>
      <c r="T37" s="126">
        <f>Basistabelle!D93</f>
        <v>0</v>
      </c>
      <c r="U37" s="126"/>
      <c r="V37" s="126">
        <f>Basistabelle!E93</f>
        <v>0</v>
      </c>
      <c r="W37" s="126"/>
      <c r="X37" s="126">
        <f>Basistabelle!F93</f>
        <v>0</v>
      </c>
      <c r="Y37" s="126"/>
      <c r="Z37" s="9"/>
      <c r="AA37" s="84" t="str">
        <f t="shared" ca="1" si="3"/>
        <v/>
      </c>
      <c r="AB37" s="126"/>
      <c r="AC37" s="126"/>
      <c r="AD37" s="126"/>
      <c r="AE37" s="126"/>
      <c r="AF37" s="126">
        <f>Basistabelle!R93</f>
        <v>0</v>
      </c>
      <c r="AG37" s="126"/>
      <c r="AH37" s="9">
        <f t="shared" si="20"/>
        <v>31</v>
      </c>
      <c r="AI37" s="84" t="str">
        <f t="shared" ca="1" si="13"/>
        <v/>
      </c>
      <c r="AJ37" s="126">
        <f>Basistabelle!D156</f>
        <v>0</v>
      </c>
      <c r="AK37" s="126"/>
      <c r="AL37" s="126">
        <f>Basistabelle!E156</f>
        <v>0</v>
      </c>
      <c r="AM37" s="126"/>
      <c r="AN37" s="126">
        <f>Basistabelle!F156</f>
        <v>0</v>
      </c>
      <c r="AO37" s="126"/>
      <c r="AP37" s="9">
        <f t="shared" si="25"/>
        <v>28</v>
      </c>
      <c r="AQ37" s="84" t="str">
        <f t="shared" ca="1" si="5"/>
        <v/>
      </c>
      <c r="AR37" s="126">
        <f>Basistabelle!D184</f>
        <v>0</v>
      </c>
      <c r="AS37" s="126"/>
      <c r="AT37" s="126">
        <f>Basistabelle!E184</f>
        <v>0</v>
      </c>
      <c r="AU37" s="126"/>
      <c r="AV37" s="126">
        <f>Basistabelle!F184</f>
        <v>0</v>
      </c>
      <c r="AW37" s="126"/>
      <c r="AX37" s="9"/>
      <c r="AY37" s="84" t="str">
        <f t="shared" ca="1" si="6"/>
        <v/>
      </c>
      <c r="AZ37" s="126">
        <f>Basistabelle!P184</f>
        <v>0</v>
      </c>
      <c r="BA37" s="126"/>
      <c r="BB37" s="126">
        <f>Basistabelle!Q184</f>
        <v>0</v>
      </c>
      <c r="BC37" s="126"/>
      <c r="BD37" s="126">
        <f>Basistabelle!R184</f>
        <v>0</v>
      </c>
      <c r="BE37" s="126"/>
      <c r="BF37" s="9">
        <f t="shared" si="21"/>
        <v>30</v>
      </c>
      <c r="BG37" s="84" t="str">
        <f t="shared" ca="1" si="7"/>
        <v/>
      </c>
      <c r="BH37" s="126">
        <f>Basistabelle!D247</f>
        <v>0</v>
      </c>
      <c r="BI37" s="126"/>
      <c r="BJ37" s="126">
        <f>Basistabelle!E247</f>
        <v>0</v>
      </c>
      <c r="BK37" s="126"/>
      <c r="BL37" s="126">
        <f>Basistabelle!F247</f>
        <v>0</v>
      </c>
      <c r="BM37" s="126"/>
      <c r="BN37" s="9"/>
      <c r="BO37" s="84" t="str">
        <f t="shared" ca="1" si="8"/>
        <v/>
      </c>
      <c r="BP37" s="126"/>
      <c r="BQ37" s="126"/>
      <c r="BR37" s="126"/>
      <c r="BS37" s="126"/>
      <c r="BT37" s="126"/>
      <c r="BU37" s="126"/>
      <c r="BV37" s="9"/>
      <c r="BW37" s="84" t="str">
        <f t="shared" ca="1" si="9"/>
        <v/>
      </c>
      <c r="BX37" s="126"/>
      <c r="BY37" s="126"/>
      <c r="BZ37" s="126"/>
      <c r="CA37" s="126"/>
      <c r="CB37" s="126"/>
      <c r="CC37" s="126"/>
      <c r="CD37" s="9">
        <f t="shared" si="24"/>
        <v>29</v>
      </c>
      <c r="CE37" s="84" t="str">
        <f t="shared" ca="1" si="10"/>
        <v/>
      </c>
      <c r="CF37" s="126">
        <f>Basistabelle!D338</f>
        <v>0</v>
      </c>
      <c r="CG37" s="126"/>
      <c r="CH37" s="126">
        <f>Basistabelle!E338</f>
        <v>0</v>
      </c>
      <c r="CI37" s="126"/>
      <c r="CJ37" s="126">
        <f>Basistabelle!F338</f>
        <v>0</v>
      </c>
      <c r="CK37" s="126"/>
      <c r="CL37" s="9"/>
      <c r="CM37" s="84" t="str">
        <f t="shared" ca="1" si="11"/>
        <v/>
      </c>
      <c r="CN37" s="126">
        <f>Basistabelle!P338</f>
        <v>0</v>
      </c>
      <c r="CO37" s="126"/>
      <c r="CP37" s="126">
        <f>Basistabelle!Q338</f>
        <v>0</v>
      </c>
      <c r="CQ37" s="126"/>
      <c r="CR37" s="126">
        <f>Basistabelle!R338</f>
        <v>0</v>
      </c>
      <c r="CS37" s="140"/>
    </row>
    <row r="38" spans="1:97" s="2" customFormat="1" ht="15" customHeight="1" x14ac:dyDescent="0.2">
      <c r="A38" s="6" t="s">
        <v>25</v>
      </c>
      <c r="B38" s="8"/>
      <c r="C38" s="84" t="str">
        <f t="shared" ca="1" si="12"/>
        <v/>
      </c>
      <c r="D38" s="125"/>
      <c r="E38" s="124"/>
      <c r="F38" s="125"/>
      <c r="G38" s="124"/>
      <c r="H38" s="125"/>
      <c r="I38" s="124"/>
      <c r="J38" s="6"/>
      <c r="K38" s="84" t="str">
        <f t="shared" ca="1" si="1"/>
        <v/>
      </c>
      <c r="L38" s="125"/>
      <c r="M38" s="124"/>
      <c r="N38" s="125"/>
      <c r="O38" s="124"/>
      <c r="P38" s="125"/>
      <c r="Q38" s="124"/>
      <c r="R38" s="6">
        <f t="shared" si="23"/>
        <v>30</v>
      </c>
      <c r="S38" s="84" t="str">
        <f t="shared" ca="1" si="2"/>
        <v/>
      </c>
      <c r="T38" s="167">
        <v>14</v>
      </c>
      <c r="U38" s="167"/>
      <c r="V38" s="167"/>
      <c r="W38" s="167"/>
      <c r="X38" s="167"/>
      <c r="Y38" s="168"/>
      <c r="Z38" s="6"/>
      <c r="AA38" s="84" t="str">
        <f t="shared" ca="1" si="3"/>
        <v/>
      </c>
      <c r="AB38" s="125"/>
      <c r="AC38" s="124"/>
      <c r="AD38" s="121"/>
      <c r="AE38" s="124"/>
      <c r="AF38" s="125">
        <f>Basistabelle!R94</f>
        <v>0</v>
      </c>
      <c r="AG38" s="124"/>
      <c r="AH38" s="6"/>
      <c r="AI38" s="84" t="str">
        <f t="shared" ca="1" si="13"/>
        <v/>
      </c>
      <c r="AJ38" s="125"/>
      <c r="AK38" s="124"/>
      <c r="AL38" s="121"/>
      <c r="AM38" s="124"/>
      <c r="AN38" s="125">
        <f>Basistabelle!Z94</f>
        <v>0</v>
      </c>
      <c r="AO38" s="124"/>
      <c r="AP38" s="6">
        <f t="shared" si="25"/>
        <v>29</v>
      </c>
      <c r="AQ38" s="84" t="str">
        <f t="shared" ca="1" si="5"/>
        <v/>
      </c>
      <c r="AR38" s="167">
        <v>27</v>
      </c>
      <c r="AS38" s="167"/>
      <c r="AT38" s="167"/>
      <c r="AU38" s="167"/>
      <c r="AV38" s="167"/>
      <c r="AW38" s="168"/>
      <c r="AX38" s="6"/>
      <c r="AY38" s="84" t="str">
        <f t="shared" ca="1" si="6"/>
        <v/>
      </c>
      <c r="AZ38" s="125">
        <f>Basistabelle!P185</f>
        <v>0</v>
      </c>
      <c r="BA38" s="124"/>
      <c r="BB38" s="121">
        <f>Basistabelle!Q185</f>
        <v>0</v>
      </c>
      <c r="BC38" s="124"/>
      <c r="BD38" s="125">
        <f>Basistabelle!R185</f>
        <v>0</v>
      </c>
      <c r="BE38" s="124"/>
      <c r="BF38" s="21">
        <f t="shared" si="21"/>
        <v>31</v>
      </c>
      <c r="BG38" s="84" t="str">
        <f t="shared" ca="1" si="7"/>
        <v/>
      </c>
      <c r="BH38" s="167">
        <v>36</v>
      </c>
      <c r="BI38" s="167"/>
      <c r="BJ38" s="167"/>
      <c r="BK38" s="167"/>
      <c r="BL38" s="167"/>
      <c r="BM38" s="168"/>
      <c r="BN38" s="6"/>
      <c r="BO38" s="84" t="str">
        <f t="shared" ca="1" si="8"/>
        <v/>
      </c>
      <c r="BP38" s="125"/>
      <c r="BQ38" s="124"/>
      <c r="BR38" s="121"/>
      <c r="BS38" s="124"/>
      <c r="BT38" s="125"/>
      <c r="BU38" s="124"/>
      <c r="BV38" s="6"/>
      <c r="BW38" s="84" t="str">
        <f t="shared" ca="1" si="9"/>
        <v/>
      </c>
      <c r="BX38" s="125"/>
      <c r="BY38" s="124"/>
      <c r="BZ38" s="121"/>
      <c r="CA38" s="124"/>
      <c r="CB38" s="125"/>
      <c r="CC38" s="124"/>
      <c r="CD38" s="6">
        <f t="shared" si="24"/>
        <v>30</v>
      </c>
      <c r="CE38" s="84" t="str">
        <f t="shared" ca="1" si="10"/>
        <v/>
      </c>
      <c r="CF38" s="167">
        <v>49</v>
      </c>
      <c r="CG38" s="167"/>
      <c r="CH38" s="167"/>
      <c r="CI38" s="167"/>
      <c r="CJ38" s="167"/>
      <c r="CK38" s="168"/>
      <c r="CL38" s="6"/>
      <c r="CM38" s="84" t="str">
        <f t="shared" ca="1" si="11"/>
        <v/>
      </c>
      <c r="CN38" s="125">
        <f>Basistabelle!P339</f>
        <v>0</v>
      </c>
      <c r="CO38" s="124"/>
      <c r="CP38" s="121">
        <f>Basistabelle!Q339</f>
        <v>0</v>
      </c>
      <c r="CQ38" s="124"/>
      <c r="CR38" s="125">
        <f>Basistabelle!R339</f>
        <v>0</v>
      </c>
      <c r="CS38" s="139"/>
    </row>
    <row r="39" spans="1:97" s="2" customFormat="1" x14ac:dyDescent="0.2">
      <c r="A39" s="6" t="s">
        <v>6</v>
      </c>
      <c r="B39" s="8"/>
      <c r="C39" s="84" t="str">
        <f t="shared" ca="1" si="12"/>
        <v/>
      </c>
      <c r="D39" s="125"/>
      <c r="E39" s="124"/>
      <c r="F39" s="125"/>
      <c r="G39" s="124"/>
      <c r="H39" s="125"/>
      <c r="I39" s="124"/>
      <c r="J39" s="6"/>
      <c r="K39" s="84" t="str">
        <f t="shared" ca="1" si="1"/>
        <v/>
      </c>
      <c r="L39" s="125"/>
      <c r="M39" s="124"/>
      <c r="N39" s="125"/>
      <c r="O39" s="124"/>
      <c r="P39" s="125"/>
      <c r="Q39" s="124"/>
      <c r="R39" s="6">
        <f t="shared" si="23"/>
        <v>31</v>
      </c>
      <c r="S39" s="84" t="str">
        <f t="shared" ca="1" si="2"/>
        <v/>
      </c>
      <c r="T39" s="125">
        <f>Basistabelle!D95</f>
        <v>0</v>
      </c>
      <c r="U39" s="124"/>
      <c r="V39" s="121">
        <f>Basistabelle!E95</f>
        <v>0</v>
      </c>
      <c r="W39" s="124"/>
      <c r="X39" s="125">
        <f>Basistabelle!F95</f>
        <v>0</v>
      </c>
      <c r="Y39" s="124"/>
      <c r="Z39" s="6"/>
      <c r="AA39" s="84" t="str">
        <f t="shared" ca="1" si="3"/>
        <v/>
      </c>
      <c r="AB39" s="125"/>
      <c r="AC39" s="124"/>
      <c r="AD39" s="121"/>
      <c r="AE39" s="124"/>
      <c r="AF39" s="125">
        <f>Basistabelle!R95</f>
        <v>0</v>
      </c>
      <c r="AG39" s="124"/>
      <c r="AH39" s="6"/>
      <c r="AI39" s="84" t="str">
        <f t="shared" ca="1" si="13"/>
        <v/>
      </c>
      <c r="AJ39" s="125"/>
      <c r="AK39" s="124"/>
      <c r="AL39" s="121"/>
      <c r="AM39" s="124"/>
      <c r="AN39" s="125">
        <f>Basistabelle!Z95</f>
        <v>0</v>
      </c>
      <c r="AO39" s="124"/>
      <c r="AP39" s="6">
        <f t="shared" si="25"/>
        <v>30</v>
      </c>
      <c r="AQ39" s="84" t="str">
        <f t="shared" ca="1" si="5"/>
        <v/>
      </c>
      <c r="AR39" s="125">
        <f>Basistabelle!D186</f>
        <v>0</v>
      </c>
      <c r="AS39" s="124"/>
      <c r="AT39" s="121">
        <f>Basistabelle!E186</f>
        <v>0</v>
      </c>
      <c r="AU39" s="124"/>
      <c r="AV39" s="125">
        <f>Basistabelle!F186</f>
        <v>0</v>
      </c>
      <c r="AW39" s="124"/>
      <c r="AX39" s="6"/>
      <c r="AY39" s="84" t="str">
        <f t="shared" ca="1" si="6"/>
        <v/>
      </c>
      <c r="AZ39" s="125">
        <f>Basistabelle!P186</f>
        <v>0</v>
      </c>
      <c r="BA39" s="124"/>
      <c r="BB39" s="121">
        <f>Basistabelle!Q186</f>
        <v>0</v>
      </c>
      <c r="BC39" s="124"/>
      <c r="BD39" s="125">
        <f>Basistabelle!R186</f>
        <v>0</v>
      </c>
      <c r="BE39" s="124"/>
      <c r="BF39" s="21"/>
      <c r="BG39" s="84" t="str">
        <f t="shared" ca="1" si="7"/>
        <v/>
      </c>
      <c r="BH39" s="125"/>
      <c r="BI39" s="124"/>
      <c r="BJ39" s="121"/>
      <c r="BK39" s="124"/>
      <c r="BL39" s="125"/>
      <c r="BM39" s="124"/>
      <c r="BN39" s="6"/>
      <c r="BO39" s="84" t="str">
        <f t="shared" ca="1" si="8"/>
        <v/>
      </c>
      <c r="BP39" s="125"/>
      <c r="BQ39" s="124"/>
      <c r="BR39" s="121"/>
      <c r="BS39" s="124"/>
      <c r="BT39" s="125"/>
      <c r="BU39" s="124"/>
      <c r="BV39" s="6"/>
      <c r="BW39" s="84" t="str">
        <f t="shared" ca="1" si="9"/>
        <v/>
      </c>
      <c r="BX39" s="125"/>
      <c r="BY39" s="124"/>
      <c r="BZ39" s="121"/>
      <c r="CA39" s="124"/>
      <c r="CB39" s="125"/>
      <c r="CC39" s="124"/>
      <c r="CD39" s="6"/>
      <c r="CE39" s="84" t="str">
        <f t="shared" ca="1" si="10"/>
        <v/>
      </c>
      <c r="CF39" s="125"/>
      <c r="CG39" s="124"/>
      <c r="CH39" s="121"/>
      <c r="CI39" s="124"/>
      <c r="CJ39" s="125"/>
      <c r="CK39" s="124"/>
      <c r="CL39" s="6"/>
      <c r="CM39" s="84" t="str">
        <f t="shared" ca="1" si="11"/>
        <v/>
      </c>
      <c r="CN39" s="125"/>
      <c r="CO39" s="124"/>
      <c r="CP39" s="121"/>
      <c r="CQ39" s="124"/>
      <c r="CR39" s="125"/>
      <c r="CS39" s="139"/>
    </row>
    <row r="40" spans="1:97" s="2" customFormat="1" x14ac:dyDescent="0.2">
      <c r="A40" s="6"/>
      <c r="B40" s="8"/>
      <c r="C40" s="84" t="str">
        <f t="shared" ca="1" si="12"/>
        <v/>
      </c>
      <c r="D40" s="125"/>
      <c r="E40" s="124"/>
      <c r="F40" s="125"/>
      <c r="G40" s="124"/>
      <c r="H40" s="125"/>
      <c r="I40" s="124"/>
      <c r="J40" s="6"/>
      <c r="K40" s="84" t="str">
        <f t="shared" ca="1" si="1"/>
        <v/>
      </c>
      <c r="L40" s="125"/>
      <c r="M40" s="124"/>
      <c r="N40" s="125"/>
      <c r="O40" s="124"/>
      <c r="P40" s="125"/>
      <c r="Q40" s="124"/>
      <c r="R40" s="6"/>
      <c r="S40" s="84" t="str">
        <f t="shared" ca="1" si="2"/>
        <v/>
      </c>
      <c r="T40" s="125"/>
      <c r="U40" s="124"/>
      <c r="V40" s="125"/>
      <c r="W40" s="124"/>
      <c r="X40" s="125"/>
      <c r="Y40" s="124"/>
      <c r="Z40" s="6"/>
      <c r="AA40" s="84" t="str">
        <f t="shared" ca="1" si="3"/>
        <v/>
      </c>
      <c r="AB40" s="125"/>
      <c r="AC40" s="124"/>
      <c r="AD40" s="125"/>
      <c r="AE40" s="124"/>
      <c r="AF40" s="125"/>
      <c r="AG40" s="124"/>
      <c r="AH40" s="6"/>
      <c r="AI40" s="84" t="str">
        <f t="shared" ca="1" si="13"/>
        <v/>
      </c>
      <c r="AJ40" s="125"/>
      <c r="AK40" s="124"/>
      <c r="AL40" s="125"/>
      <c r="AM40" s="124"/>
      <c r="AN40" s="125"/>
      <c r="AO40" s="124"/>
      <c r="AP40" s="6"/>
      <c r="AQ40" s="77" t="s">
        <v>32</v>
      </c>
      <c r="AR40" s="125"/>
      <c r="AS40" s="124"/>
      <c r="AT40" s="125"/>
      <c r="AU40" s="124"/>
      <c r="AV40" s="125"/>
      <c r="AW40" s="124"/>
      <c r="AX40" s="6"/>
      <c r="AY40" s="84" t="str">
        <f t="shared" ca="1" si="6"/>
        <v/>
      </c>
      <c r="AZ40" s="125"/>
      <c r="BA40" s="124"/>
      <c r="BB40" s="125"/>
      <c r="BC40" s="124"/>
      <c r="BD40" s="125"/>
      <c r="BE40" s="124"/>
      <c r="BF40" s="21"/>
      <c r="BG40" s="84" t="str">
        <f t="shared" ca="1" si="7"/>
        <v/>
      </c>
      <c r="BH40" s="125"/>
      <c r="BI40" s="124"/>
      <c r="BJ40" s="125"/>
      <c r="BK40" s="124"/>
      <c r="BL40" s="125"/>
      <c r="BM40" s="124"/>
      <c r="BN40" s="6"/>
      <c r="BO40" s="84" t="str">
        <f t="shared" ca="1" si="8"/>
        <v/>
      </c>
      <c r="BP40" s="125"/>
      <c r="BQ40" s="124"/>
      <c r="BR40" s="125"/>
      <c r="BS40" s="124"/>
      <c r="BT40" s="125"/>
      <c r="BU40" s="124"/>
      <c r="BV40" s="6"/>
      <c r="BW40" s="84" t="str">
        <f t="shared" ca="1" si="9"/>
        <v/>
      </c>
      <c r="BX40" s="125"/>
      <c r="BY40" s="124"/>
      <c r="BZ40" s="125"/>
      <c r="CA40" s="124"/>
      <c r="CB40" s="125"/>
      <c r="CC40" s="124"/>
      <c r="CD40" s="6"/>
      <c r="CE40" s="84" t="str">
        <f t="shared" ca="1" si="10"/>
        <v/>
      </c>
      <c r="CF40" s="125"/>
      <c r="CG40" s="124"/>
      <c r="CH40" s="125"/>
      <c r="CI40" s="124"/>
      <c r="CJ40" s="125"/>
      <c r="CK40" s="124"/>
      <c r="CL40" s="6"/>
      <c r="CM40" s="84" t="str">
        <f t="shared" ca="1" si="11"/>
        <v/>
      </c>
      <c r="CN40" s="125"/>
      <c r="CO40" s="124"/>
      <c r="CP40" s="125"/>
      <c r="CQ40" s="124"/>
      <c r="CR40" s="125"/>
      <c r="CS40" s="139"/>
    </row>
    <row r="41" spans="1:97" s="2" customFormat="1" x14ac:dyDescent="0.2">
      <c r="A41" s="11"/>
      <c r="B41" s="12"/>
      <c r="C41" s="68" t="str">
        <f t="shared" ca="1" si="12"/>
        <v/>
      </c>
      <c r="D41" s="128"/>
      <c r="E41" s="129"/>
      <c r="F41" s="128"/>
      <c r="G41" s="129"/>
      <c r="H41" s="128"/>
      <c r="I41" s="129"/>
      <c r="J41" s="11"/>
      <c r="K41" s="68" t="str">
        <f t="shared" ca="1" si="1"/>
        <v/>
      </c>
      <c r="L41" s="128"/>
      <c r="M41" s="129"/>
      <c r="N41" s="128"/>
      <c r="O41" s="129"/>
      <c r="P41" s="128"/>
      <c r="Q41" s="129"/>
      <c r="R41" s="11"/>
      <c r="S41" s="68" t="str">
        <f t="shared" ca="1" si="2"/>
        <v/>
      </c>
      <c r="T41" s="128"/>
      <c r="U41" s="129"/>
      <c r="V41" s="128"/>
      <c r="W41" s="129"/>
      <c r="X41" s="128"/>
      <c r="Y41" s="129"/>
      <c r="Z41" s="11"/>
      <c r="AA41" s="68" t="str">
        <f t="shared" ca="1" si="3"/>
        <v/>
      </c>
      <c r="AB41" s="128"/>
      <c r="AC41" s="129"/>
      <c r="AD41" s="128"/>
      <c r="AE41" s="129"/>
      <c r="AF41" s="128"/>
      <c r="AG41" s="129"/>
      <c r="AH41" s="11"/>
      <c r="AI41" s="68" t="str">
        <f t="shared" ca="1" si="13"/>
        <v/>
      </c>
      <c r="AJ41" s="128"/>
      <c r="AK41" s="129"/>
      <c r="AL41" s="128"/>
      <c r="AM41" s="129"/>
      <c r="AN41" s="128"/>
      <c r="AO41" s="129"/>
      <c r="AP41" s="11"/>
      <c r="AQ41" s="78" t="s">
        <v>34</v>
      </c>
      <c r="AR41" s="128"/>
      <c r="AS41" s="129"/>
      <c r="AT41" s="128"/>
      <c r="AU41" s="129"/>
      <c r="AV41" s="128"/>
      <c r="AW41" s="129"/>
      <c r="AX41" s="11"/>
      <c r="AY41" s="68" t="str">
        <f t="shared" ca="1" si="6"/>
        <v/>
      </c>
      <c r="AZ41" s="128"/>
      <c r="BA41" s="129"/>
      <c r="BB41" s="128"/>
      <c r="BC41" s="129"/>
      <c r="BD41" s="128"/>
      <c r="BE41" s="129"/>
      <c r="BF41" s="23"/>
      <c r="BG41" s="68" t="str">
        <f t="shared" ca="1" si="7"/>
        <v/>
      </c>
      <c r="BH41" s="128"/>
      <c r="BI41" s="129"/>
      <c r="BJ41" s="128"/>
      <c r="BK41" s="129"/>
      <c r="BL41" s="128"/>
      <c r="BM41" s="129"/>
      <c r="BN41" s="11"/>
      <c r="BO41" s="68" t="str">
        <f t="shared" ca="1" si="8"/>
        <v/>
      </c>
      <c r="BP41" s="128"/>
      <c r="BQ41" s="129"/>
      <c r="BR41" s="128"/>
      <c r="BS41" s="129"/>
      <c r="BT41" s="128"/>
      <c r="BU41" s="129"/>
      <c r="BV41" s="11"/>
      <c r="BW41" s="68" t="str">
        <f t="shared" ca="1" si="9"/>
        <v/>
      </c>
      <c r="BX41" s="128"/>
      <c r="BY41" s="129"/>
      <c r="BZ41" s="128"/>
      <c r="CA41" s="129"/>
      <c r="CB41" s="128"/>
      <c r="CC41" s="129"/>
      <c r="CD41" s="11"/>
      <c r="CE41" s="68" t="str">
        <f t="shared" ca="1" si="10"/>
        <v/>
      </c>
      <c r="CF41" s="128"/>
      <c r="CG41" s="129"/>
      <c r="CH41" s="128"/>
      <c r="CI41" s="129"/>
      <c r="CJ41" s="128"/>
      <c r="CK41" s="129"/>
      <c r="CL41" s="11"/>
      <c r="CM41" s="68" t="str">
        <f t="shared" ca="1" si="11"/>
        <v/>
      </c>
      <c r="CN41" s="128"/>
      <c r="CO41" s="129"/>
      <c r="CP41" s="128"/>
      <c r="CQ41" s="129"/>
      <c r="CR41" s="128"/>
      <c r="CS41" s="142"/>
    </row>
    <row r="42" spans="1:97" x14ac:dyDescent="0.2">
      <c r="BO42" s="75" t="s">
        <v>72</v>
      </c>
    </row>
    <row r="43" spans="1:97" x14ac:dyDescent="0.2">
      <c r="D43" s="130" t="s">
        <v>29</v>
      </c>
      <c r="E43" s="131"/>
      <c r="F43" s="130"/>
      <c r="G43" s="131"/>
      <c r="H43" s="130"/>
      <c r="I43" s="131"/>
      <c r="L43" s="130"/>
      <c r="M43" s="131"/>
      <c r="N43" s="130"/>
      <c r="O43" s="131"/>
      <c r="P43" s="130"/>
      <c r="Q43" s="131"/>
      <c r="S43" s="69"/>
      <c r="T43" s="130"/>
      <c r="U43" s="131"/>
      <c r="V43" s="130"/>
      <c r="W43" s="131"/>
      <c r="X43" s="130"/>
      <c r="Y43" s="131"/>
      <c r="AB43" s="130"/>
      <c r="AC43" s="131"/>
      <c r="AD43" s="130"/>
      <c r="AE43" s="131"/>
      <c r="AF43" s="130"/>
      <c r="AG43" s="131"/>
      <c r="AJ43" s="130"/>
      <c r="AK43" s="131"/>
      <c r="AL43" s="130"/>
      <c r="AM43" s="131"/>
      <c r="AN43" s="130"/>
      <c r="AO43" s="131"/>
      <c r="AR43" s="130"/>
      <c r="AS43" s="131"/>
      <c r="AT43" s="130"/>
      <c r="AU43" s="131"/>
      <c r="AV43" s="130"/>
      <c r="AW43" s="131"/>
      <c r="AZ43" s="130"/>
      <c r="BA43" s="131"/>
      <c r="BB43" s="130"/>
      <c r="BC43" s="131"/>
      <c r="BD43" s="130"/>
      <c r="BE43" s="131"/>
      <c r="BH43" s="130"/>
      <c r="BI43" s="131"/>
      <c r="BJ43" s="130"/>
      <c r="BK43" s="131"/>
      <c r="BL43" s="130"/>
      <c r="BM43" s="131"/>
      <c r="BO43" s="75" t="s">
        <v>73</v>
      </c>
      <c r="BP43" s="130"/>
      <c r="BQ43" s="131"/>
      <c r="BR43" s="130"/>
      <c r="BS43" s="131"/>
      <c r="BT43" s="130"/>
      <c r="BU43" s="131"/>
      <c r="BX43" s="130"/>
      <c r="BY43" s="131"/>
      <c r="BZ43" s="130"/>
      <c r="CA43" s="131"/>
      <c r="CB43" s="130"/>
      <c r="CC43" s="131"/>
      <c r="CF43" s="130"/>
      <c r="CG43" s="131"/>
      <c r="CH43" s="130"/>
      <c r="CI43" s="131"/>
      <c r="CJ43" s="130"/>
      <c r="CK43" s="131"/>
      <c r="CN43" s="130"/>
      <c r="CO43" s="131"/>
      <c r="CP43" s="130"/>
      <c r="CQ43" s="131"/>
      <c r="CR43" s="130"/>
      <c r="CS43" s="143"/>
    </row>
    <row r="44" spans="1:97" x14ac:dyDescent="0.2">
      <c r="D44" s="130" t="s">
        <v>28</v>
      </c>
      <c r="E44" s="131"/>
      <c r="F44" s="130"/>
      <c r="G44" s="131"/>
      <c r="H44" s="130"/>
      <c r="I44" s="131"/>
      <c r="L44" s="130"/>
      <c r="M44" s="131"/>
      <c r="N44" s="130"/>
      <c r="O44" s="131"/>
      <c r="P44" s="130"/>
      <c r="Q44" s="131"/>
      <c r="S44" s="69"/>
      <c r="T44" s="130"/>
      <c r="U44" s="131"/>
      <c r="V44" s="130"/>
      <c r="W44" s="131"/>
      <c r="X44" s="130"/>
      <c r="Y44" s="131"/>
      <c r="AB44" s="130"/>
      <c r="AC44" s="131"/>
      <c r="AD44" s="130"/>
      <c r="AE44" s="131"/>
      <c r="AF44" s="130"/>
      <c r="AG44" s="131"/>
      <c r="AJ44" s="130"/>
      <c r="AK44" s="131"/>
      <c r="AL44" s="130"/>
      <c r="AM44" s="131"/>
      <c r="AN44" s="130"/>
      <c r="AO44" s="131"/>
      <c r="AR44" s="130"/>
      <c r="AS44" s="131"/>
      <c r="AT44" s="130"/>
      <c r="AU44" s="131"/>
      <c r="AV44" s="130"/>
      <c r="AW44" s="131"/>
      <c r="AZ44" s="130"/>
      <c r="BA44" s="131"/>
      <c r="BB44" s="130"/>
      <c r="BC44" s="131"/>
      <c r="BD44" s="130"/>
      <c r="BE44" s="131"/>
      <c r="BH44" s="130"/>
      <c r="BI44" s="131"/>
      <c r="BJ44" s="130"/>
      <c r="BK44" s="131"/>
      <c r="BL44" s="130"/>
      <c r="BM44" s="131"/>
      <c r="BO44" s="75" t="s">
        <v>74</v>
      </c>
      <c r="BP44" s="130"/>
      <c r="BQ44" s="131"/>
      <c r="BR44" s="130"/>
      <c r="BS44" s="131"/>
      <c r="BT44" s="130"/>
      <c r="BU44" s="131"/>
      <c r="BX44" s="130"/>
      <c r="BY44" s="131"/>
      <c r="BZ44" s="130"/>
      <c r="CA44" s="131"/>
      <c r="CB44" s="130"/>
      <c r="CC44" s="131"/>
      <c r="CF44" s="130"/>
      <c r="CG44" s="131"/>
      <c r="CH44" s="130"/>
      <c r="CI44" s="131"/>
      <c r="CJ44" s="130"/>
      <c r="CK44" s="131"/>
      <c r="CN44" s="130"/>
      <c r="CO44" s="131"/>
      <c r="CP44" s="130"/>
      <c r="CQ44" s="131"/>
      <c r="CR44" s="130"/>
      <c r="CS44" s="143"/>
    </row>
    <row r="45" spans="1:97" x14ac:dyDescent="0.2">
      <c r="D45" s="130" t="s">
        <v>30</v>
      </c>
      <c r="E45" s="131"/>
      <c r="F45" s="130"/>
      <c r="G45" s="131"/>
      <c r="H45" s="130"/>
      <c r="I45" s="131"/>
      <c r="L45" s="130"/>
      <c r="M45" s="131"/>
      <c r="N45" s="130"/>
      <c r="O45" s="131"/>
      <c r="P45" s="130"/>
      <c r="Q45" s="131"/>
      <c r="S45" s="69"/>
      <c r="T45" s="130"/>
      <c r="U45" s="131"/>
      <c r="V45" s="130"/>
      <c r="W45" s="131"/>
      <c r="X45" s="130"/>
      <c r="Y45" s="131"/>
      <c r="AB45" s="130"/>
      <c r="AC45" s="131"/>
      <c r="AD45" s="130"/>
      <c r="AE45" s="131"/>
      <c r="AF45" s="130"/>
      <c r="AG45" s="131"/>
      <c r="AJ45" s="130"/>
      <c r="AK45" s="131"/>
      <c r="AL45" s="130"/>
      <c r="AM45" s="131"/>
      <c r="AN45" s="130"/>
      <c r="AO45" s="131"/>
      <c r="AR45" s="130"/>
      <c r="AS45" s="131"/>
      <c r="AT45" s="130"/>
      <c r="AU45" s="131"/>
      <c r="AV45" s="130"/>
      <c r="AW45" s="131"/>
      <c r="AZ45" s="130"/>
      <c r="BA45" s="131"/>
      <c r="BB45" s="130"/>
      <c r="BC45" s="131"/>
      <c r="BD45" s="130"/>
      <c r="BE45" s="131"/>
      <c r="BH45" s="130"/>
      <c r="BI45" s="131"/>
      <c r="BJ45" s="130"/>
      <c r="BK45" s="131"/>
      <c r="BL45" s="130"/>
      <c r="BM45" s="131"/>
      <c r="BP45" s="130"/>
      <c r="BQ45" s="131"/>
      <c r="BR45" s="130"/>
      <c r="BS45" s="131"/>
      <c r="BT45" s="130"/>
      <c r="BU45" s="131"/>
      <c r="BX45" s="130"/>
      <c r="BY45" s="131"/>
      <c r="BZ45" s="130"/>
      <c r="CA45" s="131"/>
      <c r="CB45" s="130"/>
      <c r="CC45" s="131"/>
      <c r="CF45" s="130"/>
      <c r="CG45" s="131"/>
      <c r="CH45" s="130"/>
      <c r="CI45" s="131"/>
      <c r="CJ45" s="130"/>
      <c r="CK45" s="131"/>
      <c r="CN45" s="130"/>
      <c r="CO45" s="131"/>
      <c r="CP45" s="130"/>
      <c r="CQ45" s="131"/>
      <c r="CR45" s="130"/>
      <c r="CS45" s="143"/>
    </row>
    <row r="46" spans="1:97" x14ac:dyDescent="0.2">
      <c r="S46" s="69"/>
      <c r="BF46" s="25"/>
      <c r="BO46" s="75" t="s">
        <v>75</v>
      </c>
    </row>
    <row r="47" spans="1:97" x14ac:dyDescent="0.2">
      <c r="S47" s="69"/>
      <c r="BF47" s="25"/>
      <c r="BO47" s="74" t="s">
        <v>76</v>
      </c>
    </row>
  </sheetData>
  <mergeCells count="52">
    <mergeCell ref="T38:Y38"/>
    <mergeCell ref="AR38:AW38"/>
    <mergeCell ref="BH38:BM38"/>
    <mergeCell ref="CF38:CK38"/>
    <mergeCell ref="CO24:CS24"/>
    <mergeCell ref="AR31:AW31"/>
    <mergeCell ref="BH31:BM31"/>
    <mergeCell ref="BX31:CC31"/>
    <mergeCell ref="CF31:CK31"/>
    <mergeCell ref="BH24:BM24"/>
    <mergeCell ref="BX24:CC24"/>
    <mergeCell ref="CF24:CK24"/>
    <mergeCell ref="D31:I31"/>
    <mergeCell ref="L31:Q31"/>
    <mergeCell ref="T31:Y31"/>
    <mergeCell ref="AC31:AG31"/>
    <mergeCell ref="AJ31:AO31"/>
    <mergeCell ref="D24:I24"/>
    <mergeCell ref="T24:Y24"/>
    <mergeCell ref="AC24:AG24"/>
    <mergeCell ref="AJ24:AO24"/>
    <mergeCell ref="AR24:AW24"/>
    <mergeCell ref="CF10:CK10"/>
    <mergeCell ref="CN10:CS10"/>
    <mergeCell ref="D17:I17"/>
    <mergeCell ref="M17:Q17"/>
    <mergeCell ref="T17:Y17"/>
    <mergeCell ref="AJ17:AO17"/>
    <mergeCell ref="AR17:AW17"/>
    <mergeCell ref="BI17:BM17"/>
    <mergeCell ref="BP17:BU17"/>
    <mergeCell ref="BY17:CC17"/>
    <mergeCell ref="BP10:BU10"/>
    <mergeCell ref="CF17:CK17"/>
    <mergeCell ref="CN17:CS17"/>
    <mergeCell ref="D3:I3"/>
    <mergeCell ref="D10:I10"/>
    <mergeCell ref="T10:Y10"/>
    <mergeCell ref="AJ10:AO10"/>
    <mergeCell ref="AR10:AW10"/>
    <mergeCell ref="CL2:CM2"/>
    <mergeCell ref="B2:C2"/>
    <mergeCell ref="J2:K2"/>
    <mergeCell ref="R2:S2"/>
    <mergeCell ref="Z2:AA2"/>
    <mergeCell ref="AH2:AI2"/>
    <mergeCell ref="AP2:AQ2"/>
    <mergeCell ref="AX2:AY2"/>
    <mergeCell ref="BF2:BG2"/>
    <mergeCell ref="BN2:BO2"/>
    <mergeCell ref="BV2:BW2"/>
    <mergeCell ref="CD2:CE2"/>
  </mergeCells>
  <conditionalFormatting sqref="F6:F9 F36 F25:F30 F18:F23 F11:F16">
    <cfRule type="cellIs" dxfId="3967" priority="1562" operator="equal">
      <formula>"x"</formula>
    </cfRule>
  </conditionalFormatting>
  <conditionalFormatting sqref="D6:D30 D32:D36">
    <cfRule type="cellIs" dxfId="3966" priority="1561" operator="equal">
      <formula>"x"</formula>
    </cfRule>
  </conditionalFormatting>
  <conditionalFormatting sqref="D8:D9 D15:D16 D22:D23 D29:D30 D36:D37">
    <cfRule type="cellIs" dxfId="3965" priority="1560" operator="notEqual">
      <formula>"x"</formula>
    </cfRule>
  </conditionalFormatting>
  <conditionalFormatting sqref="F8:F9 F15:F16 F22:F23 F29:F30 F36:F37">
    <cfRule type="cellIs" dxfId="3964" priority="1559" operator="notEqual">
      <formula>"x"</formula>
    </cfRule>
  </conditionalFormatting>
  <conditionalFormatting sqref="H6:H9 H32:H36 H25:H30 H18:H23 H11:H16">
    <cfRule type="cellIs" dxfId="3963" priority="1558" operator="equal">
      <formula>"x"</formula>
    </cfRule>
  </conditionalFormatting>
  <conditionalFormatting sqref="H8:H9 H15:H16 H22:H23 H29:H30 H36:H37">
    <cfRule type="cellIs" dxfId="3962" priority="1557" operator="notEqual">
      <formula>"x"</formula>
    </cfRule>
  </conditionalFormatting>
  <conditionalFormatting sqref="N6:N8 N32:N36 N25:N30 N18:N23 N12:N16">
    <cfRule type="cellIs" dxfId="3961" priority="1556" operator="equal">
      <formula>"x"</formula>
    </cfRule>
  </conditionalFormatting>
  <conditionalFormatting sqref="L6:L8 L12:L16 L18:L23 L25:L30 L32:L36">
    <cfRule type="cellIs" dxfId="3960" priority="1555" operator="equal">
      <formula>"x"</formula>
    </cfRule>
  </conditionalFormatting>
  <conditionalFormatting sqref="L8 L15:L16 L22:L23 L29:L30 L36:L37">
    <cfRule type="cellIs" dxfId="3959" priority="1554" operator="notEqual">
      <formula>"x"</formula>
    </cfRule>
  </conditionalFormatting>
  <conditionalFormatting sqref="N8 N15:N16 N22:N23 N29:N30 N36:N37">
    <cfRule type="cellIs" dxfId="3958" priority="1553" operator="notEqual">
      <formula>"x"</formula>
    </cfRule>
  </conditionalFormatting>
  <conditionalFormatting sqref="P6:P8 P32:P36 P25:P30 P18:P23 P12:P16">
    <cfRule type="cellIs" dxfId="3957" priority="1552" operator="equal">
      <formula>"x"</formula>
    </cfRule>
  </conditionalFormatting>
  <conditionalFormatting sqref="P8 P15:P16 P22:P23 P29:P30 P36:P37">
    <cfRule type="cellIs" dxfId="3956" priority="1551" operator="notEqual">
      <formula>"x"</formula>
    </cfRule>
  </conditionalFormatting>
  <conditionalFormatting sqref="L11">
    <cfRule type="cellIs" dxfId="3955" priority="1550" operator="equal">
      <formula>"x"</formula>
    </cfRule>
  </conditionalFormatting>
  <conditionalFormatting sqref="P11">
    <cfRule type="cellIs" dxfId="3954" priority="1549" operator="equal">
      <formula>"x"</formula>
    </cfRule>
  </conditionalFormatting>
  <conditionalFormatting sqref="N9">
    <cfRule type="cellIs" dxfId="3953" priority="1548" operator="equal">
      <formula>"x"</formula>
    </cfRule>
  </conditionalFormatting>
  <conditionalFormatting sqref="L9">
    <cfRule type="cellIs" dxfId="3952" priority="1547" operator="equal">
      <formula>"x"</formula>
    </cfRule>
  </conditionalFormatting>
  <conditionalFormatting sqref="L9">
    <cfRule type="cellIs" dxfId="3951" priority="1546" operator="notEqual">
      <formula>"x"</formula>
    </cfRule>
  </conditionalFormatting>
  <conditionalFormatting sqref="N9">
    <cfRule type="cellIs" dxfId="3950" priority="1545" operator="notEqual">
      <formula>"x"</formula>
    </cfRule>
  </conditionalFormatting>
  <conditionalFormatting sqref="P9">
    <cfRule type="cellIs" dxfId="3949" priority="1544" operator="equal">
      <formula>"x"</formula>
    </cfRule>
  </conditionalFormatting>
  <conditionalFormatting sqref="P9">
    <cfRule type="cellIs" dxfId="3948" priority="1543" operator="notEqual">
      <formula>"x"</formula>
    </cfRule>
  </conditionalFormatting>
  <conditionalFormatting sqref="M17">
    <cfRule type="cellIs" dxfId="3947" priority="1542" operator="equal">
      <formula>"x"</formula>
    </cfRule>
  </conditionalFormatting>
  <conditionalFormatting sqref="L17">
    <cfRule type="cellIs" dxfId="3946" priority="1541" operator="equal">
      <formula>"x"</formula>
    </cfRule>
  </conditionalFormatting>
  <conditionalFormatting sqref="L31">
    <cfRule type="cellIs" dxfId="3945" priority="1540" operator="equal">
      <formula>"x"</formula>
    </cfRule>
  </conditionalFormatting>
  <conditionalFormatting sqref="V6:V7 V32:V36 V25:V30 V18:V21 V12:V15 V23">
    <cfRule type="cellIs" dxfId="3944" priority="1539" operator="equal">
      <formula>"x"</formula>
    </cfRule>
  </conditionalFormatting>
  <conditionalFormatting sqref="T6:T7 T12:T15 T18:T21 T25:T30 T32:T36 T23">
    <cfRule type="cellIs" dxfId="3943" priority="1538" operator="equal">
      <formula>"x"</formula>
    </cfRule>
  </conditionalFormatting>
  <conditionalFormatting sqref="T15 T23 T29:T30 T36">
    <cfRule type="cellIs" dxfId="3942" priority="1537" operator="notEqual">
      <formula>"x"</formula>
    </cfRule>
  </conditionalFormatting>
  <conditionalFormatting sqref="V15 V23 V29:V30 V36">
    <cfRule type="cellIs" dxfId="3941" priority="1536" operator="notEqual">
      <formula>"x"</formula>
    </cfRule>
  </conditionalFormatting>
  <conditionalFormatting sqref="X6:X7 X32:X36 X25:X30 X18:X21 X12:X15 X23">
    <cfRule type="cellIs" dxfId="3940" priority="1535" operator="equal">
      <formula>"x"</formula>
    </cfRule>
  </conditionalFormatting>
  <conditionalFormatting sqref="X15 X23 X29:X30 X36">
    <cfRule type="cellIs" dxfId="3939" priority="1534" operator="notEqual">
      <formula>"x"</formula>
    </cfRule>
  </conditionalFormatting>
  <conditionalFormatting sqref="V11">
    <cfRule type="cellIs" dxfId="3938" priority="1533" operator="equal">
      <formula>"x"</formula>
    </cfRule>
  </conditionalFormatting>
  <conditionalFormatting sqref="T11">
    <cfRule type="cellIs" dxfId="3937" priority="1532" operator="equal">
      <formula>"x"</formula>
    </cfRule>
  </conditionalFormatting>
  <conditionalFormatting sqref="X11">
    <cfRule type="cellIs" dxfId="3936" priority="1531" operator="equal">
      <formula>"x"</formula>
    </cfRule>
  </conditionalFormatting>
  <conditionalFormatting sqref="T10">
    <cfRule type="cellIs" dxfId="3935" priority="1530" operator="equal">
      <formula>"x"</formula>
    </cfRule>
  </conditionalFormatting>
  <conditionalFormatting sqref="X22">
    <cfRule type="cellIs" dxfId="3934" priority="1503" operator="notEqual">
      <formula>"x"</formula>
    </cfRule>
  </conditionalFormatting>
  <conditionalFormatting sqref="T37">
    <cfRule type="cellIs" dxfId="3933" priority="1500" operator="notEqual">
      <formula>"x"</formula>
    </cfRule>
  </conditionalFormatting>
  <conditionalFormatting sqref="T17">
    <cfRule type="cellIs" dxfId="3932" priority="1529" operator="equal">
      <formula>"x"</formula>
    </cfRule>
  </conditionalFormatting>
  <conditionalFormatting sqref="T24">
    <cfRule type="cellIs" dxfId="3931" priority="1528" operator="equal">
      <formula>"x"</formula>
    </cfRule>
  </conditionalFormatting>
  <conditionalFormatting sqref="T31">
    <cfRule type="cellIs" dxfId="3930" priority="1527" operator="equal">
      <formula>"x"</formula>
    </cfRule>
  </conditionalFormatting>
  <conditionalFormatting sqref="V9">
    <cfRule type="cellIs" dxfId="3929" priority="1526" operator="equal">
      <formula>"x"</formula>
    </cfRule>
  </conditionalFormatting>
  <conditionalFormatting sqref="T9">
    <cfRule type="cellIs" dxfId="3928" priority="1525" operator="equal">
      <formula>"x"</formula>
    </cfRule>
  </conditionalFormatting>
  <conditionalFormatting sqref="T9">
    <cfRule type="cellIs" dxfId="3927" priority="1524" operator="notEqual">
      <formula>"x"</formula>
    </cfRule>
  </conditionalFormatting>
  <conditionalFormatting sqref="V9">
    <cfRule type="cellIs" dxfId="3926" priority="1523" operator="notEqual">
      <formula>"x"</formula>
    </cfRule>
  </conditionalFormatting>
  <conditionalFormatting sqref="X9">
    <cfRule type="cellIs" dxfId="3925" priority="1522" operator="equal">
      <formula>"x"</formula>
    </cfRule>
  </conditionalFormatting>
  <conditionalFormatting sqref="X9">
    <cfRule type="cellIs" dxfId="3924" priority="1521" operator="notEqual">
      <formula>"x"</formula>
    </cfRule>
  </conditionalFormatting>
  <conditionalFormatting sqref="V8">
    <cfRule type="cellIs" dxfId="3923" priority="1520" operator="equal">
      <formula>"x"</formula>
    </cfRule>
  </conditionalFormatting>
  <conditionalFormatting sqref="T8">
    <cfRule type="cellIs" dxfId="3922" priority="1519" operator="equal">
      <formula>"x"</formula>
    </cfRule>
  </conditionalFormatting>
  <conditionalFormatting sqref="T8">
    <cfRule type="cellIs" dxfId="3921" priority="1518" operator="notEqual">
      <formula>"x"</formula>
    </cfRule>
  </conditionalFormatting>
  <conditionalFormatting sqref="V8">
    <cfRule type="cellIs" dxfId="3920" priority="1517" operator="notEqual">
      <formula>"x"</formula>
    </cfRule>
  </conditionalFormatting>
  <conditionalFormatting sqref="X8">
    <cfRule type="cellIs" dxfId="3919" priority="1516" operator="equal">
      <formula>"x"</formula>
    </cfRule>
  </conditionalFormatting>
  <conditionalFormatting sqref="X8">
    <cfRule type="cellIs" dxfId="3918" priority="1515" operator="notEqual">
      <formula>"x"</formula>
    </cfRule>
  </conditionalFormatting>
  <conditionalFormatting sqref="V16">
    <cfRule type="cellIs" dxfId="3917" priority="1514" operator="equal">
      <formula>"x"</formula>
    </cfRule>
  </conditionalFormatting>
  <conditionalFormatting sqref="T16">
    <cfRule type="cellIs" dxfId="3916" priority="1513" operator="equal">
      <formula>"x"</formula>
    </cfRule>
  </conditionalFormatting>
  <conditionalFormatting sqref="T16">
    <cfRule type="cellIs" dxfId="3915" priority="1512" operator="notEqual">
      <formula>"x"</formula>
    </cfRule>
  </conditionalFormatting>
  <conditionalFormatting sqref="V16">
    <cfRule type="cellIs" dxfId="3914" priority="1511" operator="notEqual">
      <formula>"x"</formula>
    </cfRule>
  </conditionalFormatting>
  <conditionalFormatting sqref="X16">
    <cfRule type="cellIs" dxfId="3913" priority="1510" operator="equal">
      <formula>"x"</formula>
    </cfRule>
  </conditionalFormatting>
  <conditionalFormatting sqref="X16">
    <cfRule type="cellIs" dxfId="3912" priority="1509" operator="notEqual">
      <formula>"x"</formula>
    </cfRule>
  </conditionalFormatting>
  <conditionalFormatting sqref="V22">
    <cfRule type="cellIs" dxfId="3911" priority="1508" operator="equal">
      <formula>"x"</formula>
    </cfRule>
  </conditionalFormatting>
  <conditionalFormatting sqref="T22">
    <cfRule type="cellIs" dxfId="3910" priority="1507" operator="equal">
      <formula>"x"</formula>
    </cfRule>
  </conditionalFormatting>
  <conditionalFormatting sqref="T22">
    <cfRule type="cellIs" dxfId="3909" priority="1506" operator="notEqual">
      <formula>"x"</formula>
    </cfRule>
  </conditionalFormatting>
  <conditionalFormatting sqref="V22">
    <cfRule type="cellIs" dxfId="3908" priority="1505" operator="notEqual">
      <formula>"x"</formula>
    </cfRule>
  </conditionalFormatting>
  <conditionalFormatting sqref="X22">
    <cfRule type="cellIs" dxfId="3907" priority="1504" operator="equal">
      <formula>"x"</formula>
    </cfRule>
  </conditionalFormatting>
  <conditionalFormatting sqref="AF22">
    <cfRule type="cellIs" dxfId="3906" priority="1450" operator="notEqual">
      <formula>"x"</formula>
    </cfRule>
  </conditionalFormatting>
  <conditionalFormatting sqref="V37">
    <cfRule type="cellIs" dxfId="3905" priority="1502" operator="equal">
      <formula>"x"</formula>
    </cfRule>
  </conditionalFormatting>
  <conditionalFormatting sqref="T37">
    <cfRule type="cellIs" dxfId="3904" priority="1501" operator="equal">
      <formula>"x"</formula>
    </cfRule>
  </conditionalFormatting>
  <conditionalFormatting sqref="AB37">
    <cfRule type="cellIs" dxfId="3903" priority="1447" operator="notEqual">
      <formula>"x"</formula>
    </cfRule>
  </conditionalFormatting>
  <conditionalFormatting sqref="V37">
    <cfRule type="cellIs" dxfId="3902" priority="1499" operator="notEqual">
      <formula>"x"</formula>
    </cfRule>
  </conditionalFormatting>
  <conditionalFormatting sqref="X37">
    <cfRule type="cellIs" dxfId="3901" priority="1498" operator="equal">
      <formula>"x"</formula>
    </cfRule>
  </conditionalFormatting>
  <conditionalFormatting sqref="X37">
    <cfRule type="cellIs" dxfId="3900" priority="1497" operator="notEqual">
      <formula>"x"</formula>
    </cfRule>
  </conditionalFormatting>
  <conditionalFormatting sqref="T38">
    <cfRule type="cellIs" dxfId="3899" priority="1496" operator="equal">
      <formula>"x"</formula>
    </cfRule>
  </conditionalFormatting>
  <conditionalFormatting sqref="V39">
    <cfRule type="cellIs" dxfId="3898" priority="1495" operator="equal">
      <formula>"x"</formula>
    </cfRule>
  </conditionalFormatting>
  <conditionalFormatting sqref="T39">
    <cfRule type="cellIs" dxfId="3897" priority="1494" operator="equal">
      <formula>"x"</formula>
    </cfRule>
  </conditionalFormatting>
  <conditionalFormatting sqref="X39">
    <cfRule type="cellIs" dxfId="3896" priority="1493" operator="equal">
      <formula>"x"</formula>
    </cfRule>
  </conditionalFormatting>
  <conditionalFormatting sqref="AD32:AD36 AD25:AD30 AD18:AD19 AD12:AD15 AD23 AD6:AD7">
    <cfRule type="cellIs" dxfId="3895" priority="1492" operator="equal">
      <formula>"x"</formula>
    </cfRule>
  </conditionalFormatting>
  <conditionalFormatting sqref="AB6:AB7 AB12:AB15 AB18:AB19 AB25:AB30 AB32:AB36 AB23">
    <cfRule type="cellIs" dxfId="3894" priority="1491" operator="equal">
      <formula>"x"</formula>
    </cfRule>
  </conditionalFormatting>
  <conditionalFormatting sqref="AB15 AB23 AB29:AB30 AB36">
    <cfRule type="cellIs" dxfId="3893" priority="1490" operator="notEqual">
      <formula>"x"</formula>
    </cfRule>
  </conditionalFormatting>
  <conditionalFormatting sqref="AD15 AD23 AD29:AD30 AD36">
    <cfRule type="cellIs" dxfId="3892" priority="1489" operator="notEqual">
      <formula>"x"</formula>
    </cfRule>
  </conditionalFormatting>
  <conditionalFormatting sqref="AF6:AF7 AF32:AF36 AF25:AF30 AF18:AF19 AF12:AF15 AF23">
    <cfRule type="cellIs" dxfId="3891" priority="1488" operator="equal">
      <formula>"x"</formula>
    </cfRule>
  </conditionalFormatting>
  <conditionalFormatting sqref="AF15 AF23 AF29:AF30 AF36">
    <cfRule type="cellIs" dxfId="3890" priority="1487" operator="notEqual">
      <formula>"x"</formula>
    </cfRule>
  </conditionalFormatting>
  <conditionalFormatting sqref="AD11">
    <cfRule type="cellIs" dxfId="3889" priority="1486" operator="equal">
      <formula>"x"</formula>
    </cfRule>
  </conditionalFormatting>
  <conditionalFormatting sqref="AB11">
    <cfRule type="cellIs" dxfId="3888" priority="1485" operator="equal">
      <formula>"x"</formula>
    </cfRule>
  </conditionalFormatting>
  <conditionalFormatting sqref="AF11">
    <cfRule type="cellIs" dxfId="3887" priority="1484" operator="equal">
      <formula>"x"</formula>
    </cfRule>
  </conditionalFormatting>
  <conditionalFormatting sqref="AD10">
    <cfRule type="cellIs" dxfId="3886" priority="1483" operator="equal">
      <formula>"x"</formula>
    </cfRule>
  </conditionalFormatting>
  <conditionalFormatting sqref="AB10">
    <cfRule type="cellIs" dxfId="3885" priority="1482" operator="equal">
      <formula>"x"</formula>
    </cfRule>
  </conditionalFormatting>
  <conditionalFormatting sqref="AF10">
    <cfRule type="cellIs" dxfId="3884" priority="1481" operator="equal">
      <formula>"x"</formula>
    </cfRule>
  </conditionalFormatting>
  <conditionalFormatting sqref="AF37">
    <cfRule type="cellIs" dxfId="3883" priority="1444" operator="notEqual">
      <formula>"x"</formula>
    </cfRule>
  </conditionalFormatting>
  <conditionalFormatting sqref="AD17">
    <cfRule type="cellIs" dxfId="3882" priority="1480" operator="equal">
      <formula>"x"</formula>
    </cfRule>
  </conditionalFormatting>
  <conditionalFormatting sqref="AB17">
    <cfRule type="cellIs" dxfId="3881" priority="1479" operator="equal">
      <formula>"x"</formula>
    </cfRule>
  </conditionalFormatting>
  <conditionalFormatting sqref="AF17">
    <cfRule type="cellIs" dxfId="3880" priority="1478" operator="equal">
      <formula>"x"</formula>
    </cfRule>
  </conditionalFormatting>
  <conditionalFormatting sqref="AC24">
    <cfRule type="cellIs" dxfId="3879" priority="1477" operator="equal">
      <formula>"x"</formula>
    </cfRule>
  </conditionalFormatting>
  <conditionalFormatting sqref="AB24">
    <cfRule type="cellIs" dxfId="3878" priority="1476" operator="equal">
      <formula>"x"</formula>
    </cfRule>
  </conditionalFormatting>
  <conditionalFormatting sqref="AC31">
    <cfRule type="cellIs" dxfId="3877" priority="1475" operator="equal">
      <formula>"x"</formula>
    </cfRule>
  </conditionalFormatting>
  <conditionalFormatting sqref="AB31">
    <cfRule type="cellIs" dxfId="3876" priority="1474" operator="equal">
      <formula>"x"</formula>
    </cfRule>
  </conditionalFormatting>
  <conditionalFormatting sqref="AD9">
    <cfRule type="cellIs" dxfId="3875" priority="1473" operator="equal">
      <formula>"x"</formula>
    </cfRule>
  </conditionalFormatting>
  <conditionalFormatting sqref="AB9">
    <cfRule type="cellIs" dxfId="3874" priority="1472" operator="equal">
      <formula>"x"</formula>
    </cfRule>
  </conditionalFormatting>
  <conditionalFormatting sqref="AB9">
    <cfRule type="cellIs" dxfId="3873" priority="1471" operator="notEqual">
      <formula>"x"</formula>
    </cfRule>
  </conditionalFormatting>
  <conditionalFormatting sqref="AD9">
    <cfRule type="cellIs" dxfId="3872" priority="1470" operator="notEqual">
      <formula>"x"</formula>
    </cfRule>
  </conditionalFormatting>
  <conditionalFormatting sqref="AF9">
    <cfRule type="cellIs" dxfId="3871" priority="1469" operator="equal">
      <formula>"x"</formula>
    </cfRule>
  </conditionalFormatting>
  <conditionalFormatting sqref="AF9">
    <cfRule type="cellIs" dxfId="3870" priority="1468" operator="notEqual">
      <formula>"x"</formula>
    </cfRule>
  </conditionalFormatting>
  <conditionalFormatting sqref="AD8">
    <cfRule type="cellIs" dxfId="3869" priority="1467" operator="equal">
      <formula>"x"</formula>
    </cfRule>
  </conditionalFormatting>
  <conditionalFormatting sqref="AB8">
    <cfRule type="cellIs" dxfId="3868" priority="1466" operator="equal">
      <formula>"x"</formula>
    </cfRule>
  </conditionalFormatting>
  <conditionalFormatting sqref="AB8">
    <cfRule type="cellIs" dxfId="3867" priority="1465" operator="notEqual">
      <formula>"x"</formula>
    </cfRule>
  </conditionalFormatting>
  <conditionalFormatting sqref="AD8">
    <cfRule type="cellIs" dxfId="3866" priority="1464" operator="notEqual">
      <formula>"x"</formula>
    </cfRule>
  </conditionalFormatting>
  <conditionalFormatting sqref="AF8">
    <cfRule type="cellIs" dxfId="3865" priority="1463" operator="equal">
      <formula>"x"</formula>
    </cfRule>
  </conditionalFormatting>
  <conditionalFormatting sqref="AF8">
    <cfRule type="cellIs" dxfId="3864" priority="1462" operator="notEqual">
      <formula>"x"</formula>
    </cfRule>
  </conditionalFormatting>
  <conditionalFormatting sqref="AD16">
    <cfRule type="cellIs" dxfId="3863" priority="1461" operator="equal">
      <formula>"x"</formula>
    </cfRule>
  </conditionalFormatting>
  <conditionalFormatting sqref="AB16">
    <cfRule type="cellIs" dxfId="3862" priority="1460" operator="equal">
      <formula>"x"</formula>
    </cfRule>
  </conditionalFormatting>
  <conditionalFormatting sqref="AB16">
    <cfRule type="cellIs" dxfId="3861" priority="1459" operator="notEqual">
      <formula>"x"</formula>
    </cfRule>
  </conditionalFormatting>
  <conditionalFormatting sqref="AD16">
    <cfRule type="cellIs" dxfId="3860" priority="1458" operator="notEqual">
      <formula>"x"</formula>
    </cfRule>
  </conditionalFormatting>
  <conditionalFormatting sqref="AF16">
    <cfRule type="cellIs" dxfId="3859" priority="1457" operator="equal">
      <formula>"x"</formula>
    </cfRule>
  </conditionalFormatting>
  <conditionalFormatting sqref="AF16">
    <cfRule type="cellIs" dxfId="3858" priority="1456" operator="notEqual">
      <formula>"x"</formula>
    </cfRule>
  </conditionalFormatting>
  <conditionalFormatting sqref="AD22">
    <cfRule type="cellIs" dxfId="3857" priority="1455" operator="equal">
      <formula>"x"</formula>
    </cfRule>
  </conditionalFormatting>
  <conditionalFormatting sqref="AB22">
    <cfRule type="cellIs" dxfId="3856" priority="1454" operator="equal">
      <formula>"x"</formula>
    </cfRule>
  </conditionalFormatting>
  <conditionalFormatting sqref="AB22">
    <cfRule type="cellIs" dxfId="3855" priority="1453" operator="notEqual">
      <formula>"x"</formula>
    </cfRule>
  </conditionalFormatting>
  <conditionalFormatting sqref="AD22">
    <cfRule type="cellIs" dxfId="3854" priority="1452" operator="notEqual">
      <formula>"x"</formula>
    </cfRule>
  </conditionalFormatting>
  <conditionalFormatting sqref="AF22">
    <cfRule type="cellIs" dxfId="3853" priority="1451" operator="equal">
      <formula>"x"</formula>
    </cfRule>
  </conditionalFormatting>
  <conditionalFormatting sqref="AD37">
    <cfRule type="cellIs" dxfId="3852" priority="1449" operator="equal">
      <formula>"x"</formula>
    </cfRule>
  </conditionalFormatting>
  <conditionalFormatting sqref="AB37">
    <cfRule type="cellIs" dxfId="3851" priority="1448" operator="equal">
      <formula>"x"</formula>
    </cfRule>
  </conditionalFormatting>
  <conditionalFormatting sqref="AD37">
    <cfRule type="cellIs" dxfId="3850" priority="1446" operator="notEqual">
      <formula>"x"</formula>
    </cfRule>
  </conditionalFormatting>
  <conditionalFormatting sqref="AF37">
    <cfRule type="cellIs" dxfId="3849" priority="1445" operator="equal">
      <formula>"x"</formula>
    </cfRule>
  </conditionalFormatting>
  <conditionalFormatting sqref="AD38">
    <cfRule type="cellIs" dxfId="3848" priority="1443" operator="equal">
      <formula>"x"</formula>
    </cfRule>
  </conditionalFormatting>
  <conditionalFormatting sqref="AB38">
    <cfRule type="cellIs" dxfId="3847" priority="1442" operator="equal">
      <formula>"x"</formula>
    </cfRule>
  </conditionalFormatting>
  <conditionalFormatting sqref="AF38">
    <cfRule type="cellIs" dxfId="3846" priority="1441" operator="equal">
      <formula>"x"</formula>
    </cfRule>
  </conditionalFormatting>
  <conditionalFormatting sqref="AD39">
    <cfRule type="cellIs" dxfId="3845" priority="1440" operator="equal">
      <formula>"x"</formula>
    </cfRule>
  </conditionalFormatting>
  <conditionalFormatting sqref="AB39">
    <cfRule type="cellIs" dxfId="3844" priority="1439" operator="equal">
      <formula>"x"</formula>
    </cfRule>
  </conditionalFormatting>
  <conditionalFormatting sqref="AF39">
    <cfRule type="cellIs" dxfId="3843" priority="1438" operator="equal">
      <formula>"x"</formula>
    </cfRule>
  </conditionalFormatting>
  <conditionalFormatting sqref="AD20">
    <cfRule type="cellIs" dxfId="3842" priority="1437" operator="equal">
      <formula>"x"</formula>
    </cfRule>
  </conditionalFormatting>
  <conditionalFormatting sqref="AB20">
    <cfRule type="cellIs" dxfId="3841" priority="1436" operator="equal">
      <formula>"x"</formula>
    </cfRule>
  </conditionalFormatting>
  <conditionalFormatting sqref="AF20">
    <cfRule type="cellIs" dxfId="3840" priority="1435" operator="equal">
      <formula>"x"</formula>
    </cfRule>
  </conditionalFormatting>
  <conditionalFormatting sqref="AD21">
    <cfRule type="cellIs" dxfId="3839" priority="1434" operator="equal">
      <formula>"x"</formula>
    </cfRule>
  </conditionalFormatting>
  <conditionalFormatting sqref="AB21">
    <cfRule type="cellIs" dxfId="3838" priority="1433" operator="equal">
      <formula>"x"</formula>
    </cfRule>
  </conditionalFormatting>
  <conditionalFormatting sqref="AF21">
    <cfRule type="cellIs" dxfId="3837" priority="1432" operator="equal">
      <formula>"x"</formula>
    </cfRule>
  </conditionalFormatting>
  <conditionalFormatting sqref="AN22">
    <cfRule type="cellIs" dxfId="3836" priority="1395" operator="notEqual">
      <formula>"x"</formula>
    </cfRule>
  </conditionalFormatting>
  <conditionalFormatting sqref="AJ37">
    <cfRule type="cellIs" dxfId="3835" priority="1392" operator="notEqual">
      <formula>"x"</formula>
    </cfRule>
  </conditionalFormatting>
  <conditionalFormatting sqref="AL32:AL36 AL25:AL30 AL18:AL19 AL12:AL15 AL23">
    <cfRule type="cellIs" dxfId="3834" priority="1431" operator="equal">
      <formula>"x"</formula>
    </cfRule>
  </conditionalFormatting>
  <conditionalFormatting sqref="AJ12:AJ15 AJ18:AJ19 AJ25:AJ30 AJ32:AJ36 AJ23">
    <cfRule type="cellIs" dxfId="3833" priority="1430" operator="equal">
      <formula>"x"</formula>
    </cfRule>
  </conditionalFormatting>
  <conditionalFormatting sqref="AJ15 AJ23 AJ29:AJ30 AJ36">
    <cfRule type="cellIs" dxfId="3832" priority="1429" operator="notEqual">
      <formula>"x"</formula>
    </cfRule>
  </conditionalFormatting>
  <conditionalFormatting sqref="AL15 AL23 AL29:AL30 AL36">
    <cfRule type="cellIs" dxfId="3831" priority="1428" operator="notEqual">
      <formula>"x"</formula>
    </cfRule>
  </conditionalFormatting>
  <conditionalFormatting sqref="AN32:AN36 AN25:AN30 AN18:AN19 AN12:AN15 AN23">
    <cfRule type="cellIs" dxfId="3830" priority="1427" operator="equal">
      <formula>"x"</formula>
    </cfRule>
  </conditionalFormatting>
  <conditionalFormatting sqref="AN15 AN23 AN29:AN30 AN36">
    <cfRule type="cellIs" dxfId="3829" priority="1426" operator="notEqual">
      <formula>"x"</formula>
    </cfRule>
  </conditionalFormatting>
  <conditionalFormatting sqref="AL11">
    <cfRule type="cellIs" dxfId="3828" priority="1425" operator="equal">
      <formula>"x"</formula>
    </cfRule>
  </conditionalFormatting>
  <conditionalFormatting sqref="AJ11">
    <cfRule type="cellIs" dxfId="3827" priority="1424" operator="equal">
      <formula>"x"</formula>
    </cfRule>
  </conditionalFormatting>
  <conditionalFormatting sqref="AN11">
    <cfRule type="cellIs" dxfId="3826" priority="1423" operator="equal">
      <formula>"x"</formula>
    </cfRule>
  </conditionalFormatting>
  <conditionalFormatting sqref="AJ10">
    <cfRule type="cellIs" dxfId="3825" priority="1422" operator="equal">
      <formula>"x"</formula>
    </cfRule>
  </conditionalFormatting>
  <conditionalFormatting sqref="AN37">
    <cfRule type="cellIs" dxfId="3824" priority="1389" operator="notEqual">
      <formula>"x"</formula>
    </cfRule>
  </conditionalFormatting>
  <conditionalFormatting sqref="AJ17">
    <cfRule type="cellIs" dxfId="3823" priority="1421" operator="equal">
      <formula>"x"</formula>
    </cfRule>
  </conditionalFormatting>
  <conditionalFormatting sqref="AJ24">
    <cfRule type="cellIs" dxfId="3822" priority="1420" operator="equal">
      <formula>"x"</formula>
    </cfRule>
  </conditionalFormatting>
  <conditionalFormatting sqref="AJ31">
    <cfRule type="cellIs" dxfId="3821" priority="1419" operator="equal">
      <formula>"x"</formula>
    </cfRule>
  </conditionalFormatting>
  <conditionalFormatting sqref="AL9">
    <cfRule type="cellIs" dxfId="3820" priority="1418" operator="equal">
      <formula>"x"</formula>
    </cfRule>
  </conditionalFormatting>
  <conditionalFormatting sqref="AJ9">
    <cfRule type="cellIs" dxfId="3819" priority="1417" operator="equal">
      <formula>"x"</formula>
    </cfRule>
  </conditionalFormatting>
  <conditionalFormatting sqref="AJ9">
    <cfRule type="cellIs" dxfId="3818" priority="1416" operator="notEqual">
      <formula>"x"</formula>
    </cfRule>
  </conditionalFormatting>
  <conditionalFormatting sqref="AL9">
    <cfRule type="cellIs" dxfId="3817" priority="1415" operator="notEqual">
      <formula>"x"</formula>
    </cfRule>
  </conditionalFormatting>
  <conditionalFormatting sqref="AN9">
    <cfRule type="cellIs" dxfId="3816" priority="1414" operator="equal">
      <formula>"x"</formula>
    </cfRule>
  </conditionalFormatting>
  <conditionalFormatting sqref="AN9">
    <cfRule type="cellIs" dxfId="3815" priority="1413" operator="notEqual">
      <formula>"x"</formula>
    </cfRule>
  </conditionalFormatting>
  <conditionalFormatting sqref="AL8">
    <cfRule type="cellIs" dxfId="3814" priority="1412" operator="equal">
      <formula>"x"</formula>
    </cfRule>
  </conditionalFormatting>
  <conditionalFormatting sqref="AJ8">
    <cfRule type="cellIs" dxfId="3813" priority="1411" operator="equal">
      <formula>"x"</formula>
    </cfRule>
  </conditionalFormatting>
  <conditionalFormatting sqref="AJ8">
    <cfRule type="cellIs" dxfId="3812" priority="1410" operator="notEqual">
      <formula>"x"</formula>
    </cfRule>
  </conditionalFormatting>
  <conditionalFormatting sqref="AL8">
    <cfRule type="cellIs" dxfId="3811" priority="1409" operator="notEqual">
      <formula>"x"</formula>
    </cfRule>
  </conditionalFormatting>
  <conditionalFormatting sqref="AN8">
    <cfRule type="cellIs" dxfId="3810" priority="1408" operator="equal">
      <formula>"x"</formula>
    </cfRule>
  </conditionalFormatting>
  <conditionalFormatting sqref="AN8">
    <cfRule type="cellIs" dxfId="3809" priority="1407" operator="notEqual">
      <formula>"x"</formula>
    </cfRule>
  </conditionalFormatting>
  <conditionalFormatting sqref="AL16">
    <cfRule type="cellIs" dxfId="3808" priority="1406" operator="equal">
      <formula>"x"</formula>
    </cfRule>
  </conditionalFormatting>
  <conditionalFormatting sqref="AJ16">
    <cfRule type="cellIs" dxfId="3807" priority="1405" operator="equal">
      <formula>"x"</formula>
    </cfRule>
  </conditionalFormatting>
  <conditionalFormatting sqref="AJ16">
    <cfRule type="cellIs" dxfId="3806" priority="1404" operator="notEqual">
      <formula>"x"</formula>
    </cfRule>
  </conditionalFormatting>
  <conditionalFormatting sqref="AL16">
    <cfRule type="cellIs" dxfId="3805" priority="1403" operator="notEqual">
      <formula>"x"</formula>
    </cfRule>
  </conditionalFormatting>
  <conditionalFormatting sqref="AN16">
    <cfRule type="cellIs" dxfId="3804" priority="1402" operator="equal">
      <formula>"x"</formula>
    </cfRule>
  </conditionalFormatting>
  <conditionalFormatting sqref="AN16">
    <cfRule type="cellIs" dxfId="3803" priority="1401" operator="notEqual">
      <formula>"x"</formula>
    </cfRule>
  </conditionalFormatting>
  <conditionalFormatting sqref="AL22">
    <cfRule type="cellIs" dxfId="3802" priority="1400" operator="equal">
      <formula>"x"</formula>
    </cfRule>
  </conditionalFormatting>
  <conditionalFormatting sqref="AJ22">
    <cfRule type="cellIs" dxfId="3801" priority="1399" operator="equal">
      <formula>"x"</formula>
    </cfRule>
  </conditionalFormatting>
  <conditionalFormatting sqref="AJ22">
    <cfRule type="cellIs" dxfId="3800" priority="1398" operator="notEqual">
      <formula>"x"</formula>
    </cfRule>
  </conditionalFormatting>
  <conditionalFormatting sqref="AL22">
    <cfRule type="cellIs" dxfId="3799" priority="1397" operator="notEqual">
      <formula>"x"</formula>
    </cfRule>
  </conditionalFormatting>
  <conditionalFormatting sqref="AN22">
    <cfRule type="cellIs" dxfId="3798" priority="1396" operator="equal">
      <formula>"x"</formula>
    </cfRule>
  </conditionalFormatting>
  <conditionalFormatting sqref="AL37">
    <cfRule type="cellIs" dxfId="3797" priority="1394" operator="equal">
      <formula>"x"</formula>
    </cfRule>
  </conditionalFormatting>
  <conditionalFormatting sqref="AJ37">
    <cfRule type="cellIs" dxfId="3796" priority="1393" operator="equal">
      <formula>"x"</formula>
    </cfRule>
  </conditionalFormatting>
  <conditionalFormatting sqref="AL37">
    <cfRule type="cellIs" dxfId="3795" priority="1391" operator="notEqual">
      <formula>"x"</formula>
    </cfRule>
  </conditionalFormatting>
  <conditionalFormatting sqref="AN37">
    <cfRule type="cellIs" dxfId="3794" priority="1390" operator="equal">
      <formula>"x"</formula>
    </cfRule>
  </conditionalFormatting>
  <conditionalFormatting sqref="AL38">
    <cfRule type="cellIs" dxfId="3793" priority="1388" operator="equal">
      <formula>"x"</formula>
    </cfRule>
  </conditionalFormatting>
  <conditionalFormatting sqref="AJ38">
    <cfRule type="cellIs" dxfId="3792" priority="1387" operator="equal">
      <formula>"x"</formula>
    </cfRule>
  </conditionalFormatting>
  <conditionalFormatting sqref="AN38">
    <cfRule type="cellIs" dxfId="3791" priority="1386" operator="equal">
      <formula>"x"</formula>
    </cfRule>
  </conditionalFormatting>
  <conditionalFormatting sqref="AL39">
    <cfRule type="cellIs" dxfId="3790" priority="1385" operator="equal">
      <formula>"x"</formula>
    </cfRule>
  </conditionalFormatting>
  <conditionalFormatting sqref="AJ39">
    <cfRule type="cellIs" dxfId="3789" priority="1384" operator="equal">
      <formula>"x"</formula>
    </cfRule>
  </conditionalFormatting>
  <conditionalFormatting sqref="AN39">
    <cfRule type="cellIs" dxfId="3788" priority="1383" operator="equal">
      <formula>"x"</formula>
    </cfRule>
  </conditionalFormatting>
  <conditionalFormatting sqref="AL20">
    <cfRule type="cellIs" dxfId="3787" priority="1382" operator="equal">
      <formula>"x"</formula>
    </cfRule>
  </conditionalFormatting>
  <conditionalFormatting sqref="AJ20">
    <cfRule type="cellIs" dxfId="3786" priority="1381" operator="equal">
      <formula>"x"</formula>
    </cfRule>
  </conditionalFormatting>
  <conditionalFormatting sqref="AN20">
    <cfRule type="cellIs" dxfId="3785" priority="1380" operator="equal">
      <formula>"x"</formula>
    </cfRule>
  </conditionalFormatting>
  <conditionalFormatting sqref="AL21">
    <cfRule type="cellIs" dxfId="3784" priority="1379" operator="equal">
      <formula>"x"</formula>
    </cfRule>
  </conditionalFormatting>
  <conditionalFormatting sqref="AJ21">
    <cfRule type="cellIs" dxfId="3783" priority="1378" operator="equal">
      <formula>"x"</formula>
    </cfRule>
  </conditionalFormatting>
  <conditionalFormatting sqref="AN21">
    <cfRule type="cellIs" dxfId="3782" priority="1377" operator="equal">
      <formula>"x"</formula>
    </cfRule>
  </conditionalFormatting>
  <conditionalFormatting sqref="AL6:AL7">
    <cfRule type="cellIs" dxfId="3781" priority="1376" operator="equal">
      <formula>"x"</formula>
    </cfRule>
  </conditionalFormatting>
  <conditionalFormatting sqref="AJ6:AJ7">
    <cfRule type="cellIs" dxfId="3780" priority="1375" operator="equal">
      <formula>"x"</formula>
    </cfRule>
  </conditionalFormatting>
  <conditionalFormatting sqref="AN6:AN7">
    <cfRule type="cellIs" dxfId="3779" priority="1374" operator="equal">
      <formula>"x"</formula>
    </cfRule>
  </conditionalFormatting>
  <conditionalFormatting sqref="AV22">
    <cfRule type="cellIs" dxfId="3778" priority="1337" operator="notEqual">
      <formula>"x"</formula>
    </cfRule>
  </conditionalFormatting>
  <conditionalFormatting sqref="AR37">
    <cfRule type="cellIs" dxfId="3777" priority="1334" operator="notEqual">
      <formula>"x"</formula>
    </cfRule>
  </conditionalFormatting>
  <conditionalFormatting sqref="AT32:AT36 AT25:AT30 AT18:AT19 AT12:AT15 AT23">
    <cfRule type="cellIs" dxfId="3776" priority="1373" operator="equal">
      <formula>"x"</formula>
    </cfRule>
  </conditionalFormatting>
  <conditionalFormatting sqref="AR12:AR15 AR18:AR19 AR25:AR30 AR32:AR36 AR23">
    <cfRule type="cellIs" dxfId="3775" priority="1372" operator="equal">
      <formula>"x"</formula>
    </cfRule>
  </conditionalFormatting>
  <conditionalFormatting sqref="AR15 AR23 AR29:AR30 AR36">
    <cfRule type="cellIs" dxfId="3774" priority="1371" operator="notEqual">
      <formula>"x"</formula>
    </cfRule>
  </conditionalFormatting>
  <conditionalFormatting sqref="AT15 AT23 AT29:AT30 AT36">
    <cfRule type="cellIs" dxfId="3773" priority="1370" operator="notEqual">
      <formula>"x"</formula>
    </cfRule>
  </conditionalFormatting>
  <conditionalFormatting sqref="AV32:AV36 AV25:AV30 AV18:AV19 AV12:AV15 AV23">
    <cfRule type="cellIs" dxfId="3772" priority="1369" operator="equal">
      <formula>"x"</formula>
    </cfRule>
  </conditionalFormatting>
  <conditionalFormatting sqref="AV15 AV23 AV29:AV30 AV36">
    <cfRule type="cellIs" dxfId="3771" priority="1368" operator="notEqual">
      <formula>"x"</formula>
    </cfRule>
  </conditionalFormatting>
  <conditionalFormatting sqref="AT11">
    <cfRule type="cellIs" dxfId="3770" priority="1367" operator="equal">
      <formula>"x"</formula>
    </cfRule>
  </conditionalFormatting>
  <conditionalFormatting sqref="AR11">
    <cfRule type="cellIs" dxfId="3769" priority="1366" operator="equal">
      <formula>"x"</formula>
    </cfRule>
  </conditionalFormatting>
  <conditionalFormatting sqref="AV11">
    <cfRule type="cellIs" dxfId="3768" priority="1365" operator="equal">
      <formula>"x"</formula>
    </cfRule>
  </conditionalFormatting>
  <conditionalFormatting sqref="AR10">
    <cfRule type="cellIs" dxfId="3767" priority="1364" operator="equal">
      <formula>"x"</formula>
    </cfRule>
  </conditionalFormatting>
  <conditionalFormatting sqref="AV37">
    <cfRule type="cellIs" dxfId="3766" priority="1331" operator="notEqual">
      <formula>"x"</formula>
    </cfRule>
  </conditionalFormatting>
  <conditionalFormatting sqref="AR17">
    <cfRule type="cellIs" dxfId="3765" priority="1363" operator="equal">
      <formula>"x"</formula>
    </cfRule>
  </conditionalFormatting>
  <conditionalFormatting sqref="AR24">
    <cfRule type="cellIs" dxfId="3764" priority="1362" operator="equal">
      <formula>"x"</formula>
    </cfRule>
  </conditionalFormatting>
  <conditionalFormatting sqref="AR31">
    <cfRule type="cellIs" dxfId="3763" priority="1361" operator="equal">
      <formula>"x"</formula>
    </cfRule>
  </conditionalFormatting>
  <conditionalFormatting sqref="AT9">
    <cfRule type="cellIs" dxfId="3762" priority="1360" operator="equal">
      <formula>"x"</formula>
    </cfRule>
  </conditionalFormatting>
  <conditionalFormatting sqref="AR9">
    <cfRule type="cellIs" dxfId="3761" priority="1359" operator="equal">
      <formula>"x"</formula>
    </cfRule>
  </conditionalFormatting>
  <conditionalFormatting sqref="AR9">
    <cfRule type="cellIs" dxfId="3760" priority="1358" operator="notEqual">
      <formula>"x"</formula>
    </cfRule>
  </conditionalFormatting>
  <conditionalFormatting sqref="AT9">
    <cfRule type="cellIs" dxfId="3759" priority="1357" operator="notEqual">
      <formula>"x"</formula>
    </cfRule>
  </conditionalFormatting>
  <conditionalFormatting sqref="AV9">
    <cfRule type="cellIs" dxfId="3758" priority="1356" operator="equal">
      <formula>"x"</formula>
    </cfRule>
  </conditionalFormatting>
  <conditionalFormatting sqref="AV9">
    <cfRule type="cellIs" dxfId="3757" priority="1355" operator="notEqual">
      <formula>"x"</formula>
    </cfRule>
  </conditionalFormatting>
  <conditionalFormatting sqref="AT8">
    <cfRule type="cellIs" dxfId="3756" priority="1354" operator="equal">
      <formula>"x"</formula>
    </cfRule>
  </conditionalFormatting>
  <conditionalFormatting sqref="AR8">
    <cfRule type="cellIs" dxfId="3755" priority="1353" operator="equal">
      <formula>"x"</formula>
    </cfRule>
  </conditionalFormatting>
  <conditionalFormatting sqref="AR8">
    <cfRule type="cellIs" dxfId="3754" priority="1352" operator="notEqual">
      <formula>"x"</formula>
    </cfRule>
  </conditionalFormatting>
  <conditionalFormatting sqref="AT8">
    <cfRule type="cellIs" dxfId="3753" priority="1351" operator="notEqual">
      <formula>"x"</formula>
    </cfRule>
  </conditionalFormatting>
  <conditionalFormatting sqref="AV8">
    <cfRule type="cellIs" dxfId="3752" priority="1350" operator="equal">
      <formula>"x"</formula>
    </cfRule>
  </conditionalFormatting>
  <conditionalFormatting sqref="AV8">
    <cfRule type="cellIs" dxfId="3751" priority="1349" operator="notEqual">
      <formula>"x"</formula>
    </cfRule>
  </conditionalFormatting>
  <conditionalFormatting sqref="AT16">
    <cfRule type="cellIs" dxfId="3750" priority="1348" operator="equal">
      <formula>"x"</formula>
    </cfRule>
  </conditionalFormatting>
  <conditionalFormatting sqref="AR16">
    <cfRule type="cellIs" dxfId="3749" priority="1347" operator="equal">
      <formula>"x"</formula>
    </cfRule>
  </conditionalFormatting>
  <conditionalFormatting sqref="AR16">
    <cfRule type="cellIs" dxfId="3748" priority="1346" operator="notEqual">
      <formula>"x"</formula>
    </cfRule>
  </conditionalFormatting>
  <conditionalFormatting sqref="AT16">
    <cfRule type="cellIs" dxfId="3747" priority="1345" operator="notEqual">
      <formula>"x"</formula>
    </cfRule>
  </conditionalFormatting>
  <conditionalFormatting sqref="AV16">
    <cfRule type="cellIs" dxfId="3746" priority="1344" operator="equal">
      <formula>"x"</formula>
    </cfRule>
  </conditionalFormatting>
  <conditionalFormatting sqref="AV16">
    <cfRule type="cellIs" dxfId="3745" priority="1343" operator="notEqual">
      <formula>"x"</formula>
    </cfRule>
  </conditionalFormatting>
  <conditionalFormatting sqref="AT22">
    <cfRule type="cellIs" dxfId="3744" priority="1342" operator="equal">
      <formula>"x"</formula>
    </cfRule>
  </conditionalFormatting>
  <conditionalFormatting sqref="AR22">
    <cfRule type="cellIs" dxfId="3743" priority="1341" operator="equal">
      <formula>"x"</formula>
    </cfRule>
  </conditionalFormatting>
  <conditionalFormatting sqref="AR22">
    <cfRule type="cellIs" dxfId="3742" priority="1340" operator="notEqual">
      <formula>"x"</formula>
    </cfRule>
  </conditionalFormatting>
  <conditionalFormatting sqref="AT22">
    <cfRule type="cellIs" dxfId="3741" priority="1339" operator="notEqual">
      <formula>"x"</formula>
    </cfRule>
  </conditionalFormatting>
  <conditionalFormatting sqref="AV22">
    <cfRule type="cellIs" dxfId="3740" priority="1338" operator="equal">
      <formula>"x"</formula>
    </cfRule>
  </conditionalFormatting>
  <conditionalFormatting sqref="AT37">
    <cfRule type="cellIs" dxfId="3739" priority="1336" operator="equal">
      <formula>"x"</formula>
    </cfRule>
  </conditionalFormatting>
  <conditionalFormatting sqref="AR37">
    <cfRule type="cellIs" dxfId="3738" priority="1335" operator="equal">
      <formula>"x"</formula>
    </cfRule>
  </conditionalFormatting>
  <conditionalFormatting sqref="AT37">
    <cfRule type="cellIs" dxfId="3737" priority="1333" operator="notEqual">
      <formula>"x"</formula>
    </cfRule>
  </conditionalFormatting>
  <conditionalFormatting sqref="AV37">
    <cfRule type="cellIs" dxfId="3736" priority="1332" operator="equal">
      <formula>"x"</formula>
    </cfRule>
  </conditionalFormatting>
  <conditionalFormatting sqref="AR38">
    <cfRule type="cellIs" dxfId="3735" priority="1330" operator="equal">
      <formula>"x"</formula>
    </cfRule>
  </conditionalFormatting>
  <conditionalFormatting sqref="AT39">
    <cfRule type="cellIs" dxfId="3734" priority="1329" operator="equal">
      <formula>"x"</formula>
    </cfRule>
  </conditionalFormatting>
  <conditionalFormatting sqref="AR39">
    <cfRule type="cellIs" dxfId="3733" priority="1328" operator="equal">
      <formula>"x"</formula>
    </cfRule>
  </conditionalFormatting>
  <conditionalFormatting sqref="AV39">
    <cfRule type="cellIs" dxfId="3732" priority="1327" operator="equal">
      <formula>"x"</formula>
    </cfRule>
  </conditionalFormatting>
  <conditionalFormatting sqref="AT20">
    <cfRule type="cellIs" dxfId="3731" priority="1326" operator="equal">
      <formula>"x"</formula>
    </cfRule>
  </conditionalFormatting>
  <conditionalFormatting sqref="AR20">
    <cfRule type="cellIs" dxfId="3730" priority="1325" operator="equal">
      <formula>"x"</formula>
    </cfRule>
  </conditionalFormatting>
  <conditionalFormatting sqref="AV20">
    <cfRule type="cellIs" dxfId="3729" priority="1324" operator="equal">
      <formula>"x"</formula>
    </cfRule>
  </conditionalFormatting>
  <conditionalFormatting sqref="AT21">
    <cfRule type="cellIs" dxfId="3728" priority="1323" operator="equal">
      <formula>"x"</formula>
    </cfRule>
  </conditionalFormatting>
  <conditionalFormatting sqref="AR21">
    <cfRule type="cellIs" dxfId="3727" priority="1322" operator="equal">
      <formula>"x"</formula>
    </cfRule>
  </conditionalFormatting>
  <conditionalFormatting sqref="AV21">
    <cfRule type="cellIs" dxfId="3726" priority="1321" operator="equal">
      <formula>"x"</formula>
    </cfRule>
  </conditionalFormatting>
  <conditionalFormatting sqref="AT6:AT7">
    <cfRule type="cellIs" dxfId="3725" priority="1320" operator="equal">
      <formula>"x"</formula>
    </cfRule>
  </conditionalFormatting>
  <conditionalFormatting sqref="AR6:AR7">
    <cfRule type="cellIs" dxfId="3724" priority="1319" operator="equal">
      <formula>"x"</formula>
    </cfRule>
  </conditionalFormatting>
  <conditionalFormatting sqref="AV6:AV7">
    <cfRule type="cellIs" dxfId="3723" priority="1318" operator="equal">
      <formula>"x"</formula>
    </cfRule>
  </conditionalFormatting>
  <conditionalFormatting sqref="BD22">
    <cfRule type="cellIs" dxfId="3722" priority="1273" operator="notEqual">
      <formula>"x"</formula>
    </cfRule>
  </conditionalFormatting>
  <conditionalFormatting sqref="AZ37">
    <cfRule type="cellIs" dxfId="3721" priority="1270" operator="notEqual">
      <formula>"x"</formula>
    </cfRule>
  </conditionalFormatting>
  <conditionalFormatting sqref="BB32:BB36 BB25:BB30 BB18:BB19 BB12:BB15 BB23">
    <cfRule type="cellIs" dxfId="3720" priority="1317" operator="equal">
      <formula>"x"</formula>
    </cfRule>
  </conditionalFormatting>
  <conditionalFormatting sqref="AZ12:AZ15 AZ18:AZ19 AZ25:AZ30 AZ32:AZ36 AZ23">
    <cfRule type="cellIs" dxfId="3719" priority="1316" operator="equal">
      <formula>"x"</formula>
    </cfRule>
  </conditionalFormatting>
  <conditionalFormatting sqref="AZ15 AZ23 AZ29:AZ30 AZ36">
    <cfRule type="cellIs" dxfId="3718" priority="1315" operator="notEqual">
      <formula>"x"</formula>
    </cfRule>
  </conditionalFormatting>
  <conditionalFormatting sqref="BB15 BB23 BB29:BB30 BB36">
    <cfRule type="cellIs" dxfId="3717" priority="1314" operator="notEqual">
      <formula>"x"</formula>
    </cfRule>
  </conditionalFormatting>
  <conditionalFormatting sqref="BD32:BD36 BD25:BD30 BD18:BD19 BD12:BD15 BD23">
    <cfRule type="cellIs" dxfId="3716" priority="1313" operator="equal">
      <formula>"x"</formula>
    </cfRule>
  </conditionalFormatting>
  <conditionalFormatting sqref="BD15 BD23 BD29:BD30 BD36">
    <cfRule type="cellIs" dxfId="3715" priority="1312" operator="notEqual">
      <formula>"x"</formula>
    </cfRule>
  </conditionalFormatting>
  <conditionalFormatting sqref="BB11">
    <cfRule type="cellIs" dxfId="3714" priority="1311" operator="equal">
      <formula>"x"</formula>
    </cfRule>
  </conditionalFormatting>
  <conditionalFormatting sqref="AZ11">
    <cfRule type="cellIs" dxfId="3713" priority="1310" operator="equal">
      <formula>"x"</formula>
    </cfRule>
  </conditionalFormatting>
  <conditionalFormatting sqref="BD11">
    <cfRule type="cellIs" dxfId="3712" priority="1309" operator="equal">
      <formula>"x"</formula>
    </cfRule>
  </conditionalFormatting>
  <conditionalFormatting sqref="BB10">
    <cfRule type="cellIs" dxfId="3711" priority="1308" operator="equal">
      <formula>"x"</formula>
    </cfRule>
  </conditionalFormatting>
  <conditionalFormatting sqref="AZ10">
    <cfRule type="cellIs" dxfId="3710" priority="1307" operator="equal">
      <formula>"x"</formula>
    </cfRule>
  </conditionalFormatting>
  <conditionalFormatting sqref="BD10">
    <cfRule type="cellIs" dxfId="3709" priority="1306" operator="equal">
      <formula>"x"</formula>
    </cfRule>
  </conditionalFormatting>
  <conditionalFormatting sqref="BD37">
    <cfRule type="cellIs" dxfId="3708" priority="1267" operator="notEqual">
      <formula>"x"</formula>
    </cfRule>
  </conditionalFormatting>
  <conditionalFormatting sqref="BB17">
    <cfRule type="cellIs" dxfId="3707" priority="1305" operator="equal">
      <formula>"x"</formula>
    </cfRule>
  </conditionalFormatting>
  <conditionalFormatting sqref="AZ17">
    <cfRule type="cellIs" dxfId="3706" priority="1304" operator="equal">
      <formula>"x"</formula>
    </cfRule>
  </conditionalFormatting>
  <conditionalFormatting sqref="BD17">
    <cfRule type="cellIs" dxfId="3705" priority="1303" operator="equal">
      <formula>"x"</formula>
    </cfRule>
  </conditionalFormatting>
  <conditionalFormatting sqref="BB24">
    <cfRule type="cellIs" dxfId="3704" priority="1302" operator="equal">
      <formula>"x"</formula>
    </cfRule>
  </conditionalFormatting>
  <conditionalFormatting sqref="AZ24">
    <cfRule type="cellIs" dxfId="3703" priority="1301" operator="equal">
      <formula>"x"</formula>
    </cfRule>
  </conditionalFormatting>
  <conditionalFormatting sqref="BD24">
    <cfRule type="cellIs" dxfId="3702" priority="1300" operator="equal">
      <formula>"x"</formula>
    </cfRule>
  </conditionalFormatting>
  <conditionalFormatting sqref="BB31">
    <cfRule type="cellIs" dxfId="3701" priority="1299" operator="equal">
      <formula>"x"</formula>
    </cfRule>
  </conditionalFormatting>
  <conditionalFormatting sqref="AZ31">
    <cfRule type="cellIs" dxfId="3700" priority="1298" operator="equal">
      <formula>"x"</formula>
    </cfRule>
  </conditionalFormatting>
  <conditionalFormatting sqref="BD31">
    <cfRule type="cellIs" dxfId="3699" priority="1297" operator="equal">
      <formula>"x"</formula>
    </cfRule>
  </conditionalFormatting>
  <conditionalFormatting sqref="BB9">
    <cfRule type="cellIs" dxfId="3698" priority="1296" operator="equal">
      <formula>"x"</formula>
    </cfRule>
  </conditionalFormatting>
  <conditionalFormatting sqref="AZ9">
    <cfRule type="cellIs" dxfId="3697" priority="1295" operator="equal">
      <formula>"x"</formula>
    </cfRule>
  </conditionalFormatting>
  <conditionalFormatting sqref="AZ9">
    <cfRule type="cellIs" dxfId="3696" priority="1294" operator="notEqual">
      <formula>"x"</formula>
    </cfRule>
  </conditionalFormatting>
  <conditionalFormatting sqref="BB9">
    <cfRule type="cellIs" dxfId="3695" priority="1293" operator="notEqual">
      <formula>"x"</formula>
    </cfRule>
  </conditionalFormatting>
  <conditionalFormatting sqref="BD9">
    <cfRule type="cellIs" dxfId="3694" priority="1292" operator="equal">
      <formula>"x"</formula>
    </cfRule>
  </conditionalFormatting>
  <conditionalFormatting sqref="BD9">
    <cfRule type="cellIs" dxfId="3693" priority="1291" operator="notEqual">
      <formula>"x"</formula>
    </cfRule>
  </conditionalFormatting>
  <conditionalFormatting sqref="BB8">
    <cfRule type="cellIs" dxfId="3692" priority="1290" operator="equal">
      <formula>"x"</formula>
    </cfRule>
  </conditionalFormatting>
  <conditionalFormatting sqref="AZ8">
    <cfRule type="cellIs" dxfId="3691" priority="1289" operator="equal">
      <formula>"x"</formula>
    </cfRule>
  </conditionalFormatting>
  <conditionalFormatting sqref="AZ8">
    <cfRule type="cellIs" dxfId="3690" priority="1288" operator="notEqual">
      <formula>"x"</formula>
    </cfRule>
  </conditionalFormatting>
  <conditionalFormatting sqref="BB8">
    <cfRule type="cellIs" dxfId="3689" priority="1287" operator="notEqual">
      <formula>"x"</formula>
    </cfRule>
  </conditionalFormatting>
  <conditionalFormatting sqref="BD8">
    <cfRule type="cellIs" dxfId="3688" priority="1286" operator="equal">
      <formula>"x"</formula>
    </cfRule>
  </conditionalFormatting>
  <conditionalFormatting sqref="BD8">
    <cfRule type="cellIs" dxfId="3687" priority="1285" operator="notEqual">
      <formula>"x"</formula>
    </cfRule>
  </conditionalFormatting>
  <conditionalFormatting sqref="BB16">
    <cfRule type="cellIs" dxfId="3686" priority="1284" operator="equal">
      <formula>"x"</formula>
    </cfRule>
  </conditionalFormatting>
  <conditionalFormatting sqref="AZ16">
    <cfRule type="cellIs" dxfId="3685" priority="1283" operator="equal">
      <formula>"x"</formula>
    </cfRule>
  </conditionalFormatting>
  <conditionalFormatting sqref="AZ16">
    <cfRule type="cellIs" dxfId="3684" priority="1282" operator="notEqual">
      <formula>"x"</formula>
    </cfRule>
  </conditionalFormatting>
  <conditionalFormatting sqref="BB16">
    <cfRule type="cellIs" dxfId="3683" priority="1281" operator="notEqual">
      <formula>"x"</formula>
    </cfRule>
  </conditionalFormatting>
  <conditionalFormatting sqref="BD16">
    <cfRule type="cellIs" dxfId="3682" priority="1280" operator="equal">
      <formula>"x"</formula>
    </cfRule>
  </conditionalFormatting>
  <conditionalFormatting sqref="BD16">
    <cfRule type="cellIs" dxfId="3681" priority="1279" operator="notEqual">
      <formula>"x"</formula>
    </cfRule>
  </conditionalFormatting>
  <conditionalFormatting sqref="BB22">
    <cfRule type="cellIs" dxfId="3680" priority="1278" operator="equal">
      <formula>"x"</formula>
    </cfRule>
  </conditionalFormatting>
  <conditionalFormatting sqref="AZ22">
    <cfRule type="cellIs" dxfId="3679" priority="1277" operator="equal">
      <formula>"x"</formula>
    </cfRule>
  </conditionalFormatting>
  <conditionalFormatting sqref="AZ22">
    <cfRule type="cellIs" dxfId="3678" priority="1276" operator="notEqual">
      <formula>"x"</formula>
    </cfRule>
  </conditionalFormatting>
  <conditionalFormatting sqref="BB22">
    <cfRule type="cellIs" dxfId="3677" priority="1275" operator="notEqual">
      <formula>"x"</formula>
    </cfRule>
  </conditionalFormatting>
  <conditionalFormatting sqref="BD22">
    <cfRule type="cellIs" dxfId="3676" priority="1274" operator="equal">
      <formula>"x"</formula>
    </cfRule>
  </conditionalFormatting>
  <conditionalFormatting sqref="BB37">
    <cfRule type="cellIs" dxfId="3675" priority="1272" operator="equal">
      <formula>"x"</formula>
    </cfRule>
  </conditionalFormatting>
  <conditionalFormatting sqref="AZ37">
    <cfRule type="cellIs" dxfId="3674" priority="1271" operator="equal">
      <formula>"x"</formula>
    </cfRule>
  </conditionalFormatting>
  <conditionalFormatting sqref="BB37">
    <cfRule type="cellIs" dxfId="3673" priority="1269" operator="notEqual">
      <formula>"x"</formula>
    </cfRule>
  </conditionalFormatting>
  <conditionalFormatting sqref="BD37">
    <cfRule type="cellIs" dxfId="3672" priority="1268" operator="equal">
      <formula>"x"</formula>
    </cfRule>
  </conditionalFormatting>
  <conditionalFormatting sqref="BB38">
    <cfRule type="cellIs" dxfId="3671" priority="1266" operator="equal">
      <formula>"x"</formula>
    </cfRule>
  </conditionalFormatting>
  <conditionalFormatting sqref="AZ38">
    <cfRule type="cellIs" dxfId="3670" priority="1265" operator="equal">
      <formula>"x"</formula>
    </cfRule>
  </conditionalFormatting>
  <conditionalFormatting sqref="BD38">
    <cfRule type="cellIs" dxfId="3669" priority="1264" operator="equal">
      <formula>"x"</formula>
    </cfRule>
  </conditionalFormatting>
  <conditionalFormatting sqref="BB39">
    <cfRule type="cellIs" dxfId="3668" priority="1263" operator="equal">
      <formula>"x"</formula>
    </cfRule>
  </conditionalFormatting>
  <conditionalFormatting sqref="AZ39">
    <cfRule type="cellIs" dxfId="3667" priority="1262" operator="equal">
      <formula>"x"</formula>
    </cfRule>
  </conditionalFormatting>
  <conditionalFormatting sqref="BD39">
    <cfRule type="cellIs" dxfId="3666" priority="1261" operator="equal">
      <formula>"x"</formula>
    </cfRule>
  </conditionalFormatting>
  <conditionalFormatting sqref="BB20">
    <cfRule type="cellIs" dxfId="3665" priority="1260" operator="equal">
      <formula>"x"</formula>
    </cfRule>
  </conditionalFormatting>
  <conditionalFormatting sqref="AZ20">
    <cfRule type="cellIs" dxfId="3664" priority="1259" operator="equal">
      <formula>"x"</formula>
    </cfRule>
  </conditionalFormatting>
  <conditionalFormatting sqref="BD20">
    <cfRule type="cellIs" dxfId="3663" priority="1258" operator="equal">
      <formula>"x"</formula>
    </cfRule>
  </conditionalFormatting>
  <conditionalFormatting sqref="BB21">
    <cfRule type="cellIs" dxfId="3662" priority="1257" operator="equal">
      <formula>"x"</formula>
    </cfRule>
  </conditionalFormatting>
  <conditionalFormatting sqref="AZ21">
    <cfRule type="cellIs" dxfId="3661" priority="1256" operator="equal">
      <formula>"x"</formula>
    </cfRule>
  </conditionalFormatting>
  <conditionalFormatting sqref="BD21">
    <cfRule type="cellIs" dxfId="3660" priority="1255" operator="equal">
      <formula>"x"</formula>
    </cfRule>
  </conditionalFormatting>
  <conditionalFormatting sqref="BB6:BB7">
    <cfRule type="cellIs" dxfId="3659" priority="1254" operator="equal">
      <formula>"x"</formula>
    </cfRule>
  </conditionalFormatting>
  <conditionalFormatting sqref="AZ6:AZ7">
    <cfRule type="cellIs" dxfId="3658" priority="1253" operator="equal">
      <formula>"x"</formula>
    </cfRule>
  </conditionalFormatting>
  <conditionalFormatting sqref="BD6:BD7">
    <cfRule type="cellIs" dxfId="3657" priority="1252" operator="equal">
      <formula>"x"</formula>
    </cfRule>
  </conditionalFormatting>
  <conditionalFormatting sqref="AZ5">
    <cfRule type="cellIs" dxfId="3656" priority="1251" operator="equal">
      <formula>"x"</formula>
    </cfRule>
  </conditionalFormatting>
  <conditionalFormatting sqref="BB5">
    <cfRule type="cellIs" dxfId="3655" priority="1250" operator="equal">
      <formula>"x"</formula>
    </cfRule>
  </conditionalFormatting>
  <conditionalFormatting sqref="BD5">
    <cfRule type="cellIs" dxfId="3654" priority="1249" operator="equal">
      <formula>"x"</formula>
    </cfRule>
  </conditionalFormatting>
  <conditionalFormatting sqref="BL22">
    <cfRule type="cellIs" dxfId="3653" priority="1209" operator="notEqual">
      <formula>"x"</formula>
    </cfRule>
  </conditionalFormatting>
  <conditionalFormatting sqref="BH37">
    <cfRule type="cellIs" dxfId="3652" priority="1206" operator="notEqual">
      <formula>"x"</formula>
    </cfRule>
  </conditionalFormatting>
  <conditionalFormatting sqref="BJ32:BJ36 BJ25:BJ30 BJ18:BJ19 BJ12:BJ15 BJ23">
    <cfRule type="cellIs" dxfId="3651" priority="1248" operator="equal">
      <formula>"x"</formula>
    </cfRule>
  </conditionalFormatting>
  <conditionalFormatting sqref="BH12:BH15 BH18:BH19 BH25:BH30 BH32:BH36 BH23">
    <cfRule type="cellIs" dxfId="3650" priority="1247" operator="equal">
      <formula>"x"</formula>
    </cfRule>
  </conditionalFormatting>
  <conditionalFormatting sqref="BH15 BH23 BH29:BH30 BH36">
    <cfRule type="cellIs" dxfId="3649" priority="1246" operator="notEqual">
      <formula>"x"</formula>
    </cfRule>
  </conditionalFormatting>
  <conditionalFormatting sqref="BJ15 BJ23 BJ29:BJ30 BJ36">
    <cfRule type="cellIs" dxfId="3648" priority="1245" operator="notEqual">
      <formula>"x"</formula>
    </cfRule>
  </conditionalFormatting>
  <conditionalFormatting sqref="BL32:BL36 BL25:BL30 BL18:BL19 BL12:BL15 BL23">
    <cfRule type="cellIs" dxfId="3647" priority="1244" operator="equal">
      <formula>"x"</formula>
    </cfRule>
  </conditionalFormatting>
  <conditionalFormatting sqref="BL15 BL23 BL29:BL30 BL36">
    <cfRule type="cellIs" dxfId="3646" priority="1243" operator="notEqual">
      <formula>"x"</formula>
    </cfRule>
  </conditionalFormatting>
  <conditionalFormatting sqref="BJ11">
    <cfRule type="cellIs" dxfId="3645" priority="1242" operator="equal">
      <formula>"x"</formula>
    </cfRule>
  </conditionalFormatting>
  <conditionalFormatting sqref="BH11">
    <cfRule type="cellIs" dxfId="3644" priority="1241" operator="equal">
      <formula>"x"</formula>
    </cfRule>
  </conditionalFormatting>
  <conditionalFormatting sqref="BL11">
    <cfRule type="cellIs" dxfId="3643" priority="1240" operator="equal">
      <formula>"x"</formula>
    </cfRule>
  </conditionalFormatting>
  <conditionalFormatting sqref="BJ10">
    <cfRule type="cellIs" dxfId="3642" priority="1239" operator="equal">
      <formula>"x"</formula>
    </cfRule>
  </conditionalFormatting>
  <conditionalFormatting sqref="BH10">
    <cfRule type="cellIs" dxfId="3641" priority="1238" operator="equal">
      <formula>"x"</formula>
    </cfRule>
  </conditionalFormatting>
  <conditionalFormatting sqref="BL10">
    <cfRule type="cellIs" dxfId="3640" priority="1237" operator="equal">
      <formula>"x"</formula>
    </cfRule>
  </conditionalFormatting>
  <conditionalFormatting sqref="BL37">
    <cfRule type="cellIs" dxfId="3639" priority="1203" operator="notEqual">
      <formula>"x"</formula>
    </cfRule>
  </conditionalFormatting>
  <conditionalFormatting sqref="BI17">
    <cfRule type="cellIs" dxfId="3638" priority="1236" operator="equal">
      <formula>"x"</formula>
    </cfRule>
  </conditionalFormatting>
  <conditionalFormatting sqref="BH17">
    <cfRule type="cellIs" dxfId="3637" priority="1235" operator="equal">
      <formula>"x"</formula>
    </cfRule>
  </conditionalFormatting>
  <conditionalFormatting sqref="BH24">
    <cfRule type="cellIs" dxfId="3636" priority="1234" operator="equal">
      <formula>"x"</formula>
    </cfRule>
  </conditionalFormatting>
  <conditionalFormatting sqref="BH31">
    <cfRule type="cellIs" dxfId="3635" priority="1233" operator="equal">
      <formula>"x"</formula>
    </cfRule>
  </conditionalFormatting>
  <conditionalFormatting sqref="BJ9">
    <cfRule type="cellIs" dxfId="3634" priority="1232" operator="equal">
      <formula>"x"</formula>
    </cfRule>
  </conditionalFormatting>
  <conditionalFormatting sqref="BH9">
    <cfRule type="cellIs" dxfId="3633" priority="1231" operator="equal">
      <formula>"x"</formula>
    </cfRule>
  </conditionalFormatting>
  <conditionalFormatting sqref="BH9">
    <cfRule type="cellIs" dxfId="3632" priority="1230" operator="notEqual">
      <formula>"x"</formula>
    </cfRule>
  </conditionalFormatting>
  <conditionalFormatting sqref="BJ9">
    <cfRule type="cellIs" dxfId="3631" priority="1229" operator="notEqual">
      <formula>"x"</formula>
    </cfRule>
  </conditionalFormatting>
  <conditionalFormatting sqref="BL9">
    <cfRule type="cellIs" dxfId="3630" priority="1228" operator="equal">
      <formula>"x"</formula>
    </cfRule>
  </conditionalFormatting>
  <conditionalFormatting sqref="BL9">
    <cfRule type="cellIs" dxfId="3629" priority="1227" operator="notEqual">
      <formula>"x"</formula>
    </cfRule>
  </conditionalFormatting>
  <conditionalFormatting sqref="BJ8">
    <cfRule type="cellIs" dxfId="3628" priority="1226" operator="equal">
      <formula>"x"</formula>
    </cfRule>
  </conditionalFormatting>
  <conditionalFormatting sqref="BH8">
    <cfRule type="cellIs" dxfId="3627" priority="1225" operator="equal">
      <formula>"x"</formula>
    </cfRule>
  </conditionalFormatting>
  <conditionalFormatting sqref="BH8">
    <cfRule type="cellIs" dxfId="3626" priority="1224" operator="notEqual">
      <formula>"x"</formula>
    </cfRule>
  </conditionalFormatting>
  <conditionalFormatting sqref="BJ8">
    <cfRule type="cellIs" dxfId="3625" priority="1223" operator="notEqual">
      <formula>"x"</formula>
    </cfRule>
  </conditionalFormatting>
  <conditionalFormatting sqref="BL8">
    <cfRule type="cellIs" dxfId="3624" priority="1222" operator="equal">
      <formula>"x"</formula>
    </cfRule>
  </conditionalFormatting>
  <conditionalFormatting sqref="BL8">
    <cfRule type="cellIs" dxfId="3623" priority="1221" operator="notEqual">
      <formula>"x"</formula>
    </cfRule>
  </conditionalFormatting>
  <conditionalFormatting sqref="BJ16">
    <cfRule type="cellIs" dxfId="3622" priority="1220" operator="equal">
      <formula>"x"</formula>
    </cfRule>
  </conditionalFormatting>
  <conditionalFormatting sqref="BH16">
    <cfRule type="cellIs" dxfId="3621" priority="1219" operator="equal">
      <formula>"x"</formula>
    </cfRule>
  </conditionalFormatting>
  <conditionalFormatting sqref="BH16">
    <cfRule type="cellIs" dxfId="3620" priority="1218" operator="notEqual">
      <formula>"x"</formula>
    </cfRule>
  </conditionalFormatting>
  <conditionalFormatting sqref="BJ16">
    <cfRule type="cellIs" dxfId="3619" priority="1217" operator="notEqual">
      <formula>"x"</formula>
    </cfRule>
  </conditionalFormatting>
  <conditionalFormatting sqref="BL16">
    <cfRule type="cellIs" dxfId="3618" priority="1216" operator="equal">
      <formula>"x"</formula>
    </cfRule>
  </conditionalFormatting>
  <conditionalFormatting sqref="BL16">
    <cfRule type="cellIs" dxfId="3617" priority="1215" operator="notEqual">
      <formula>"x"</formula>
    </cfRule>
  </conditionalFormatting>
  <conditionalFormatting sqref="BJ22">
    <cfRule type="cellIs" dxfId="3616" priority="1214" operator="equal">
      <formula>"x"</formula>
    </cfRule>
  </conditionalFormatting>
  <conditionalFormatting sqref="BH22">
    <cfRule type="cellIs" dxfId="3615" priority="1213" operator="equal">
      <formula>"x"</formula>
    </cfRule>
  </conditionalFormatting>
  <conditionalFormatting sqref="BH22">
    <cfRule type="cellIs" dxfId="3614" priority="1212" operator="notEqual">
      <formula>"x"</formula>
    </cfRule>
  </conditionalFormatting>
  <conditionalFormatting sqref="BJ22">
    <cfRule type="cellIs" dxfId="3613" priority="1211" operator="notEqual">
      <formula>"x"</formula>
    </cfRule>
  </conditionalFormatting>
  <conditionalFormatting sqref="BL22">
    <cfRule type="cellIs" dxfId="3612" priority="1210" operator="equal">
      <formula>"x"</formula>
    </cfRule>
  </conditionalFormatting>
  <conditionalFormatting sqref="BJ37">
    <cfRule type="cellIs" dxfId="3611" priority="1208" operator="equal">
      <formula>"x"</formula>
    </cfRule>
  </conditionalFormatting>
  <conditionalFormatting sqref="BH37">
    <cfRule type="cellIs" dxfId="3610" priority="1207" operator="equal">
      <formula>"x"</formula>
    </cfRule>
  </conditionalFormatting>
  <conditionalFormatting sqref="BJ37">
    <cfRule type="cellIs" dxfId="3609" priority="1205" operator="notEqual">
      <formula>"x"</formula>
    </cfRule>
  </conditionalFormatting>
  <conditionalFormatting sqref="BL37">
    <cfRule type="cellIs" dxfId="3608" priority="1204" operator="equal">
      <formula>"x"</formula>
    </cfRule>
  </conditionalFormatting>
  <conditionalFormatting sqref="BH38">
    <cfRule type="cellIs" dxfId="3607" priority="1202" operator="equal">
      <formula>"x"</formula>
    </cfRule>
  </conditionalFormatting>
  <conditionalFormatting sqref="BJ39">
    <cfRule type="cellIs" dxfId="3606" priority="1201" operator="equal">
      <formula>"x"</formula>
    </cfRule>
  </conditionalFormatting>
  <conditionalFormatting sqref="BH39">
    <cfRule type="cellIs" dxfId="3605" priority="1200" operator="equal">
      <formula>"x"</formula>
    </cfRule>
  </conditionalFormatting>
  <conditionalFormatting sqref="BL39">
    <cfRule type="cellIs" dxfId="3604" priority="1199" operator="equal">
      <formula>"x"</formula>
    </cfRule>
  </conditionalFormatting>
  <conditionalFormatting sqref="BJ20">
    <cfRule type="cellIs" dxfId="3603" priority="1198" operator="equal">
      <formula>"x"</formula>
    </cfRule>
  </conditionalFormatting>
  <conditionalFormatting sqref="BH20">
    <cfRule type="cellIs" dxfId="3602" priority="1197" operator="equal">
      <formula>"x"</formula>
    </cfRule>
  </conditionalFormatting>
  <conditionalFormatting sqref="BL20">
    <cfRule type="cellIs" dxfId="3601" priority="1196" operator="equal">
      <formula>"x"</formula>
    </cfRule>
  </conditionalFormatting>
  <conditionalFormatting sqref="BJ21">
    <cfRule type="cellIs" dxfId="3600" priority="1195" operator="equal">
      <formula>"x"</formula>
    </cfRule>
  </conditionalFormatting>
  <conditionalFormatting sqref="BH21">
    <cfRule type="cellIs" dxfId="3599" priority="1194" operator="equal">
      <formula>"x"</formula>
    </cfRule>
  </conditionalFormatting>
  <conditionalFormatting sqref="BL21">
    <cfRule type="cellIs" dxfId="3598" priority="1193" operator="equal">
      <formula>"x"</formula>
    </cfRule>
  </conditionalFormatting>
  <conditionalFormatting sqref="BJ6:BJ7">
    <cfRule type="cellIs" dxfId="3597" priority="1192" operator="equal">
      <formula>"x"</formula>
    </cfRule>
  </conditionalFormatting>
  <conditionalFormatting sqref="BH6:BH7">
    <cfRule type="cellIs" dxfId="3596" priority="1191" operator="equal">
      <formula>"x"</formula>
    </cfRule>
  </conditionalFormatting>
  <conditionalFormatting sqref="BL6:BL7">
    <cfRule type="cellIs" dxfId="3595" priority="1190" operator="equal">
      <formula>"x"</formula>
    </cfRule>
  </conditionalFormatting>
  <conditionalFormatting sqref="BH5">
    <cfRule type="cellIs" dxfId="3594" priority="1189" operator="equal">
      <formula>"x"</formula>
    </cfRule>
  </conditionalFormatting>
  <conditionalFormatting sqref="BJ5">
    <cfRule type="cellIs" dxfId="3593" priority="1188" operator="equal">
      <formula>"x"</formula>
    </cfRule>
  </conditionalFormatting>
  <conditionalFormatting sqref="BL5">
    <cfRule type="cellIs" dxfId="3592" priority="1187" operator="equal">
      <formula>"x"</formula>
    </cfRule>
  </conditionalFormatting>
  <conditionalFormatting sqref="BT22">
    <cfRule type="cellIs" dxfId="3591" priority="1146" operator="notEqual">
      <formula>"x"</formula>
    </cfRule>
  </conditionalFormatting>
  <conditionalFormatting sqref="BP37">
    <cfRule type="cellIs" dxfId="3590" priority="1143" operator="notEqual">
      <formula>"x"</formula>
    </cfRule>
  </conditionalFormatting>
  <conditionalFormatting sqref="BR32:BR36 BR25:BR30 BR18:BR19 BR12:BR15 BR23">
    <cfRule type="cellIs" dxfId="3589" priority="1186" operator="equal">
      <formula>"x"</formula>
    </cfRule>
  </conditionalFormatting>
  <conditionalFormatting sqref="BP12:BP15 BP18:BP19 BP25:BP30 BP32:BP36 BP23">
    <cfRule type="cellIs" dxfId="3588" priority="1185" operator="equal">
      <formula>"x"</formula>
    </cfRule>
  </conditionalFormatting>
  <conditionalFormatting sqref="BP15 BP23 BP29:BP30 BP36">
    <cfRule type="cellIs" dxfId="3587" priority="1184" operator="notEqual">
      <formula>"x"</formula>
    </cfRule>
  </conditionalFormatting>
  <conditionalFormatting sqref="BR15 BR23 BR29:BR30 BR36">
    <cfRule type="cellIs" dxfId="3586" priority="1183" operator="notEqual">
      <formula>"x"</formula>
    </cfRule>
  </conditionalFormatting>
  <conditionalFormatting sqref="BT32:BT36 BT25:BT30 BT18:BT19 BT12:BT15 BT23">
    <cfRule type="cellIs" dxfId="3585" priority="1182" operator="equal">
      <formula>"x"</formula>
    </cfRule>
  </conditionalFormatting>
  <conditionalFormatting sqref="BT15 BT23 BT29:BT30 BT36">
    <cfRule type="cellIs" dxfId="3584" priority="1181" operator="notEqual">
      <formula>"x"</formula>
    </cfRule>
  </conditionalFormatting>
  <conditionalFormatting sqref="BR11">
    <cfRule type="cellIs" dxfId="3583" priority="1180" operator="equal">
      <formula>"x"</formula>
    </cfRule>
  </conditionalFormatting>
  <conditionalFormatting sqref="BP11">
    <cfRule type="cellIs" dxfId="3582" priority="1179" operator="equal">
      <formula>"x"</formula>
    </cfRule>
  </conditionalFormatting>
  <conditionalFormatting sqref="BT11">
    <cfRule type="cellIs" dxfId="3581" priority="1178" operator="equal">
      <formula>"x"</formula>
    </cfRule>
  </conditionalFormatting>
  <conditionalFormatting sqref="BP10">
    <cfRule type="cellIs" dxfId="3580" priority="1177" operator="equal">
      <formula>"x"</formula>
    </cfRule>
  </conditionalFormatting>
  <conditionalFormatting sqref="BT37">
    <cfRule type="cellIs" dxfId="3579" priority="1140" operator="notEqual">
      <formula>"x"</formula>
    </cfRule>
  </conditionalFormatting>
  <conditionalFormatting sqref="BP17">
    <cfRule type="cellIs" dxfId="3578" priority="1176" operator="equal">
      <formula>"x"</formula>
    </cfRule>
  </conditionalFormatting>
  <conditionalFormatting sqref="BR24">
    <cfRule type="cellIs" dxfId="3577" priority="1175" operator="equal">
      <formula>"x"</formula>
    </cfRule>
  </conditionalFormatting>
  <conditionalFormatting sqref="BP24">
    <cfRule type="cellIs" dxfId="3576" priority="1174" operator="equal">
      <formula>"x"</formula>
    </cfRule>
  </conditionalFormatting>
  <conditionalFormatting sqref="BT24">
    <cfRule type="cellIs" dxfId="3575" priority="1173" operator="equal">
      <formula>"x"</formula>
    </cfRule>
  </conditionalFormatting>
  <conditionalFormatting sqref="BR31">
    <cfRule type="cellIs" dxfId="3574" priority="1172" operator="equal">
      <formula>"x"</formula>
    </cfRule>
  </conditionalFormatting>
  <conditionalFormatting sqref="BP31">
    <cfRule type="cellIs" dxfId="3573" priority="1171" operator="equal">
      <formula>"x"</formula>
    </cfRule>
  </conditionalFormatting>
  <conditionalFormatting sqref="BT31">
    <cfRule type="cellIs" dxfId="3572" priority="1170" operator="equal">
      <formula>"x"</formula>
    </cfRule>
  </conditionalFormatting>
  <conditionalFormatting sqref="BR9">
    <cfRule type="cellIs" dxfId="3571" priority="1169" operator="equal">
      <formula>"x"</formula>
    </cfRule>
  </conditionalFormatting>
  <conditionalFormatting sqref="BP9">
    <cfRule type="cellIs" dxfId="3570" priority="1168" operator="equal">
      <formula>"x"</formula>
    </cfRule>
  </conditionalFormatting>
  <conditionalFormatting sqref="BP9">
    <cfRule type="cellIs" dxfId="3569" priority="1167" operator="notEqual">
      <formula>"x"</formula>
    </cfRule>
  </conditionalFormatting>
  <conditionalFormatting sqref="BR9">
    <cfRule type="cellIs" dxfId="3568" priority="1166" operator="notEqual">
      <formula>"x"</formula>
    </cfRule>
  </conditionalFormatting>
  <conditionalFormatting sqref="BT9">
    <cfRule type="cellIs" dxfId="3567" priority="1165" operator="equal">
      <formula>"x"</formula>
    </cfRule>
  </conditionalFormatting>
  <conditionalFormatting sqref="BT9">
    <cfRule type="cellIs" dxfId="3566" priority="1164" operator="notEqual">
      <formula>"x"</formula>
    </cfRule>
  </conditionalFormatting>
  <conditionalFormatting sqref="BR8">
    <cfRule type="cellIs" dxfId="3565" priority="1163" operator="equal">
      <formula>"x"</formula>
    </cfRule>
  </conditionalFormatting>
  <conditionalFormatting sqref="BP8">
    <cfRule type="cellIs" dxfId="3564" priority="1162" operator="equal">
      <formula>"x"</formula>
    </cfRule>
  </conditionalFormatting>
  <conditionalFormatting sqref="BP8">
    <cfRule type="cellIs" dxfId="3563" priority="1161" operator="notEqual">
      <formula>"x"</formula>
    </cfRule>
  </conditionalFormatting>
  <conditionalFormatting sqref="BR8">
    <cfRule type="cellIs" dxfId="3562" priority="1160" operator="notEqual">
      <formula>"x"</formula>
    </cfRule>
  </conditionalFormatting>
  <conditionalFormatting sqref="BT8">
    <cfRule type="cellIs" dxfId="3561" priority="1159" operator="equal">
      <formula>"x"</formula>
    </cfRule>
  </conditionalFormatting>
  <conditionalFormatting sqref="BT8">
    <cfRule type="cellIs" dxfId="3560" priority="1158" operator="notEqual">
      <formula>"x"</formula>
    </cfRule>
  </conditionalFormatting>
  <conditionalFormatting sqref="BR16">
    <cfRule type="cellIs" dxfId="3559" priority="1157" operator="equal">
      <formula>"x"</formula>
    </cfRule>
  </conditionalFormatting>
  <conditionalFormatting sqref="BP16">
    <cfRule type="cellIs" dxfId="3558" priority="1156" operator="equal">
      <formula>"x"</formula>
    </cfRule>
  </conditionalFormatting>
  <conditionalFormatting sqref="BP16">
    <cfRule type="cellIs" dxfId="3557" priority="1155" operator="notEqual">
      <formula>"x"</formula>
    </cfRule>
  </conditionalFormatting>
  <conditionalFormatting sqref="BR16">
    <cfRule type="cellIs" dxfId="3556" priority="1154" operator="notEqual">
      <formula>"x"</formula>
    </cfRule>
  </conditionalFormatting>
  <conditionalFormatting sqref="BT16">
    <cfRule type="cellIs" dxfId="3555" priority="1153" operator="equal">
      <formula>"x"</formula>
    </cfRule>
  </conditionalFormatting>
  <conditionalFormatting sqref="BT16">
    <cfRule type="cellIs" dxfId="3554" priority="1152" operator="notEqual">
      <formula>"x"</formula>
    </cfRule>
  </conditionalFormatting>
  <conditionalFormatting sqref="BR22">
    <cfRule type="cellIs" dxfId="3553" priority="1151" operator="equal">
      <formula>"x"</formula>
    </cfRule>
  </conditionalFormatting>
  <conditionalFormatting sqref="BP22">
    <cfRule type="cellIs" dxfId="3552" priority="1150" operator="equal">
      <formula>"x"</formula>
    </cfRule>
  </conditionalFormatting>
  <conditionalFormatting sqref="BP22">
    <cfRule type="cellIs" dxfId="3551" priority="1149" operator="notEqual">
      <formula>"x"</formula>
    </cfRule>
  </conditionalFormatting>
  <conditionalFormatting sqref="BR22">
    <cfRule type="cellIs" dxfId="3550" priority="1148" operator="notEqual">
      <formula>"x"</formula>
    </cfRule>
  </conditionalFormatting>
  <conditionalFormatting sqref="BT22">
    <cfRule type="cellIs" dxfId="3549" priority="1147" operator="equal">
      <formula>"x"</formula>
    </cfRule>
  </conditionalFormatting>
  <conditionalFormatting sqref="BR37">
    <cfRule type="cellIs" dxfId="3548" priority="1145" operator="equal">
      <formula>"x"</formula>
    </cfRule>
  </conditionalFormatting>
  <conditionalFormatting sqref="BP37">
    <cfRule type="cellIs" dxfId="3547" priority="1144" operator="equal">
      <formula>"x"</formula>
    </cfRule>
  </conditionalFormatting>
  <conditionalFormatting sqref="BR37">
    <cfRule type="cellIs" dxfId="3546" priority="1142" operator="notEqual">
      <formula>"x"</formula>
    </cfRule>
  </conditionalFormatting>
  <conditionalFormatting sqref="BT37">
    <cfRule type="cellIs" dxfId="3545" priority="1141" operator="equal">
      <formula>"x"</formula>
    </cfRule>
  </conditionalFormatting>
  <conditionalFormatting sqref="BR38">
    <cfRule type="cellIs" dxfId="3544" priority="1139" operator="equal">
      <formula>"x"</formula>
    </cfRule>
  </conditionalFormatting>
  <conditionalFormatting sqref="BP38">
    <cfRule type="cellIs" dxfId="3543" priority="1138" operator="equal">
      <formula>"x"</formula>
    </cfRule>
  </conditionalFormatting>
  <conditionalFormatting sqref="BT38">
    <cfRule type="cellIs" dxfId="3542" priority="1137" operator="equal">
      <formula>"x"</formula>
    </cfRule>
  </conditionalFormatting>
  <conditionalFormatting sqref="BR39">
    <cfRule type="cellIs" dxfId="3541" priority="1136" operator="equal">
      <formula>"x"</formula>
    </cfRule>
  </conditionalFormatting>
  <conditionalFormatting sqref="BP39">
    <cfRule type="cellIs" dxfId="3540" priority="1135" operator="equal">
      <formula>"x"</formula>
    </cfRule>
  </conditionalFormatting>
  <conditionalFormatting sqref="BT39">
    <cfRule type="cellIs" dxfId="3539" priority="1134" operator="equal">
      <formula>"x"</formula>
    </cfRule>
  </conditionalFormatting>
  <conditionalFormatting sqref="BR20">
    <cfRule type="cellIs" dxfId="3538" priority="1133" operator="equal">
      <formula>"x"</formula>
    </cfRule>
  </conditionalFormatting>
  <conditionalFormatting sqref="BP20">
    <cfRule type="cellIs" dxfId="3537" priority="1132" operator="equal">
      <formula>"x"</formula>
    </cfRule>
  </conditionalFormatting>
  <conditionalFormatting sqref="BT20">
    <cfRule type="cellIs" dxfId="3536" priority="1131" operator="equal">
      <formula>"x"</formula>
    </cfRule>
  </conditionalFormatting>
  <conditionalFormatting sqref="BR21">
    <cfRule type="cellIs" dxfId="3535" priority="1130" operator="equal">
      <formula>"x"</formula>
    </cfRule>
  </conditionalFormatting>
  <conditionalFormatting sqref="BP21">
    <cfRule type="cellIs" dxfId="3534" priority="1129" operator="equal">
      <formula>"x"</formula>
    </cfRule>
  </conditionalFormatting>
  <conditionalFormatting sqref="BT21">
    <cfRule type="cellIs" dxfId="3533" priority="1128" operator="equal">
      <formula>"x"</formula>
    </cfRule>
  </conditionalFormatting>
  <conditionalFormatting sqref="BR6:BR7">
    <cfRule type="cellIs" dxfId="3532" priority="1127" operator="equal">
      <formula>"x"</formula>
    </cfRule>
  </conditionalFormatting>
  <conditionalFormatting sqref="BP6:BP7">
    <cfRule type="cellIs" dxfId="3531" priority="1126" operator="equal">
      <formula>"x"</formula>
    </cfRule>
  </conditionalFormatting>
  <conditionalFormatting sqref="BT6:BT7">
    <cfRule type="cellIs" dxfId="3530" priority="1125" operator="equal">
      <formula>"x"</formula>
    </cfRule>
  </conditionalFormatting>
  <conditionalFormatting sqref="BP5">
    <cfRule type="cellIs" dxfId="3529" priority="1124" operator="equal">
      <formula>"x"</formula>
    </cfRule>
  </conditionalFormatting>
  <conditionalFormatting sqref="BR5">
    <cfRule type="cellIs" dxfId="3528" priority="1123" operator="equal">
      <formula>"x"</formula>
    </cfRule>
  </conditionalFormatting>
  <conditionalFormatting sqref="BT5">
    <cfRule type="cellIs" dxfId="3527" priority="1122" operator="equal">
      <formula>"x"</formula>
    </cfRule>
  </conditionalFormatting>
  <conditionalFormatting sqref="BP4">
    <cfRule type="cellIs" dxfId="3526" priority="1121" operator="equal">
      <formula>"x"</formula>
    </cfRule>
  </conditionalFormatting>
  <conditionalFormatting sqref="BR4">
    <cfRule type="cellIs" dxfId="3525" priority="1120" operator="equal">
      <formula>"x"</formula>
    </cfRule>
  </conditionalFormatting>
  <conditionalFormatting sqref="BT4">
    <cfRule type="cellIs" dxfId="3524" priority="1119" operator="equal">
      <formula>"x"</formula>
    </cfRule>
  </conditionalFormatting>
  <conditionalFormatting sqref="CB22">
    <cfRule type="cellIs" dxfId="3523" priority="1079" operator="notEqual">
      <formula>"x"</formula>
    </cfRule>
  </conditionalFormatting>
  <conditionalFormatting sqref="BX37">
    <cfRule type="cellIs" dxfId="3522" priority="1076" operator="notEqual">
      <formula>"x"</formula>
    </cfRule>
  </conditionalFormatting>
  <conditionalFormatting sqref="BZ32:BZ36 BZ25:BZ30 BZ18:BZ19 BZ12:BZ15 BZ23">
    <cfRule type="cellIs" dxfId="3521" priority="1118" operator="equal">
      <formula>"x"</formula>
    </cfRule>
  </conditionalFormatting>
  <conditionalFormatting sqref="BX12:BX15 BX18:BX19 BX25:BX30 BX32:BX36 BX23">
    <cfRule type="cellIs" dxfId="3520" priority="1117" operator="equal">
      <formula>"x"</formula>
    </cfRule>
  </conditionalFormatting>
  <conditionalFormatting sqref="BX15 BX23 BX29:BX30 BX36">
    <cfRule type="cellIs" dxfId="3519" priority="1116" operator="notEqual">
      <formula>"x"</formula>
    </cfRule>
  </conditionalFormatting>
  <conditionalFormatting sqref="BZ15 BZ23 BZ29:BZ30 BZ36">
    <cfRule type="cellIs" dxfId="3518" priority="1115" operator="notEqual">
      <formula>"x"</formula>
    </cfRule>
  </conditionalFormatting>
  <conditionalFormatting sqref="CB32:CB36 CB25:CB30 CB18:CB19 CB12:CB15 CB23">
    <cfRule type="cellIs" dxfId="3517" priority="1114" operator="equal">
      <formula>"x"</formula>
    </cfRule>
  </conditionalFormatting>
  <conditionalFormatting sqref="CB15 CB23 CB29:CB30 CB36">
    <cfRule type="cellIs" dxfId="3516" priority="1113" operator="notEqual">
      <formula>"x"</formula>
    </cfRule>
  </conditionalFormatting>
  <conditionalFormatting sqref="BZ11">
    <cfRule type="cellIs" dxfId="3515" priority="1112" operator="equal">
      <formula>"x"</formula>
    </cfRule>
  </conditionalFormatting>
  <conditionalFormatting sqref="BX11">
    <cfRule type="cellIs" dxfId="3514" priority="1111" operator="equal">
      <formula>"x"</formula>
    </cfRule>
  </conditionalFormatting>
  <conditionalFormatting sqref="CB11">
    <cfRule type="cellIs" dxfId="3513" priority="1110" operator="equal">
      <formula>"x"</formula>
    </cfRule>
  </conditionalFormatting>
  <conditionalFormatting sqref="BZ10">
    <cfRule type="cellIs" dxfId="3512" priority="1109" operator="equal">
      <formula>"x"</formula>
    </cfRule>
  </conditionalFormatting>
  <conditionalFormatting sqref="BX10">
    <cfRule type="cellIs" dxfId="3511" priority="1108" operator="equal">
      <formula>"x"</formula>
    </cfRule>
  </conditionalFormatting>
  <conditionalFormatting sqref="CB10">
    <cfRule type="cellIs" dxfId="3510" priority="1107" operator="equal">
      <formula>"x"</formula>
    </cfRule>
  </conditionalFormatting>
  <conditionalFormatting sqref="CB37">
    <cfRule type="cellIs" dxfId="3509" priority="1073" operator="notEqual">
      <formula>"x"</formula>
    </cfRule>
  </conditionalFormatting>
  <conditionalFormatting sqref="BY17">
    <cfRule type="cellIs" dxfId="3508" priority="1106" operator="equal">
      <formula>"x"</formula>
    </cfRule>
  </conditionalFormatting>
  <conditionalFormatting sqref="BX17">
    <cfRule type="cellIs" dxfId="3507" priority="1105" operator="equal">
      <formula>"x"</formula>
    </cfRule>
  </conditionalFormatting>
  <conditionalFormatting sqref="BX24">
    <cfRule type="cellIs" dxfId="3506" priority="1104" operator="equal">
      <formula>"x"</formula>
    </cfRule>
  </conditionalFormatting>
  <conditionalFormatting sqref="BX31">
    <cfRule type="cellIs" dxfId="3505" priority="1103" operator="equal">
      <formula>"x"</formula>
    </cfRule>
  </conditionalFormatting>
  <conditionalFormatting sqref="BZ9">
    <cfRule type="cellIs" dxfId="3504" priority="1102" operator="equal">
      <formula>"x"</formula>
    </cfRule>
  </conditionalFormatting>
  <conditionalFormatting sqref="BX9">
    <cfRule type="cellIs" dxfId="3503" priority="1101" operator="equal">
      <formula>"x"</formula>
    </cfRule>
  </conditionalFormatting>
  <conditionalFormatting sqref="BX9">
    <cfRule type="cellIs" dxfId="3502" priority="1100" operator="notEqual">
      <formula>"x"</formula>
    </cfRule>
  </conditionalFormatting>
  <conditionalFormatting sqref="BZ9">
    <cfRule type="cellIs" dxfId="3501" priority="1099" operator="notEqual">
      <formula>"x"</formula>
    </cfRule>
  </conditionalFormatting>
  <conditionalFormatting sqref="CB9">
    <cfRule type="cellIs" dxfId="3500" priority="1098" operator="equal">
      <formula>"x"</formula>
    </cfRule>
  </conditionalFormatting>
  <conditionalFormatting sqref="CB9">
    <cfRule type="cellIs" dxfId="3499" priority="1097" operator="notEqual">
      <formula>"x"</formula>
    </cfRule>
  </conditionalFormatting>
  <conditionalFormatting sqref="BZ8">
    <cfRule type="cellIs" dxfId="3498" priority="1096" operator="equal">
      <formula>"x"</formula>
    </cfRule>
  </conditionalFormatting>
  <conditionalFormatting sqref="BX8">
    <cfRule type="cellIs" dxfId="3497" priority="1095" operator="equal">
      <formula>"x"</formula>
    </cfRule>
  </conditionalFormatting>
  <conditionalFormatting sqref="BX8">
    <cfRule type="cellIs" dxfId="3496" priority="1094" operator="notEqual">
      <formula>"x"</formula>
    </cfRule>
  </conditionalFormatting>
  <conditionalFormatting sqref="BZ8">
    <cfRule type="cellIs" dxfId="3495" priority="1093" operator="notEqual">
      <formula>"x"</formula>
    </cfRule>
  </conditionalFormatting>
  <conditionalFormatting sqref="CB8">
    <cfRule type="cellIs" dxfId="3494" priority="1092" operator="equal">
      <formula>"x"</formula>
    </cfRule>
  </conditionalFormatting>
  <conditionalFormatting sqref="CB8">
    <cfRule type="cellIs" dxfId="3493" priority="1091" operator="notEqual">
      <formula>"x"</formula>
    </cfRule>
  </conditionalFormatting>
  <conditionalFormatting sqref="BZ16">
    <cfRule type="cellIs" dxfId="3492" priority="1090" operator="equal">
      <formula>"x"</formula>
    </cfRule>
  </conditionalFormatting>
  <conditionalFormatting sqref="BX16">
    <cfRule type="cellIs" dxfId="3491" priority="1089" operator="equal">
      <formula>"x"</formula>
    </cfRule>
  </conditionalFormatting>
  <conditionalFormatting sqref="BX16">
    <cfRule type="cellIs" dxfId="3490" priority="1088" operator="notEqual">
      <formula>"x"</formula>
    </cfRule>
  </conditionalFormatting>
  <conditionalFormatting sqref="BZ16">
    <cfRule type="cellIs" dxfId="3489" priority="1087" operator="notEqual">
      <formula>"x"</formula>
    </cfRule>
  </conditionalFormatting>
  <conditionalFormatting sqref="CB16">
    <cfRule type="cellIs" dxfId="3488" priority="1086" operator="equal">
      <formula>"x"</formula>
    </cfRule>
  </conditionalFormatting>
  <conditionalFormatting sqref="CB16">
    <cfRule type="cellIs" dxfId="3487" priority="1085" operator="notEqual">
      <formula>"x"</formula>
    </cfRule>
  </conditionalFormatting>
  <conditionalFormatting sqref="BZ22">
    <cfRule type="cellIs" dxfId="3486" priority="1084" operator="equal">
      <formula>"x"</formula>
    </cfRule>
  </conditionalFormatting>
  <conditionalFormatting sqref="BX22">
    <cfRule type="cellIs" dxfId="3485" priority="1083" operator="equal">
      <formula>"x"</formula>
    </cfRule>
  </conditionalFormatting>
  <conditionalFormatting sqref="BX22">
    <cfRule type="cellIs" dxfId="3484" priority="1082" operator="notEqual">
      <formula>"x"</formula>
    </cfRule>
  </conditionalFormatting>
  <conditionalFormatting sqref="BZ22">
    <cfRule type="cellIs" dxfId="3483" priority="1081" operator="notEqual">
      <formula>"x"</formula>
    </cfRule>
  </conditionalFormatting>
  <conditionalFormatting sqref="CB22">
    <cfRule type="cellIs" dxfId="3482" priority="1080" operator="equal">
      <formula>"x"</formula>
    </cfRule>
  </conditionalFormatting>
  <conditionalFormatting sqref="BZ37">
    <cfRule type="cellIs" dxfId="3481" priority="1078" operator="equal">
      <formula>"x"</formula>
    </cfRule>
  </conditionalFormatting>
  <conditionalFormatting sqref="BX37">
    <cfRule type="cellIs" dxfId="3480" priority="1077" operator="equal">
      <formula>"x"</formula>
    </cfRule>
  </conditionalFormatting>
  <conditionalFormatting sqref="BZ37">
    <cfRule type="cellIs" dxfId="3479" priority="1075" operator="notEqual">
      <formula>"x"</formula>
    </cfRule>
  </conditionalFormatting>
  <conditionalFormatting sqref="CB37">
    <cfRule type="cellIs" dxfId="3478" priority="1074" operator="equal">
      <formula>"x"</formula>
    </cfRule>
  </conditionalFormatting>
  <conditionalFormatting sqref="BZ38">
    <cfRule type="cellIs" dxfId="3477" priority="1072" operator="equal">
      <formula>"x"</formula>
    </cfRule>
  </conditionalFormatting>
  <conditionalFormatting sqref="BX38">
    <cfRule type="cellIs" dxfId="3476" priority="1071" operator="equal">
      <formula>"x"</formula>
    </cfRule>
  </conditionalFormatting>
  <conditionalFormatting sqref="CB38">
    <cfRule type="cellIs" dxfId="3475" priority="1070" operator="equal">
      <formula>"x"</formula>
    </cfRule>
  </conditionalFormatting>
  <conditionalFormatting sqref="BZ39">
    <cfRule type="cellIs" dxfId="3474" priority="1069" operator="equal">
      <formula>"x"</formula>
    </cfRule>
  </conditionalFormatting>
  <conditionalFormatting sqref="BX39">
    <cfRule type="cellIs" dxfId="3473" priority="1068" operator="equal">
      <formula>"x"</formula>
    </cfRule>
  </conditionalFormatting>
  <conditionalFormatting sqref="CB39">
    <cfRule type="cellIs" dxfId="3472" priority="1067" operator="equal">
      <formula>"x"</formula>
    </cfRule>
  </conditionalFormatting>
  <conditionalFormatting sqref="BZ20">
    <cfRule type="cellIs" dxfId="3471" priority="1066" operator="equal">
      <formula>"x"</formula>
    </cfRule>
  </conditionalFormatting>
  <conditionalFormatting sqref="BX20">
    <cfRule type="cellIs" dxfId="3470" priority="1065" operator="equal">
      <formula>"x"</formula>
    </cfRule>
  </conditionalFormatting>
  <conditionalFormatting sqref="CB20">
    <cfRule type="cellIs" dxfId="3469" priority="1064" operator="equal">
      <formula>"x"</formula>
    </cfRule>
  </conditionalFormatting>
  <conditionalFormatting sqref="BZ21">
    <cfRule type="cellIs" dxfId="3468" priority="1063" operator="equal">
      <formula>"x"</formula>
    </cfRule>
  </conditionalFormatting>
  <conditionalFormatting sqref="BX21">
    <cfRule type="cellIs" dxfId="3467" priority="1062" operator="equal">
      <formula>"x"</formula>
    </cfRule>
  </conditionalFormatting>
  <conditionalFormatting sqref="CB21">
    <cfRule type="cellIs" dxfId="3466" priority="1061" operator="equal">
      <formula>"x"</formula>
    </cfRule>
  </conditionalFormatting>
  <conditionalFormatting sqref="BZ6:BZ7">
    <cfRule type="cellIs" dxfId="3465" priority="1060" operator="equal">
      <formula>"x"</formula>
    </cfRule>
  </conditionalFormatting>
  <conditionalFormatting sqref="BX6:BX7">
    <cfRule type="cellIs" dxfId="3464" priority="1059" operator="equal">
      <formula>"x"</formula>
    </cfRule>
  </conditionalFormatting>
  <conditionalFormatting sqref="CB6:CB7">
    <cfRule type="cellIs" dxfId="3463" priority="1058" operator="equal">
      <formula>"x"</formula>
    </cfRule>
  </conditionalFormatting>
  <conditionalFormatting sqref="BX5">
    <cfRule type="cellIs" dxfId="3462" priority="1057" operator="equal">
      <formula>"x"</formula>
    </cfRule>
  </conditionalFormatting>
  <conditionalFormatting sqref="BZ5">
    <cfRule type="cellIs" dxfId="3461" priority="1056" operator="equal">
      <formula>"x"</formula>
    </cfRule>
  </conditionalFormatting>
  <conditionalFormatting sqref="CB5">
    <cfRule type="cellIs" dxfId="3460" priority="1055" operator="equal">
      <formula>"x"</formula>
    </cfRule>
  </conditionalFormatting>
  <conditionalFormatting sqref="BX4">
    <cfRule type="cellIs" dxfId="3459" priority="1054" operator="equal">
      <formula>"x"</formula>
    </cfRule>
  </conditionalFormatting>
  <conditionalFormatting sqref="BZ4">
    <cfRule type="cellIs" dxfId="3458" priority="1053" operator="equal">
      <formula>"x"</formula>
    </cfRule>
  </conditionalFormatting>
  <conditionalFormatting sqref="CB4">
    <cfRule type="cellIs" dxfId="3457" priority="1052" operator="equal">
      <formula>"x"</formula>
    </cfRule>
  </conditionalFormatting>
  <conditionalFormatting sqref="CJ22">
    <cfRule type="cellIs" dxfId="3456" priority="1015" operator="notEqual">
      <formula>"x"</formula>
    </cfRule>
  </conditionalFormatting>
  <conditionalFormatting sqref="CF37">
    <cfRule type="cellIs" dxfId="3455" priority="1012" operator="notEqual">
      <formula>"x"</formula>
    </cfRule>
  </conditionalFormatting>
  <conditionalFormatting sqref="CH32:CH36 CH25:CH30 CH18:CH19 CH12:CH15 CH23">
    <cfRule type="cellIs" dxfId="3454" priority="1051" operator="equal">
      <formula>"x"</formula>
    </cfRule>
  </conditionalFormatting>
  <conditionalFormatting sqref="CF12:CF15 CF18:CF19 CF25:CF30 CF32:CF36 CF23">
    <cfRule type="cellIs" dxfId="3453" priority="1050" operator="equal">
      <formula>"x"</formula>
    </cfRule>
  </conditionalFormatting>
  <conditionalFormatting sqref="CF15 CF23 CF29:CF30 CF36">
    <cfRule type="cellIs" dxfId="3452" priority="1049" operator="notEqual">
      <formula>"x"</formula>
    </cfRule>
  </conditionalFormatting>
  <conditionalFormatting sqref="CH15 CH23 CH29:CH30 CH36">
    <cfRule type="cellIs" dxfId="3451" priority="1048" operator="notEqual">
      <formula>"x"</formula>
    </cfRule>
  </conditionalFormatting>
  <conditionalFormatting sqref="CJ32:CJ36 CJ25:CJ30 CJ18:CJ19 CJ12:CJ15 CJ23">
    <cfRule type="cellIs" dxfId="3450" priority="1047" operator="equal">
      <formula>"x"</formula>
    </cfRule>
  </conditionalFormatting>
  <conditionalFormatting sqref="CJ15 CJ23 CJ29:CJ30 CJ36">
    <cfRule type="cellIs" dxfId="3449" priority="1046" operator="notEqual">
      <formula>"x"</formula>
    </cfRule>
  </conditionalFormatting>
  <conditionalFormatting sqref="CH11">
    <cfRule type="cellIs" dxfId="3448" priority="1045" operator="equal">
      <formula>"x"</formula>
    </cfRule>
  </conditionalFormatting>
  <conditionalFormatting sqref="CF11">
    <cfRule type="cellIs" dxfId="3447" priority="1044" operator="equal">
      <formula>"x"</formula>
    </cfRule>
  </conditionalFormatting>
  <conditionalFormatting sqref="CJ11">
    <cfRule type="cellIs" dxfId="3446" priority="1043" operator="equal">
      <formula>"x"</formula>
    </cfRule>
  </conditionalFormatting>
  <conditionalFormatting sqref="CF10">
    <cfRule type="cellIs" dxfId="3445" priority="1042" operator="equal">
      <formula>"x"</formula>
    </cfRule>
  </conditionalFormatting>
  <conditionalFormatting sqref="CJ37">
    <cfRule type="cellIs" dxfId="3444" priority="1009" operator="notEqual">
      <formula>"x"</formula>
    </cfRule>
  </conditionalFormatting>
  <conditionalFormatting sqref="CF17">
    <cfRule type="cellIs" dxfId="3443" priority="1041" operator="equal">
      <formula>"x"</formula>
    </cfRule>
  </conditionalFormatting>
  <conditionalFormatting sqref="CF24">
    <cfRule type="cellIs" dxfId="3442" priority="1040" operator="equal">
      <formula>"x"</formula>
    </cfRule>
  </conditionalFormatting>
  <conditionalFormatting sqref="CF31">
    <cfRule type="cellIs" dxfId="3441" priority="1039" operator="equal">
      <formula>"x"</formula>
    </cfRule>
  </conditionalFormatting>
  <conditionalFormatting sqref="CH9">
    <cfRule type="cellIs" dxfId="3440" priority="1038" operator="equal">
      <formula>"x"</formula>
    </cfRule>
  </conditionalFormatting>
  <conditionalFormatting sqref="CF9">
    <cfRule type="cellIs" dxfId="3439" priority="1037" operator="equal">
      <formula>"x"</formula>
    </cfRule>
  </conditionalFormatting>
  <conditionalFormatting sqref="CF9">
    <cfRule type="cellIs" dxfId="3438" priority="1036" operator="notEqual">
      <formula>"x"</formula>
    </cfRule>
  </conditionalFormatting>
  <conditionalFormatting sqref="CH9">
    <cfRule type="cellIs" dxfId="3437" priority="1035" operator="notEqual">
      <formula>"x"</formula>
    </cfRule>
  </conditionalFormatting>
  <conditionalFormatting sqref="CJ9">
    <cfRule type="cellIs" dxfId="3436" priority="1034" operator="equal">
      <formula>"x"</formula>
    </cfRule>
  </conditionalFormatting>
  <conditionalFormatting sqref="CJ9">
    <cfRule type="cellIs" dxfId="3435" priority="1033" operator="notEqual">
      <formula>"x"</formula>
    </cfRule>
  </conditionalFormatting>
  <conditionalFormatting sqref="CH8">
    <cfRule type="cellIs" dxfId="3434" priority="1032" operator="equal">
      <formula>"x"</formula>
    </cfRule>
  </conditionalFormatting>
  <conditionalFormatting sqref="CF8">
    <cfRule type="cellIs" dxfId="3433" priority="1031" operator="equal">
      <formula>"x"</formula>
    </cfRule>
  </conditionalFormatting>
  <conditionalFormatting sqref="CF8">
    <cfRule type="cellIs" dxfId="3432" priority="1030" operator="notEqual">
      <formula>"x"</formula>
    </cfRule>
  </conditionalFormatting>
  <conditionalFormatting sqref="CH8">
    <cfRule type="cellIs" dxfId="3431" priority="1029" operator="notEqual">
      <formula>"x"</formula>
    </cfRule>
  </conditionalFormatting>
  <conditionalFormatting sqref="CJ8">
    <cfRule type="cellIs" dxfId="3430" priority="1028" operator="equal">
      <formula>"x"</formula>
    </cfRule>
  </conditionalFormatting>
  <conditionalFormatting sqref="CJ8">
    <cfRule type="cellIs" dxfId="3429" priority="1027" operator="notEqual">
      <formula>"x"</formula>
    </cfRule>
  </conditionalFormatting>
  <conditionalFormatting sqref="CH16">
    <cfRule type="cellIs" dxfId="3428" priority="1026" operator="equal">
      <formula>"x"</formula>
    </cfRule>
  </conditionalFormatting>
  <conditionalFormatting sqref="CF16">
    <cfRule type="cellIs" dxfId="3427" priority="1025" operator="equal">
      <formula>"x"</formula>
    </cfRule>
  </conditionalFormatting>
  <conditionalFormatting sqref="CF16">
    <cfRule type="cellIs" dxfId="3426" priority="1024" operator="notEqual">
      <formula>"x"</formula>
    </cfRule>
  </conditionalFormatting>
  <conditionalFormatting sqref="CH16">
    <cfRule type="cellIs" dxfId="3425" priority="1023" operator="notEqual">
      <formula>"x"</formula>
    </cfRule>
  </conditionalFormatting>
  <conditionalFormatting sqref="CJ16">
    <cfRule type="cellIs" dxfId="3424" priority="1022" operator="equal">
      <formula>"x"</formula>
    </cfRule>
  </conditionalFormatting>
  <conditionalFormatting sqref="CJ16">
    <cfRule type="cellIs" dxfId="3423" priority="1021" operator="notEqual">
      <formula>"x"</formula>
    </cfRule>
  </conditionalFormatting>
  <conditionalFormatting sqref="CH22">
    <cfRule type="cellIs" dxfId="3422" priority="1020" operator="equal">
      <formula>"x"</formula>
    </cfRule>
  </conditionalFormatting>
  <conditionalFormatting sqref="CF22">
    <cfRule type="cellIs" dxfId="3421" priority="1019" operator="equal">
      <formula>"x"</formula>
    </cfRule>
  </conditionalFormatting>
  <conditionalFormatting sqref="CF22">
    <cfRule type="cellIs" dxfId="3420" priority="1018" operator="notEqual">
      <formula>"x"</formula>
    </cfRule>
  </conditionalFormatting>
  <conditionalFormatting sqref="CH22">
    <cfRule type="cellIs" dxfId="3419" priority="1017" operator="notEqual">
      <formula>"x"</formula>
    </cfRule>
  </conditionalFormatting>
  <conditionalFormatting sqref="CJ22">
    <cfRule type="cellIs" dxfId="3418" priority="1016" operator="equal">
      <formula>"x"</formula>
    </cfRule>
  </conditionalFormatting>
  <conditionalFormatting sqref="CH37">
    <cfRule type="cellIs" dxfId="3417" priority="1014" operator="equal">
      <formula>"x"</formula>
    </cfRule>
  </conditionalFormatting>
  <conditionalFormatting sqref="CF37">
    <cfRule type="cellIs" dxfId="3416" priority="1013" operator="equal">
      <formula>"x"</formula>
    </cfRule>
  </conditionalFormatting>
  <conditionalFormatting sqref="CH37">
    <cfRule type="cellIs" dxfId="3415" priority="1011" operator="notEqual">
      <formula>"x"</formula>
    </cfRule>
  </conditionalFormatting>
  <conditionalFormatting sqref="CJ37">
    <cfRule type="cellIs" dxfId="3414" priority="1010" operator="equal">
      <formula>"x"</formula>
    </cfRule>
  </conditionalFormatting>
  <conditionalFormatting sqref="CF38">
    <cfRule type="cellIs" dxfId="3413" priority="1008" operator="equal">
      <formula>"x"</formula>
    </cfRule>
  </conditionalFormatting>
  <conditionalFormatting sqref="CH39">
    <cfRule type="cellIs" dxfId="3412" priority="1007" operator="equal">
      <formula>"x"</formula>
    </cfRule>
  </conditionalFormatting>
  <conditionalFormatting sqref="CF39">
    <cfRule type="cellIs" dxfId="3411" priority="1006" operator="equal">
      <formula>"x"</formula>
    </cfRule>
  </conditionalFormatting>
  <conditionalFormatting sqref="CJ39">
    <cfRule type="cellIs" dxfId="3410" priority="1005" operator="equal">
      <formula>"x"</formula>
    </cfRule>
  </conditionalFormatting>
  <conditionalFormatting sqref="CH20">
    <cfRule type="cellIs" dxfId="3409" priority="1004" operator="equal">
      <formula>"x"</formula>
    </cfRule>
  </conditionalFormatting>
  <conditionalFormatting sqref="CF20">
    <cfRule type="cellIs" dxfId="3408" priority="1003" operator="equal">
      <formula>"x"</formula>
    </cfRule>
  </conditionalFormatting>
  <conditionalFormatting sqref="CJ20">
    <cfRule type="cellIs" dxfId="3407" priority="1002" operator="equal">
      <formula>"x"</formula>
    </cfRule>
  </conditionalFormatting>
  <conditionalFormatting sqref="CH21">
    <cfRule type="cellIs" dxfId="3406" priority="1001" operator="equal">
      <formula>"x"</formula>
    </cfRule>
  </conditionalFormatting>
  <conditionalFormatting sqref="CF21">
    <cfRule type="cellIs" dxfId="3405" priority="1000" operator="equal">
      <formula>"x"</formula>
    </cfRule>
  </conditionalFormatting>
  <conditionalFormatting sqref="CJ21">
    <cfRule type="cellIs" dxfId="3404" priority="999" operator="equal">
      <formula>"x"</formula>
    </cfRule>
  </conditionalFormatting>
  <conditionalFormatting sqref="CH6:CH7">
    <cfRule type="cellIs" dxfId="3403" priority="998" operator="equal">
      <formula>"x"</formula>
    </cfRule>
  </conditionalFormatting>
  <conditionalFormatting sqref="CF6:CF7">
    <cfRule type="cellIs" dxfId="3402" priority="997" operator="equal">
      <formula>"x"</formula>
    </cfRule>
  </conditionalFormatting>
  <conditionalFormatting sqref="CJ6:CJ7">
    <cfRule type="cellIs" dxfId="3401" priority="996" operator="equal">
      <formula>"x"</formula>
    </cfRule>
  </conditionalFormatting>
  <conditionalFormatting sqref="CF5">
    <cfRule type="cellIs" dxfId="3400" priority="995" operator="equal">
      <formula>"x"</formula>
    </cfRule>
  </conditionalFormatting>
  <conditionalFormatting sqref="CH5">
    <cfRule type="cellIs" dxfId="3399" priority="994" operator="equal">
      <formula>"x"</formula>
    </cfRule>
  </conditionalFormatting>
  <conditionalFormatting sqref="CJ5">
    <cfRule type="cellIs" dxfId="3398" priority="993" operator="equal">
      <formula>"x"</formula>
    </cfRule>
  </conditionalFormatting>
  <conditionalFormatting sqref="CF4">
    <cfRule type="cellIs" dxfId="3397" priority="992" operator="equal">
      <formula>"x"</formula>
    </cfRule>
  </conditionalFormatting>
  <conditionalFormatting sqref="CH4">
    <cfRule type="cellIs" dxfId="3396" priority="991" operator="equal">
      <formula>"x"</formula>
    </cfRule>
  </conditionalFormatting>
  <conditionalFormatting sqref="CJ4">
    <cfRule type="cellIs" dxfId="3395" priority="990" operator="equal">
      <formula>"x"</formula>
    </cfRule>
  </conditionalFormatting>
  <conditionalFormatting sqref="CR22">
    <cfRule type="cellIs" dxfId="3394" priority="950" operator="notEqual">
      <formula>"x"</formula>
    </cfRule>
  </conditionalFormatting>
  <conditionalFormatting sqref="CN37">
    <cfRule type="cellIs" dxfId="3393" priority="947" operator="notEqual">
      <formula>"x"</formula>
    </cfRule>
  </conditionalFormatting>
  <conditionalFormatting sqref="CP32:CP36 CP25:CP30 CP18:CP19 CP12:CP15 CP23">
    <cfRule type="cellIs" dxfId="3392" priority="989" operator="equal">
      <formula>"x"</formula>
    </cfRule>
  </conditionalFormatting>
  <conditionalFormatting sqref="CN12:CN15 CN18:CN19 CN25:CN30 CN32:CN36 CN23">
    <cfRule type="cellIs" dxfId="3391" priority="988" operator="equal">
      <formula>"x"</formula>
    </cfRule>
  </conditionalFormatting>
  <conditionalFormatting sqref="CN15 CN23 CN29:CN30 CN36">
    <cfRule type="cellIs" dxfId="3390" priority="987" operator="notEqual">
      <formula>"x"</formula>
    </cfRule>
  </conditionalFormatting>
  <conditionalFormatting sqref="CP15 CP23 CP29:CP30 CP36">
    <cfRule type="cellIs" dxfId="3389" priority="986" operator="notEqual">
      <formula>"x"</formula>
    </cfRule>
  </conditionalFormatting>
  <conditionalFormatting sqref="CR32:CR36 CR25:CR30 CR18:CR19 CR12:CR15 CR23">
    <cfRule type="cellIs" dxfId="3388" priority="985" operator="equal">
      <formula>"x"</formula>
    </cfRule>
  </conditionalFormatting>
  <conditionalFormatting sqref="CR15 CR23 CR29:CR30 CR36">
    <cfRule type="cellIs" dxfId="3387" priority="984" operator="notEqual">
      <formula>"x"</formula>
    </cfRule>
  </conditionalFormatting>
  <conditionalFormatting sqref="CP11">
    <cfRule type="cellIs" dxfId="3386" priority="983" operator="equal">
      <formula>"x"</formula>
    </cfRule>
  </conditionalFormatting>
  <conditionalFormatting sqref="CN11">
    <cfRule type="cellIs" dxfId="3385" priority="982" operator="equal">
      <formula>"x"</formula>
    </cfRule>
  </conditionalFormatting>
  <conditionalFormatting sqref="CR11">
    <cfRule type="cellIs" dxfId="3384" priority="981" operator="equal">
      <formula>"x"</formula>
    </cfRule>
  </conditionalFormatting>
  <conditionalFormatting sqref="CN10">
    <cfRule type="cellIs" dxfId="3383" priority="980" operator="equal">
      <formula>"x"</formula>
    </cfRule>
  </conditionalFormatting>
  <conditionalFormatting sqref="CR37">
    <cfRule type="cellIs" dxfId="3382" priority="944" operator="notEqual">
      <formula>"x"</formula>
    </cfRule>
  </conditionalFormatting>
  <conditionalFormatting sqref="CN17">
    <cfRule type="cellIs" dxfId="3381" priority="979" operator="equal">
      <formula>"x"</formula>
    </cfRule>
  </conditionalFormatting>
  <conditionalFormatting sqref="CO24">
    <cfRule type="cellIs" dxfId="3380" priority="978" operator="equal">
      <formula>"x"</formula>
    </cfRule>
  </conditionalFormatting>
  <conditionalFormatting sqref="CN24">
    <cfRule type="cellIs" dxfId="3379" priority="977" operator="equal">
      <formula>"x"</formula>
    </cfRule>
  </conditionalFormatting>
  <conditionalFormatting sqref="CP31">
    <cfRule type="cellIs" dxfId="3378" priority="976" operator="equal">
      <formula>"x"</formula>
    </cfRule>
  </conditionalFormatting>
  <conditionalFormatting sqref="CN31">
    <cfRule type="cellIs" dxfId="3377" priority="975" operator="equal">
      <formula>"x"</formula>
    </cfRule>
  </conditionalFormatting>
  <conditionalFormatting sqref="CR31">
    <cfRule type="cellIs" dxfId="3376" priority="974" operator="equal">
      <formula>"x"</formula>
    </cfRule>
  </conditionalFormatting>
  <conditionalFormatting sqref="CP9">
    <cfRule type="cellIs" dxfId="3375" priority="973" operator="equal">
      <formula>"x"</formula>
    </cfRule>
  </conditionalFormatting>
  <conditionalFormatting sqref="CN9">
    <cfRule type="cellIs" dxfId="3374" priority="972" operator="equal">
      <formula>"x"</formula>
    </cfRule>
  </conditionalFormatting>
  <conditionalFormatting sqref="CN9">
    <cfRule type="cellIs" dxfId="3373" priority="971" operator="notEqual">
      <formula>"x"</formula>
    </cfRule>
  </conditionalFormatting>
  <conditionalFormatting sqref="CP9">
    <cfRule type="cellIs" dxfId="3372" priority="970" operator="notEqual">
      <formula>"x"</formula>
    </cfRule>
  </conditionalFormatting>
  <conditionalFormatting sqref="CR9">
    <cfRule type="cellIs" dxfId="3371" priority="969" operator="equal">
      <formula>"x"</formula>
    </cfRule>
  </conditionalFormatting>
  <conditionalFormatting sqref="CR9">
    <cfRule type="cellIs" dxfId="3370" priority="968" operator="notEqual">
      <formula>"x"</formula>
    </cfRule>
  </conditionalFormatting>
  <conditionalFormatting sqref="CP8">
    <cfRule type="cellIs" dxfId="3369" priority="967" operator="equal">
      <formula>"x"</formula>
    </cfRule>
  </conditionalFormatting>
  <conditionalFormatting sqref="CN8">
    <cfRule type="cellIs" dxfId="3368" priority="966" operator="equal">
      <formula>"x"</formula>
    </cfRule>
  </conditionalFormatting>
  <conditionalFormatting sqref="CN8">
    <cfRule type="cellIs" dxfId="3367" priority="965" operator="notEqual">
      <formula>"x"</formula>
    </cfRule>
  </conditionalFormatting>
  <conditionalFormatting sqref="CP8">
    <cfRule type="cellIs" dxfId="3366" priority="964" operator="notEqual">
      <formula>"x"</formula>
    </cfRule>
  </conditionalFormatting>
  <conditionalFormatting sqref="CR8">
    <cfRule type="cellIs" dxfId="3365" priority="963" operator="equal">
      <formula>"x"</formula>
    </cfRule>
  </conditionalFormatting>
  <conditionalFormatting sqref="CR8">
    <cfRule type="cellIs" dxfId="3364" priority="962" operator="notEqual">
      <formula>"x"</formula>
    </cfRule>
  </conditionalFormatting>
  <conditionalFormatting sqref="CP16">
    <cfRule type="cellIs" dxfId="3363" priority="961" operator="equal">
      <formula>"x"</formula>
    </cfRule>
  </conditionalFormatting>
  <conditionalFormatting sqref="CN16">
    <cfRule type="cellIs" dxfId="3362" priority="960" operator="equal">
      <formula>"x"</formula>
    </cfRule>
  </conditionalFormatting>
  <conditionalFormatting sqref="CN16">
    <cfRule type="cellIs" dxfId="3361" priority="959" operator="notEqual">
      <formula>"x"</formula>
    </cfRule>
  </conditionalFormatting>
  <conditionalFormatting sqref="CP16">
    <cfRule type="cellIs" dxfId="3360" priority="958" operator="notEqual">
      <formula>"x"</formula>
    </cfRule>
  </conditionalFormatting>
  <conditionalFormatting sqref="CR16">
    <cfRule type="cellIs" dxfId="3359" priority="957" operator="equal">
      <formula>"x"</formula>
    </cfRule>
  </conditionalFormatting>
  <conditionalFormatting sqref="CR16">
    <cfRule type="cellIs" dxfId="3358" priority="956" operator="notEqual">
      <formula>"x"</formula>
    </cfRule>
  </conditionalFormatting>
  <conditionalFormatting sqref="CP22">
    <cfRule type="cellIs" dxfId="3357" priority="955" operator="equal">
      <formula>"x"</formula>
    </cfRule>
  </conditionalFormatting>
  <conditionalFormatting sqref="CN22">
    <cfRule type="cellIs" dxfId="3356" priority="954" operator="equal">
      <formula>"x"</formula>
    </cfRule>
  </conditionalFormatting>
  <conditionalFormatting sqref="CN22">
    <cfRule type="cellIs" dxfId="3355" priority="953" operator="notEqual">
      <formula>"x"</formula>
    </cfRule>
  </conditionalFormatting>
  <conditionalFormatting sqref="CP22">
    <cfRule type="cellIs" dxfId="3354" priority="952" operator="notEqual">
      <formula>"x"</formula>
    </cfRule>
  </conditionalFormatting>
  <conditionalFormatting sqref="CR22">
    <cfRule type="cellIs" dxfId="3353" priority="951" operator="equal">
      <formula>"x"</formula>
    </cfRule>
  </conditionalFormatting>
  <conditionalFormatting sqref="CP37">
    <cfRule type="cellIs" dxfId="3352" priority="949" operator="equal">
      <formula>"x"</formula>
    </cfRule>
  </conditionalFormatting>
  <conditionalFormatting sqref="CN37">
    <cfRule type="cellIs" dxfId="3351" priority="948" operator="equal">
      <formula>"x"</formula>
    </cfRule>
  </conditionalFormatting>
  <conditionalFormatting sqref="CP37">
    <cfRule type="cellIs" dxfId="3350" priority="946" operator="notEqual">
      <formula>"x"</formula>
    </cfRule>
  </conditionalFormatting>
  <conditionalFormatting sqref="CR37">
    <cfRule type="cellIs" dxfId="3349" priority="945" operator="equal">
      <formula>"x"</formula>
    </cfRule>
  </conditionalFormatting>
  <conditionalFormatting sqref="CP38">
    <cfRule type="cellIs" dxfId="3348" priority="943" operator="equal">
      <formula>"x"</formula>
    </cfRule>
  </conditionalFormatting>
  <conditionalFormatting sqref="CN38">
    <cfRule type="cellIs" dxfId="3347" priority="942" operator="equal">
      <formula>"x"</formula>
    </cfRule>
  </conditionalFormatting>
  <conditionalFormatting sqref="CR38">
    <cfRule type="cellIs" dxfId="3346" priority="941" operator="equal">
      <formula>"x"</formula>
    </cfRule>
  </conditionalFormatting>
  <conditionalFormatting sqref="CP39">
    <cfRule type="cellIs" dxfId="3345" priority="940" operator="equal">
      <formula>"x"</formula>
    </cfRule>
  </conditionalFormatting>
  <conditionalFormatting sqref="CN39">
    <cfRule type="cellIs" dxfId="3344" priority="939" operator="equal">
      <formula>"x"</formula>
    </cfRule>
  </conditionalFormatting>
  <conditionalFormatting sqref="CR39">
    <cfRule type="cellIs" dxfId="3343" priority="938" operator="equal">
      <formula>"x"</formula>
    </cfRule>
  </conditionalFormatting>
  <conditionalFormatting sqref="CP20">
    <cfRule type="cellIs" dxfId="3342" priority="937" operator="equal">
      <formula>"x"</formula>
    </cfRule>
  </conditionalFormatting>
  <conditionalFormatting sqref="CN20">
    <cfRule type="cellIs" dxfId="3341" priority="936" operator="equal">
      <formula>"x"</formula>
    </cfRule>
  </conditionalFormatting>
  <conditionalFormatting sqref="CR20">
    <cfRule type="cellIs" dxfId="3340" priority="935" operator="equal">
      <formula>"x"</formula>
    </cfRule>
  </conditionalFormatting>
  <conditionalFormatting sqref="CP21">
    <cfRule type="cellIs" dxfId="3339" priority="934" operator="equal">
      <formula>"x"</formula>
    </cfRule>
  </conditionalFormatting>
  <conditionalFormatting sqref="CN21">
    <cfRule type="cellIs" dxfId="3338" priority="933" operator="equal">
      <formula>"x"</formula>
    </cfRule>
  </conditionalFormatting>
  <conditionalFormatting sqref="CR21">
    <cfRule type="cellIs" dxfId="3337" priority="932" operator="equal">
      <formula>"x"</formula>
    </cfRule>
  </conditionalFormatting>
  <conditionalFormatting sqref="CP6:CP7">
    <cfRule type="cellIs" dxfId="3336" priority="931" operator="equal">
      <formula>"x"</formula>
    </cfRule>
  </conditionalFormatting>
  <conditionalFormatting sqref="CN6:CN7">
    <cfRule type="cellIs" dxfId="3335" priority="930" operator="equal">
      <formula>"x"</formula>
    </cfRule>
  </conditionalFormatting>
  <conditionalFormatting sqref="CR6:CR7">
    <cfRule type="cellIs" dxfId="3334" priority="929" operator="equal">
      <formula>"x"</formula>
    </cfRule>
  </conditionalFormatting>
  <conditionalFormatting sqref="CN5">
    <cfRule type="cellIs" dxfId="3333" priority="928" operator="equal">
      <formula>"x"</formula>
    </cfRule>
  </conditionalFormatting>
  <conditionalFormatting sqref="CP5">
    <cfRule type="cellIs" dxfId="3332" priority="927" operator="equal">
      <formula>"x"</formula>
    </cfRule>
  </conditionalFormatting>
  <conditionalFormatting sqref="CR5">
    <cfRule type="cellIs" dxfId="3331" priority="926" operator="equal">
      <formula>"x"</formula>
    </cfRule>
  </conditionalFormatting>
  <conditionalFormatting sqref="CN4">
    <cfRule type="cellIs" dxfId="3330" priority="924" operator="equal">
      <formula>"x"</formula>
    </cfRule>
  </conditionalFormatting>
  <conditionalFormatting sqref="D31">
    <cfRule type="cellIs" dxfId="3329" priority="925" operator="equal">
      <formula>"x"</formula>
    </cfRule>
  </conditionalFormatting>
  <conditionalFormatting sqref="CP4">
    <cfRule type="cellIs" dxfId="3328" priority="923" operator="equal">
      <formula>"x"</formula>
    </cfRule>
  </conditionalFormatting>
  <conditionalFormatting sqref="CR4">
    <cfRule type="cellIs" dxfId="3327" priority="922" operator="equal">
      <formula>"x"</formula>
    </cfRule>
  </conditionalFormatting>
  <conditionalFormatting sqref="N14">
    <cfRule type="cellIs" dxfId="3326" priority="921" operator="notEqual">
      <formula>"x"</formula>
    </cfRule>
  </conditionalFormatting>
  <conditionalFormatting sqref="N13">
    <cfRule type="cellIs" dxfId="3325" priority="920" operator="notEqual">
      <formula>"x"</formula>
    </cfRule>
  </conditionalFormatting>
  <conditionalFormatting sqref="N12">
    <cfRule type="cellIs" dxfId="3324" priority="919" operator="notEqual">
      <formula>"x"</formula>
    </cfRule>
  </conditionalFormatting>
  <conditionalFormatting sqref="N11">
    <cfRule type="cellIs" dxfId="3323" priority="918" operator="equal">
      <formula>"x"</formula>
    </cfRule>
  </conditionalFormatting>
  <conditionalFormatting sqref="N11">
    <cfRule type="cellIs" dxfId="3322" priority="917" operator="notEqual">
      <formula>"x"</formula>
    </cfRule>
  </conditionalFormatting>
  <conditionalFormatting sqref="F32">
    <cfRule type="cellIs" dxfId="3321" priority="916" operator="equal">
      <formula>"x"</formula>
    </cfRule>
  </conditionalFormatting>
  <conditionalFormatting sqref="F33">
    <cfRule type="cellIs" dxfId="3320" priority="915" operator="equal">
      <formula>"x"</formula>
    </cfRule>
  </conditionalFormatting>
  <conditionalFormatting sqref="F34">
    <cfRule type="cellIs" dxfId="3319" priority="914" operator="equal">
      <formula>"x"</formula>
    </cfRule>
  </conditionalFormatting>
  <conditionalFormatting sqref="F35">
    <cfRule type="cellIs" dxfId="3318" priority="913" operator="equal">
      <formula>"x"</formula>
    </cfRule>
  </conditionalFormatting>
  <conditionalFormatting sqref="L10">
    <cfRule type="cellIs" dxfId="3317" priority="912" operator="equal">
      <formula>"x"</formula>
    </cfRule>
  </conditionalFormatting>
  <conditionalFormatting sqref="P10">
    <cfRule type="cellIs" dxfId="3316" priority="911" operator="equal">
      <formula>"x"</formula>
    </cfRule>
  </conditionalFormatting>
  <conditionalFormatting sqref="N10">
    <cfRule type="cellIs" dxfId="3315" priority="910" operator="equal">
      <formula>"x"</formula>
    </cfRule>
  </conditionalFormatting>
  <conditionalFormatting sqref="N10">
    <cfRule type="cellIs" dxfId="3314" priority="909" operator="notEqual">
      <formula>"x"</formula>
    </cfRule>
  </conditionalFormatting>
  <conditionalFormatting sqref="C6">
    <cfRule type="expression" dxfId="3313" priority="907">
      <formula>OR($A6="Sa",$A6="So")</formula>
    </cfRule>
    <cfRule type="expression" dxfId="3312" priority="908">
      <formula>AND(B6&gt;0,INDIRECT("Basistabelle!G" &amp; ($A$1+C$1+B6))&lt;="",INDIRECT("Basistabelle!H" &amp; ($A$1+C$1+B6))&gt;"")</formula>
    </cfRule>
  </conditionalFormatting>
  <conditionalFormatting sqref="C7">
    <cfRule type="expression" dxfId="3311" priority="905">
      <formula>OR($A7="Sa",$A7="So")</formula>
    </cfRule>
    <cfRule type="expression" dxfId="3310" priority="906">
      <formula>AND(B7&gt;0,INDIRECT("Basistabelle!G" &amp; ($A$1+C$1+B7))&lt;="",INDIRECT("Basistabelle!H" &amp; ($A$1+C$1+B7))&gt;"")</formula>
    </cfRule>
  </conditionalFormatting>
  <conditionalFormatting sqref="C8">
    <cfRule type="expression" dxfId="3309" priority="903">
      <formula>OR($A8="Sa",$A8="So")</formula>
    </cfRule>
    <cfRule type="expression" dxfId="3308" priority="904">
      <formula>AND(B8&gt;0,INDIRECT("Basistabelle!G" &amp; ($A$1+C$1+B8))&lt;="",INDIRECT("Basistabelle!H" &amp; ($A$1+C$1+B8))&gt;"")</formula>
    </cfRule>
  </conditionalFormatting>
  <conditionalFormatting sqref="C9">
    <cfRule type="expression" dxfId="3307" priority="901">
      <formula>OR($A9="Sa",$A9="So")</formula>
    </cfRule>
    <cfRule type="expression" dxfId="3306" priority="902">
      <formula>AND(B9&gt;0,INDIRECT("Basistabelle!G" &amp; ($A$1+C$1+B9))&lt;="",INDIRECT("Basistabelle!H" &amp; ($A$1+C$1+B9))&gt;"")</formula>
    </cfRule>
  </conditionalFormatting>
  <conditionalFormatting sqref="C10">
    <cfRule type="expression" dxfId="3305" priority="899">
      <formula>OR($A10="Sa",$A10="So")</formula>
    </cfRule>
    <cfRule type="expression" dxfId="3304" priority="900">
      <formula>AND(B10&gt;0,INDIRECT("Basistabelle!G" &amp; ($A$1+C$1+B10))&lt;="",INDIRECT("Basistabelle!H" &amp; ($A$1+C$1+B10))&gt;"")</formula>
    </cfRule>
  </conditionalFormatting>
  <conditionalFormatting sqref="C11">
    <cfRule type="expression" dxfId="3303" priority="897">
      <formula>OR($A11="Sa",$A11="So")</formula>
    </cfRule>
    <cfRule type="expression" dxfId="3302" priority="898">
      <formula>AND(B11&gt;0,INDIRECT("Basistabelle!G" &amp; ($A$1+C$1+B11))&lt;="",INDIRECT("Basistabelle!H" &amp; ($A$1+C$1+B11))&gt;"")</formula>
    </cfRule>
  </conditionalFormatting>
  <conditionalFormatting sqref="C12">
    <cfRule type="expression" dxfId="3301" priority="895">
      <formula>OR($A12="Sa",$A12="So")</formula>
    </cfRule>
    <cfRule type="expression" dxfId="3300" priority="896">
      <formula>AND(B12&gt;0,INDIRECT("Basistabelle!G" &amp; ($A$1+C$1+B12))&lt;="",INDIRECT("Basistabelle!H" &amp; ($A$1+C$1+B12))&gt;"")</formula>
    </cfRule>
  </conditionalFormatting>
  <conditionalFormatting sqref="C13">
    <cfRule type="expression" dxfId="3299" priority="893">
      <formula>OR($A13="Sa",$A13="So")</formula>
    </cfRule>
    <cfRule type="expression" dxfId="3298" priority="894">
      <formula>AND(B13&gt;0,INDIRECT("Basistabelle!G" &amp; ($A$1+C$1+B13))&lt;="",INDIRECT("Basistabelle!H" &amp; ($A$1+C$1+B13))&gt;"")</formula>
    </cfRule>
  </conditionalFormatting>
  <conditionalFormatting sqref="C14">
    <cfRule type="expression" dxfId="3297" priority="891">
      <formula>OR($A14="Sa",$A14="So")</formula>
    </cfRule>
    <cfRule type="expression" dxfId="3296" priority="892">
      <formula>AND(B14&gt;0,INDIRECT("Basistabelle!G" &amp; ($A$1+C$1+B14))&lt;="",INDIRECT("Basistabelle!H" &amp; ($A$1+C$1+B14))&gt;"")</formula>
    </cfRule>
  </conditionalFormatting>
  <conditionalFormatting sqref="C15">
    <cfRule type="expression" dxfId="3295" priority="889">
      <formula>OR($A15="Sa",$A15="So")</formula>
    </cfRule>
    <cfRule type="expression" dxfId="3294" priority="890">
      <formula>AND(B15&gt;0,INDIRECT("Basistabelle!G" &amp; ($A$1+C$1+B15))&lt;="",INDIRECT("Basistabelle!H" &amp; ($A$1+C$1+B15))&gt;"")</formula>
    </cfRule>
  </conditionalFormatting>
  <conditionalFormatting sqref="C16">
    <cfRule type="expression" dxfId="3293" priority="887">
      <formula>OR($A16="Sa",$A16="So")</formula>
    </cfRule>
    <cfRule type="expression" dxfId="3292" priority="888">
      <formula>AND(B16&gt;0,INDIRECT("Basistabelle!G" &amp; ($A$1+C$1+B16))&lt;="",INDIRECT("Basistabelle!H" &amp; ($A$1+C$1+B16))&gt;"")</formula>
    </cfRule>
  </conditionalFormatting>
  <conditionalFormatting sqref="C17">
    <cfRule type="expression" dxfId="3291" priority="885">
      <formula>OR($A17="Sa",$A17="So")</formula>
    </cfRule>
    <cfRule type="expression" dxfId="3290" priority="886">
      <formula>AND(B17&gt;0,INDIRECT("Basistabelle!G" &amp; ($A$1+C$1+B17))&lt;="",INDIRECT("Basistabelle!H" &amp; ($A$1+C$1+B17))&gt;"")</formula>
    </cfRule>
  </conditionalFormatting>
  <conditionalFormatting sqref="C18">
    <cfRule type="expression" dxfId="3289" priority="883">
      <formula>OR($A18="Sa",$A18="So")</formula>
    </cfRule>
    <cfRule type="expression" dxfId="3288" priority="884">
      <formula>AND(B18&gt;0,INDIRECT("Basistabelle!G" &amp; ($A$1+C$1+B18))&lt;="",INDIRECT("Basistabelle!H" &amp; ($A$1+C$1+B18))&gt;"")</formula>
    </cfRule>
  </conditionalFormatting>
  <conditionalFormatting sqref="C19">
    <cfRule type="expression" dxfId="3287" priority="881">
      <formula>OR($A19="Sa",$A19="So")</formula>
    </cfRule>
    <cfRule type="expression" dxfId="3286" priority="882">
      <formula>AND(B19&gt;0,INDIRECT("Basistabelle!G" &amp; ($A$1+C$1+B19))&lt;="",INDIRECT("Basistabelle!H" &amp; ($A$1+C$1+B19))&gt;"")</formula>
    </cfRule>
  </conditionalFormatting>
  <conditionalFormatting sqref="C20">
    <cfRule type="expression" dxfId="3285" priority="879">
      <formula>OR($A20="Sa",$A20="So")</formula>
    </cfRule>
    <cfRule type="expression" dxfId="3284" priority="880">
      <formula>AND(B20&gt;0,INDIRECT("Basistabelle!G" &amp; ($A$1+C$1+B20))&lt;="",INDIRECT("Basistabelle!H" &amp; ($A$1+C$1+B20))&gt;"")</formula>
    </cfRule>
  </conditionalFormatting>
  <conditionalFormatting sqref="C21">
    <cfRule type="expression" dxfId="3283" priority="877">
      <formula>OR($A21="Sa",$A21="So")</formula>
    </cfRule>
    <cfRule type="expression" dxfId="3282" priority="878">
      <formula>AND(B21&gt;0,INDIRECT("Basistabelle!G" &amp; ($A$1+C$1+B21))&lt;="",INDIRECT("Basistabelle!H" &amp; ($A$1+C$1+B21))&gt;"")</formula>
    </cfRule>
  </conditionalFormatting>
  <conditionalFormatting sqref="C22">
    <cfRule type="expression" dxfId="3281" priority="875">
      <formula>OR($A22="Sa",$A22="So")</formula>
    </cfRule>
    <cfRule type="expression" dxfId="3280" priority="876">
      <formula>AND(B22&gt;0,INDIRECT("Basistabelle!G" &amp; ($A$1+C$1+B22))&lt;="",INDIRECT("Basistabelle!H" &amp; ($A$1+C$1+B22))&gt;"")</formula>
    </cfRule>
  </conditionalFormatting>
  <conditionalFormatting sqref="C23">
    <cfRule type="expression" dxfId="3279" priority="873">
      <formula>OR($A23="Sa",$A23="So")</formula>
    </cfRule>
    <cfRule type="expression" dxfId="3278" priority="874">
      <formula>AND(B23&gt;0,INDIRECT("Basistabelle!G" &amp; ($A$1+C$1+B23))&lt;="",INDIRECT("Basistabelle!H" &amp; ($A$1+C$1+B23))&gt;"")</formula>
    </cfRule>
  </conditionalFormatting>
  <conditionalFormatting sqref="C24">
    <cfRule type="expression" dxfId="3277" priority="871">
      <formula>OR($A24="Sa",$A24="So")</formula>
    </cfRule>
    <cfRule type="expression" dxfId="3276" priority="872">
      <formula>AND(B24&gt;0,INDIRECT("Basistabelle!G" &amp; ($A$1+C$1+B24))&lt;="",INDIRECT("Basistabelle!H" &amp; ($A$1+C$1+B24))&gt;"")</formula>
    </cfRule>
  </conditionalFormatting>
  <conditionalFormatting sqref="C25">
    <cfRule type="expression" dxfId="3275" priority="869">
      <formula>OR($A25="Sa",$A25="So")</formula>
    </cfRule>
    <cfRule type="expression" dxfId="3274" priority="870">
      <formula>AND(B25&gt;0,INDIRECT("Basistabelle!G" &amp; ($A$1+C$1+B25))&lt;="",INDIRECT("Basistabelle!H" &amp; ($A$1+C$1+B25))&gt;"")</formula>
    </cfRule>
  </conditionalFormatting>
  <conditionalFormatting sqref="C26">
    <cfRule type="expression" dxfId="3273" priority="867">
      <formula>OR($A26="Sa",$A26="So")</formula>
    </cfRule>
    <cfRule type="expression" dxfId="3272" priority="868">
      <formula>AND(B26&gt;0,INDIRECT("Basistabelle!G" &amp; ($A$1+C$1+B26))&lt;="",INDIRECT("Basistabelle!H" &amp; ($A$1+C$1+B26))&gt;"")</formula>
    </cfRule>
  </conditionalFormatting>
  <conditionalFormatting sqref="C28">
    <cfRule type="expression" dxfId="3271" priority="865">
      <formula>OR($A28="Sa",$A28="So")</formula>
    </cfRule>
    <cfRule type="expression" dxfId="3270" priority="866">
      <formula>AND(B28&gt;0,INDIRECT("Basistabelle!G" &amp; ($A$1+C$1+B28))&lt;="",INDIRECT("Basistabelle!H" &amp; ($A$1+C$1+B28))&gt;"")</formula>
    </cfRule>
  </conditionalFormatting>
  <conditionalFormatting sqref="C29">
    <cfRule type="expression" dxfId="3269" priority="863">
      <formula>OR($A29="Sa",$A29="So")</formula>
    </cfRule>
    <cfRule type="expression" dxfId="3268" priority="864">
      <formula>AND(B29&gt;0,INDIRECT("Basistabelle!G" &amp; ($A$1+C$1+B29))&lt;="",INDIRECT("Basistabelle!H" &amp; ($A$1+C$1+B29))&gt;"")</formula>
    </cfRule>
  </conditionalFormatting>
  <conditionalFormatting sqref="C30">
    <cfRule type="expression" dxfId="3267" priority="861">
      <formula>OR($A30="Sa",$A30="So")</formula>
    </cfRule>
    <cfRule type="expression" dxfId="3266" priority="862">
      <formula>AND(B30&gt;0,INDIRECT("Basistabelle!G" &amp; ($A$1+C$1+B30))&lt;="",INDIRECT("Basistabelle!H" &amp; ($A$1+C$1+B30))&gt;"")</formula>
    </cfRule>
  </conditionalFormatting>
  <conditionalFormatting sqref="C31">
    <cfRule type="expression" dxfId="3265" priority="859">
      <formula>OR($A31="Sa",$A31="So")</formula>
    </cfRule>
    <cfRule type="expression" dxfId="3264" priority="860">
      <formula>AND(B31&gt;0,INDIRECT("Basistabelle!G" &amp; ($A$1+C$1+B31))&lt;="",INDIRECT("Basistabelle!H" &amp; ($A$1+C$1+B31))&gt;"")</formula>
    </cfRule>
  </conditionalFormatting>
  <conditionalFormatting sqref="C32">
    <cfRule type="expression" dxfId="3263" priority="857">
      <formula>OR($A32="Sa",$A32="So")</formula>
    </cfRule>
    <cfRule type="expression" dxfId="3262" priority="858">
      <formula>AND(B32&gt;0,INDIRECT("Basistabelle!G" &amp; ($A$1+C$1+B32))&lt;="",INDIRECT("Basistabelle!H" &amp; ($A$1+C$1+B32))&gt;"")</formula>
    </cfRule>
  </conditionalFormatting>
  <conditionalFormatting sqref="C33">
    <cfRule type="expression" dxfId="3261" priority="855">
      <formula>OR($A33="Sa",$A33="So")</formula>
    </cfRule>
    <cfRule type="expression" dxfId="3260" priority="856">
      <formula>AND(B33&gt;0,INDIRECT("Basistabelle!G" &amp; ($A$1+C$1+B33))&lt;="",INDIRECT("Basistabelle!H" &amp; ($A$1+C$1+B33))&gt;"")</formula>
    </cfRule>
  </conditionalFormatting>
  <conditionalFormatting sqref="C34">
    <cfRule type="expression" dxfId="3259" priority="853">
      <formula>OR($A34="Sa",$A34="So")</formula>
    </cfRule>
    <cfRule type="expression" dxfId="3258" priority="854">
      <formula>AND(B34&gt;0,INDIRECT("Basistabelle!G" &amp; ($A$1+C$1+B34))&lt;="",INDIRECT("Basistabelle!H" &amp; ($A$1+C$1+B34))&gt;"")</formula>
    </cfRule>
  </conditionalFormatting>
  <conditionalFormatting sqref="C35">
    <cfRule type="expression" dxfId="3257" priority="851">
      <formula>OR($A35="Sa",$A35="So")</formula>
    </cfRule>
    <cfRule type="expression" dxfId="3256" priority="852">
      <formula>AND(B35&gt;0,INDIRECT("Basistabelle!G" &amp; ($A$1+C$1+B35))&lt;="",INDIRECT("Basistabelle!H" &amp; ($A$1+C$1+B35))&gt;"")</formula>
    </cfRule>
  </conditionalFormatting>
  <conditionalFormatting sqref="C38">
    <cfRule type="expression" dxfId="3255" priority="847">
      <formula>OR($A38="Sa",$A38="So")</formula>
    </cfRule>
    <cfRule type="expression" dxfId="3254" priority="848">
      <formula>AND(B38&gt;0,INDIRECT("Basistabelle!G" &amp; ($A$1+C$1+B38))&lt;="",INDIRECT("Basistabelle!H" &amp; ($A$1+C$1+B38))&gt;"")</formula>
    </cfRule>
  </conditionalFormatting>
  <conditionalFormatting sqref="C37">
    <cfRule type="expression" dxfId="3253" priority="849">
      <formula>OR($A37="Sa",$A37="So")</formula>
    </cfRule>
    <cfRule type="expression" dxfId="3252" priority="850">
      <formula>AND(B37&gt;0,INDIRECT("Basistabelle!G" &amp; ($A$1+C$1+B37))&lt;="",INDIRECT("Basistabelle!H" &amp; ($A$1+C$1+B37))&gt;"")</formula>
    </cfRule>
  </conditionalFormatting>
  <conditionalFormatting sqref="C39">
    <cfRule type="expression" dxfId="3251" priority="845">
      <formula>OR($A39="Sa",$A39="So")</formula>
    </cfRule>
    <cfRule type="expression" dxfId="3250" priority="846">
      <formula>AND(B39&gt;0,INDIRECT("Basistabelle!G" &amp; ($A$1+C$1+B39))&lt;="",INDIRECT("Basistabelle!H" &amp; ($A$1+C$1+B39))&gt;"")</formula>
    </cfRule>
  </conditionalFormatting>
  <conditionalFormatting sqref="C40">
    <cfRule type="expression" dxfId="3249" priority="843">
      <formula>OR($A40="Sa",$A40="So")</formula>
    </cfRule>
    <cfRule type="expression" dxfId="3248" priority="844">
      <formula>AND(B40&gt;0,INDIRECT("Basistabelle!G" &amp; ($A$1+C$1+B40))&lt;="",INDIRECT("Basistabelle!H" &amp; ($A$1+C$1+B40))&gt;"")</formula>
    </cfRule>
  </conditionalFormatting>
  <conditionalFormatting sqref="C41">
    <cfRule type="expression" dxfId="3247" priority="841">
      <formula>OR($A41="Sa",$A41="So")</formula>
    </cfRule>
    <cfRule type="expression" dxfId="3246" priority="842">
      <formula>AND(B41&gt;0,INDIRECT("Basistabelle!G" &amp; ($A$1+C$1+B41))&lt;="",INDIRECT("Basistabelle!H" &amp; ($A$1+C$1+B41))&gt;"")</formula>
    </cfRule>
  </conditionalFormatting>
  <conditionalFormatting sqref="C5">
    <cfRule type="expression" dxfId="3245" priority="839">
      <formula>OR($A5="Sa",$A5="So")</formula>
    </cfRule>
    <cfRule type="expression" dxfId="3244" priority="840">
      <formula>AND(B5&gt;0,INDIRECT("Basistabelle!G" &amp; ($A$1+C$1+B5))&lt;="",INDIRECT("Basistabelle!H" &amp; ($A$1+C$1+B5))&gt;"")</formula>
    </cfRule>
  </conditionalFormatting>
  <conditionalFormatting sqref="C4">
    <cfRule type="expression" dxfId="3243" priority="837">
      <formula>OR($A4="Sa",$A4="So")</formula>
    </cfRule>
    <cfRule type="expression" dxfId="3242" priority="838">
      <formula>AND(B4&gt;0,INDIRECT("Basistabelle!G" &amp; ($A$1+C$1+B4))&lt;="",INDIRECT("Basistabelle!H" &amp; ($A$1+C$1+B4))&gt;"")</formula>
    </cfRule>
  </conditionalFormatting>
  <conditionalFormatting sqref="C3">
    <cfRule type="expression" dxfId="3241" priority="835">
      <formula>OR($A3="Sa",$A3="So")</formula>
    </cfRule>
    <cfRule type="expression" dxfId="3240" priority="836">
      <formula>AND(B3&gt;0,INDIRECT("Basistabelle!G" &amp; ($A$1+C$1+B3))&lt;="",INDIRECT("Basistabelle!H" &amp; ($A$1+C$1+B3))&gt;"")</formula>
    </cfRule>
  </conditionalFormatting>
  <conditionalFormatting sqref="BO3">
    <cfRule type="expression" dxfId="3239" priority="833">
      <formula>OR($A3="Sa",$A3="So")</formula>
    </cfRule>
    <cfRule type="expression" dxfId="3238" priority="834">
      <formula>AND(BN3&gt;0,INDIRECT("Basistabelle!G" &amp; ($A$1+BO$1+BN3))&lt;="",INDIRECT("Basistabelle!H" &amp; ($A$1+BO$1+BN3))&gt;"")</formula>
    </cfRule>
  </conditionalFormatting>
  <conditionalFormatting sqref="BO4">
    <cfRule type="expression" dxfId="3237" priority="831">
      <formula>OR($A4="Sa",$A4="So")</formula>
    </cfRule>
    <cfRule type="expression" dxfId="3236" priority="832">
      <formula>AND(BN4&gt;0,INDIRECT("Basistabelle!G" &amp; ($A$1+BO$1+BN4))&lt;="",INDIRECT("Basistabelle!H" &amp; ($A$1+BO$1+BN4))&gt;"")</formula>
    </cfRule>
  </conditionalFormatting>
  <conditionalFormatting sqref="BO5">
    <cfRule type="expression" dxfId="3235" priority="829">
      <formula>OR($A5="Sa",$A5="So")</formula>
    </cfRule>
    <cfRule type="expression" dxfId="3234" priority="830">
      <formula>AND(BN5&gt;0,INDIRECT("Basistabelle!G" &amp; ($A$1+BO$1+BN5))&lt;="",INDIRECT("Basistabelle!H" &amp; ($A$1+BO$1+BN5))&gt;"")</formula>
    </cfRule>
  </conditionalFormatting>
  <conditionalFormatting sqref="BO6">
    <cfRule type="expression" dxfId="3233" priority="827">
      <formula>OR($A6="Sa",$A6="So")</formula>
    </cfRule>
    <cfRule type="expression" dxfId="3232" priority="828">
      <formula>AND(BN6&gt;0,INDIRECT("Basistabelle!G" &amp; ($A$1+BO$1+BN6))&lt;="",INDIRECT("Basistabelle!H" &amp; ($A$1+BO$1+BN6))&gt;"")</formula>
    </cfRule>
  </conditionalFormatting>
  <conditionalFormatting sqref="BO7">
    <cfRule type="expression" dxfId="3231" priority="825">
      <formula>OR($A7="Sa",$A7="So")</formula>
    </cfRule>
    <cfRule type="expression" dxfId="3230" priority="826">
      <formula>AND(BN7&gt;0,INDIRECT("Basistabelle!G" &amp; ($A$1+BO$1+BN7))&lt;="",INDIRECT("Basistabelle!H" &amp; ($A$1+BO$1+BN7))&gt;"")</formula>
    </cfRule>
  </conditionalFormatting>
  <conditionalFormatting sqref="BO8">
    <cfRule type="expression" dxfId="3229" priority="823">
      <formula>OR($A8="Sa",$A8="So")</formula>
    </cfRule>
    <cfRule type="expression" dxfId="3228" priority="824">
      <formula>AND(BN8&gt;0,INDIRECT("Basistabelle!G" &amp; ($A$1+BO$1+BN8))&lt;="",INDIRECT("Basistabelle!H" &amp; ($A$1+BO$1+BN8))&gt;"")</formula>
    </cfRule>
  </conditionalFormatting>
  <conditionalFormatting sqref="BO9">
    <cfRule type="expression" dxfId="3227" priority="821">
      <formula>OR($A9="Sa",$A9="So")</formula>
    </cfRule>
    <cfRule type="expression" dxfId="3226" priority="822">
      <formula>AND(BN9&gt;0,INDIRECT("Basistabelle!G" &amp; ($A$1+BO$1+BN9))&lt;="",INDIRECT("Basistabelle!H" &amp; ($A$1+BO$1+BN9))&gt;"")</formula>
    </cfRule>
  </conditionalFormatting>
  <conditionalFormatting sqref="BO10">
    <cfRule type="expression" dxfId="3225" priority="819">
      <formula>OR($A10="Sa",$A10="So")</formula>
    </cfRule>
    <cfRule type="expression" dxfId="3224" priority="820">
      <formula>AND(BN10&gt;0,INDIRECT("Basistabelle!G" &amp; ($A$1+BO$1+BN10))&lt;="",INDIRECT("Basistabelle!H" &amp; ($A$1+BO$1+BN10))&gt;"")</formula>
    </cfRule>
  </conditionalFormatting>
  <conditionalFormatting sqref="BO11">
    <cfRule type="expression" dxfId="3223" priority="817">
      <formula>OR($A11="Sa",$A11="So")</formula>
    </cfRule>
    <cfRule type="expression" dxfId="3222" priority="818">
      <formula>AND(BN11&gt;0,INDIRECT("Basistabelle!G" &amp; ($A$1+BO$1+BN11))&lt;="",INDIRECT("Basistabelle!H" &amp; ($A$1+BO$1+BN11))&gt;"")</formula>
    </cfRule>
  </conditionalFormatting>
  <conditionalFormatting sqref="BO12">
    <cfRule type="expression" dxfId="3221" priority="815">
      <formula>OR($A12="Sa",$A12="So")</formula>
    </cfRule>
    <cfRule type="expression" dxfId="3220" priority="816">
      <formula>AND(BN12&gt;0,INDIRECT("Basistabelle!G" &amp; ($A$1+BO$1+BN12))&lt;="",INDIRECT("Basistabelle!H" &amp; ($A$1+BO$1+BN12))&gt;"")</formula>
    </cfRule>
  </conditionalFormatting>
  <conditionalFormatting sqref="BO13">
    <cfRule type="expression" dxfId="3219" priority="813">
      <formula>OR($A13="Sa",$A13="So")</formula>
    </cfRule>
    <cfRule type="expression" dxfId="3218" priority="814">
      <formula>AND(BN13&gt;0,INDIRECT("Basistabelle!G" &amp; ($A$1+BO$1+BN13))&lt;="",INDIRECT("Basistabelle!H" &amp; ($A$1+BO$1+BN13))&gt;"")</formula>
    </cfRule>
  </conditionalFormatting>
  <conditionalFormatting sqref="BO14">
    <cfRule type="expression" dxfId="3217" priority="811">
      <formula>OR($A14="Sa",$A14="So")</formula>
    </cfRule>
    <cfRule type="expression" dxfId="3216" priority="812">
      <formula>AND(BN14&gt;0,INDIRECT("Basistabelle!G" &amp; ($A$1+BO$1+BN14))&lt;="",INDIRECT("Basistabelle!H" &amp; ($A$1+BO$1+BN14))&gt;"")</formula>
    </cfRule>
  </conditionalFormatting>
  <conditionalFormatting sqref="BO15">
    <cfRule type="expression" dxfId="3215" priority="809">
      <formula>OR($A15="Sa",$A15="So")</formula>
    </cfRule>
    <cfRule type="expression" dxfId="3214" priority="810">
      <formula>AND(BN15&gt;0,INDIRECT("Basistabelle!G" &amp; ($A$1+BO$1+BN15))&lt;="",INDIRECT("Basistabelle!H" &amp; ($A$1+BO$1+BN15))&gt;"")</formula>
    </cfRule>
  </conditionalFormatting>
  <conditionalFormatting sqref="BO16">
    <cfRule type="expression" dxfId="3213" priority="807">
      <formula>OR($A16="Sa",$A16="So")</formula>
    </cfRule>
    <cfRule type="expression" dxfId="3212" priority="808">
      <formula>AND(BN16&gt;0,INDIRECT("Basistabelle!G" &amp; ($A$1+BO$1+BN16))&lt;="",INDIRECT("Basistabelle!H" &amp; ($A$1+BO$1+BN16))&gt;"")</formula>
    </cfRule>
  </conditionalFormatting>
  <conditionalFormatting sqref="BO17">
    <cfRule type="expression" dxfId="3211" priority="805">
      <formula>OR($A17="Sa",$A17="So")</formula>
    </cfRule>
    <cfRule type="expression" dxfId="3210" priority="806">
      <formula>AND(BN17&gt;0,INDIRECT("Basistabelle!G" &amp; ($A$1+BO$1+BN17))&lt;="",INDIRECT("Basistabelle!H" &amp; ($A$1+BO$1+BN17))&gt;"")</formula>
    </cfRule>
  </conditionalFormatting>
  <conditionalFormatting sqref="BO18">
    <cfRule type="expression" dxfId="3209" priority="803">
      <formula>OR($A18="Sa",$A18="So")</formula>
    </cfRule>
    <cfRule type="expression" dxfId="3208" priority="804">
      <formula>AND(BN18&gt;0,INDIRECT("Basistabelle!G" &amp; ($A$1+BO$1+BN18))&lt;="",INDIRECT("Basistabelle!H" &amp; ($A$1+BO$1+BN18))&gt;"")</formula>
    </cfRule>
  </conditionalFormatting>
  <conditionalFormatting sqref="BO19">
    <cfRule type="expression" dxfId="3207" priority="801">
      <formula>OR($A19="Sa",$A19="So")</formula>
    </cfRule>
    <cfRule type="expression" dxfId="3206" priority="802">
      <formula>AND(BN19&gt;0,INDIRECT("Basistabelle!G" &amp; ($A$1+BO$1+BN19))&lt;="",INDIRECT("Basistabelle!H" &amp; ($A$1+BO$1+BN19))&gt;"")</formula>
    </cfRule>
  </conditionalFormatting>
  <conditionalFormatting sqref="BO20">
    <cfRule type="expression" dxfId="3205" priority="799">
      <formula>OR($A20="Sa",$A20="So")</formula>
    </cfRule>
    <cfRule type="expression" dxfId="3204" priority="800">
      <formula>AND(BN20&gt;0,INDIRECT("Basistabelle!G" &amp; ($A$1+BO$1+BN20))&lt;="",INDIRECT("Basistabelle!H" &amp; ($A$1+BO$1+BN20))&gt;"")</formula>
    </cfRule>
  </conditionalFormatting>
  <conditionalFormatting sqref="BO21">
    <cfRule type="expression" dxfId="3203" priority="797">
      <formula>OR($A21="Sa",$A21="So")</formula>
    </cfRule>
    <cfRule type="expression" dxfId="3202" priority="798">
      <formula>AND(BN21&gt;0,INDIRECT("Basistabelle!G" &amp; ($A$1+BO$1+BN21))&lt;="",INDIRECT("Basistabelle!H" &amp; ($A$1+BO$1+BN21))&gt;"")</formula>
    </cfRule>
  </conditionalFormatting>
  <conditionalFormatting sqref="BO22">
    <cfRule type="expression" dxfId="3201" priority="795">
      <formula>OR($A22="Sa",$A22="So")</formula>
    </cfRule>
    <cfRule type="expression" dxfId="3200" priority="796">
      <formula>AND(BN22&gt;0,INDIRECT("Basistabelle!G" &amp; ($A$1+BO$1+BN22))&lt;="",INDIRECT("Basistabelle!H" &amp; ($A$1+BO$1+BN22))&gt;"")</formula>
    </cfRule>
  </conditionalFormatting>
  <conditionalFormatting sqref="BO23">
    <cfRule type="expression" dxfId="3199" priority="793">
      <formula>OR($A23="Sa",$A23="So")</formula>
    </cfRule>
    <cfRule type="expression" dxfId="3198" priority="794">
      <formula>AND(BN23&gt;0,INDIRECT("Basistabelle!G" &amp; ($A$1+BO$1+BN23))&lt;="",INDIRECT("Basistabelle!H" &amp; ($A$1+BO$1+BN23))&gt;"")</formula>
    </cfRule>
  </conditionalFormatting>
  <conditionalFormatting sqref="BO24">
    <cfRule type="expression" dxfId="3197" priority="791">
      <formula>OR($A24="Sa",$A24="So")</formula>
    </cfRule>
    <cfRule type="expression" dxfId="3196" priority="792">
      <formula>AND(BN24&gt;0,INDIRECT("Basistabelle!G" &amp; ($A$1+BO$1+BN24))&lt;="",INDIRECT("Basistabelle!H" &amp; ($A$1+BO$1+BN24))&gt;"")</formula>
    </cfRule>
  </conditionalFormatting>
  <conditionalFormatting sqref="BO25">
    <cfRule type="expression" dxfId="3195" priority="789">
      <formula>OR($A25="Sa",$A25="So")</formula>
    </cfRule>
    <cfRule type="expression" dxfId="3194" priority="790">
      <formula>AND(BN25&gt;0,INDIRECT("Basistabelle!G" &amp; ($A$1+BO$1+BN25))&lt;="",INDIRECT("Basistabelle!H" &amp; ($A$1+BO$1+BN25))&gt;"")</formula>
    </cfRule>
  </conditionalFormatting>
  <conditionalFormatting sqref="BO26">
    <cfRule type="expression" dxfId="3193" priority="787">
      <formula>OR($A26="Sa",$A26="So")</formula>
    </cfRule>
    <cfRule type="expression" dxfId="3192" priority="788">
      <formula>AND(BN26&gt;0,INDIRECT("Basistabelle!G" &amp; ($A$1+BO$1+BN26))&lt;="",INDIRECT("Basistabelle!H" &amp; ($A$1+BO$1+BN26))&gt;"")</formula>
    </cfRule>
  </conditionalFormatting>
  <conditionalFormatting sqref="BO27">
    <cfRule type="expression" dxfId="3191" priority="785">
      <formula>OR($A27="Sa",$A27="So")</formula>
    </cfRule>
    <cfRule type="expression" dxfId="3190" priority="786">
      <formula>AND(BN27&gt;0,INDIRECT("Basistabelle!G" &amp; ($A$1+BO$1+BN27))&lt;="",INDIRECT("Basistabelle!H" &amp; ($A$1+BO$1+BN27))&gt;"")</formula>
    </cfRule>
  </conditionalFormatting>
  <conditionalFormatting sqref="BO28">
    <cfRule type="expression" dxfId="3189" priority="783">
      <formula>OR($A28="Sa",$A28="So")</formula>
    </cfRule>
    <cfRule type="expression" dxfId="3188" priority="784">
      <formula>AND(BN28&gt;0,INDIRECT("Basistabelle!G" &amp; ($A$1+BO$1+BN28))&lt;="",INDIRECT("Basistabelle!H" &amp; ($A$1+BO$1+BN28))&gt;"")</formula>
    </cfRule>
  </conditionalFormatting>
  <conditionalFormatting sqref="BO29">
    <cfRule type="expression" dxfId="3187" priority="781">
      <formula>OR($A29="Sa",$A29="So")</formula>
    </cfRule>
    <cfRule type="expression" dxfId="3186" priority="782">
      <formula>AND(BN29&gt;0,INDIRECT("Basistabelle!G" &amp; ($A$1+BO$1+BN29))&lt;="",INDIRECT("Basistabelle!H" &amp; ($A$1+BO$1+BN29))&gt;"")</formula>
    </cfRule>
  </conditionalFormatting>
  <conditionalFormatting sqref="BO30">
    <cfRule type="expression" dxfId="3185" priority="779">
      <formula>OR($A30="Sa",$A30="So")</formula>
    </cfRule>
    <cfRule type="expression" dxfId="3184" priority="780">
      <formula>AND(BN30&gt;0,INDIRECT("Basistabelle!G" &amp; ($A$1+BO$1+BN30))&lt;="",INDIRECT("Basistabelle!H" &amp; ($A$1+BO$1+BN30))&gt;"")</formula>
    </cfRule>
  </conditionalFormatting>
  <conditionalFormatting sqref="BO31">
    <cfRule type="expression" dxfId="3183" priority="777">
      <formula>OR($A31="Sa",$A31="So")</formula>
    </cfRule>
    <cfRule type="expression" dxfId="3182" priority="778">
      <formula>AND(BN31&gt;0,INDIRECT("Basistabelle!G" &amp; ($A$1+BO$1+BN31))&lt;="",INDIRECT("Basistabelle!H" &amp; ($A$1+BO$1+BN31))&gt;"")</formula>
    </cfRule>
  </conditionalFormatting>
  <conditionalFormatting sqref="BO32">
    <cfRule type="expression" dxfId="3181" priority="775">
      <formula>OR($A32="Sa",$A32="So")</formula>
    </cfRule>
    <cfRule type="expression" dxfId="3180" priority="776">
      <formula>AND(BN32&gt;0,INDIRECT("Basistabelle!G" &amp; ($A$1+BO$1+BN32))&lt;="",INDIRECT("Basistabelle!H" &amp; ($A$1+BO$1+BN32))&gt;"")</formula>
    </cfRule>
  </conditionalFormatting>
  <conditionalFormatting sqref="BO33">
    <cfRule type="expression" dxfId="3179" priority="773">
      <formula>OR($A33="Sa",$A33="So")</formula>
    </cfRule>
    <cfRule type="expression" dxfId="3178" priority="774">
      <formula>AND(BN33&gt;0,INDIRECT("Basistabelle!G" &amp; ($A$1+BO$1+BN33))&lt;="",INDIRECT("Basistabelle!H" &amp; ($A$1+BO$1+BN33))&gt;"")</formula>
    </cfRule>
  </conditionalFormatting>
  <conditionalFormatting sqref="BO34">
    <cfRule type="expression" dxfId="3177" priority="771">
      <formula>OR($A34="Sa",$A34="So")</formula>
    </cfRule>
    <cfRule type="expression" dxfId="3176" priority="772">
      <formula>AND(BN34&gt;0,INDIRECT("Basistabelle!G" &amp; ($A$1+BO$1+BN34))&lt;="",INDIRECT("Basistabelle!H" &amp; ($A$1+BO$1+BN34))&gt;"")</formula>
    </cfRule>
  </conditionalFormatting>
  <conditionalFormatting sqref="BO35">
    <cfRule type="expression" dxfId="3175" priority="769">
      <formula>OR($A35="Sa",$A35="So")</formula>
    </cfRule>
    <cfRule type="expression" dxfId="3174" priority="770">
      <formula>AND(BN35&gt;0,INDIRECT("Basistabelle!G" &amp; ($A$1+BO$1+BN35))&lt;="",INDIRECT("Basistabelle!H" &amp; ($A$1+BO$1+BN35))&gt;"")</formula>
    </cfRule>
  </conditionalFormatting>
  <conditionalFormatting sqref="BO36">
    <cfRule type="expression" dxfId="3173" priority="767">
      <formula>OR($A36="Sa",$A36="So")</formula>
    </cfRule>
    <cfRule type="expression" dxfId="3172" priority="768">
      <formula>AND(BN36&gt;0,INDIRECT("Basistabelle!G" &amp; ($A$1+BO$1+BN36))&lt;="",INDIRECT("Basistabelle!H" &amp; ($A$1+BO$1+BN36))&gt;"")</formula>
    </cfRule>
  </conditionalFormatting>
  <conditionalFormatting sqref="BO37">
    <cfRule type="expression" dxfId="3171" priority="765">
      <formula>OR($A37="Sa",$A37="So")</formula>
    </cfRule>
    <cfRule type="expression" dxfId="3170" priority="766">
      <formula>AND(BN37&gt;0,INDIRECT("Basistabelle!G" &amp; ($A$1+BO$1+BN37))&lt;="",INDIRECT("Basistabelle!H" &amp; ($A$1+BO$1+BN37))&gt;"")</formula>
    </cfRule>
  </conditionalFormatting>
  <conditionalFormatting sqref="BO38">
    <cfRule type="expression" dxfId="3169" priority="763">
      <formula>OR($A38="Sa",$A38="So")</formula>
    </cfRule>
    <cfRule type="expression" dxfId="3168" priority="764">
      <formula>AND(BN38&gt;0,INDIRECT("Basistabelle!G" &amp; ($A$1+BO$1+BN38))&lt;="",INDIRECT("Basistabelle!H" &amp; ($A$1+BO$1+BN38))&gt;"")</formula>
    </cfRule>
  </conditionalFormatting>
  <conditionalFormatting sqref="BO39">
    <cfRule type="expression" dxfId="3167" priority="761">
      <formula>OR($A39="Sa",$A39="So")</formula>
    </cfRule>
    <cfRule type="expression" dxfId="3166" priority="762">
      <formula>AND(BN39&gt;0,INDIRECT("Basistabelle!G" &amp; ($A$1+BO$1+BN39))&lt;="",INDIRECT("Basistabelle!H" &amp; ($A$1+BO$1+BN39))&gt;"")</formula>
    </cfRule>
  </conditionalFormatting>
  <conditionalFormatting sqref="BO40">
    <cfRule type="expression" dxfId="3165" priority="759">
      <formula>OR($A40="Sa",$A40="So")</formula>
    </cfRule>
    <cfRule type="expression" dxfId="3164" priority="760">
      <formula>AND(BN40&gt;0,INDIRECT("Basistabelle!G" &amp; ($A$1+BO$1+BN40))&lt;="",INDIRECT("Basistabelle!H" &amp; ($A$1+BO$1+BN40))&gt;"")</formula>
    </cfRule>
  </conditionalFormatting>
  <conditionalFormatting sqref="BO41">
    <cfRule type="expression" dxfId="3163" priority="757">
      <formula>OR($A41="Sa",$A41="So")</formula>
    </cfRule>
    <cfRule type="expression" dxfId="3162" priority="758">
      <formula>AND(BN41&gt;0,INDIRECT("Basistabelle!G" &amp; ($A$1+BO$1+BN41))&lt;="",INDIRECT("Basistabelle!H" &amp; ($A$1+BO$1+BN41))&gt;"")</formula>
    </cfRule>
  </conditionalFormatting>
  <conditionalFormatting sqref="BW3:BW16">
    <cfRule type="expression" dxfId="3161" priority="755">
      <formula>OR($A3="Sa",$A3="So")</formula>
    </cfRule>
    <cfRule type="expression" dxfId="3160" priority="756">
      <formula>AND(BV3&gt;0,INDIRECT("Basistabelle!G" &amp; ($A$1+BW$1+BV3))&lt;="",INDIRECT("Basistabelle!H" &amp; ($A$1+BW$1+BV3))&gt;"")</formula>
    </cfRule>
  </conditionalFormatting>
  <conditionalFormatting sqref="BW17">
    <cfRule type="expression" dxfId="3159" priority="753">
      <formula>OR($A17="Sa",$A17="So")</formula>
    </cfRule>
    <cfRule type="expression" dxfId="3158" priority="754">
      <formula>AND(BV17&gt;0,INDIRECT("Basistabelle!G" &amp; ($A$1+BW$1+BV17))&lt;="",INDIRECT("Basistabelle!H" &amp; ($A$1+BW$1+BV17))&gt;"")</formula>
    </cfRule>
  </conditionalFormatting>
  <conditionalFormatting sqref="BW18">
    <cfRule type="expression" dxfId="3157" priority="751">
      <formula>OR($A18="Sa",$A18="So")</formula>
    </cfRule>
    <cfRule type="expression" dxfId="3156" priority="752">
      <formula>AND(BV18&gt;0,INDIRECT("Basistabelle!G" &amp; ($A$1+BW$1+BV18))&lt;="",INDIRECT("Basistabelle!H" &amp; ($A$1+BW$1+BV18))&gt;"")</formula>
    </cfRule>
  </conditionalFormatting>
  <conditionalFormatting sqref="BW19">
    <cfRule type="expression" dxfId="3155" priority="749">
      <formula>OR($A19="Sa",$A19="So")</formula>
    </cfRule>
    <cfRule type="expression" dxfId="3154" priority="750">
      <formula>AND(BV19&gt;0,INDIRECT("Basistabelle!G" &amp; ($A$1+BW$1+BV19))&lt;="",INDIRECT("Basistabelle!H" &amp; ($A$1+BW$1+BV19))&gt;"")</formula>
    </cfRule>
  </conditionalFormatting>
  <conditionalFormatting sqref="BW20">
    <cfRule type="expression" dxfId="3153" priority="747">
      <formula>OR($A20="Sa",$A20="So")</formula>
    </cfRule>
    <cfRule type="expression" dxfId="3152" priority="748">
      <formula>AND(BV20&gt;0,INDIRECT("Basistabelle!G" &amp; ($A$1+BW$1+BV20))&lt;="",INDIRECT("Basistabelle!H" &amp; ($A$1+BW$1+BV20))&gt;"")</formula>
    </cfRule>
  </conditionalFormatting>
  <conditionalFormatting sqref="BW21">
    <cfRule type="expression" dxfId="3151" priority="745">
      <formula>OR($A21="Sa",$A21="So")</formula>
    </cfRule>
    <cfRule type="expression" dxfId="3150" priority="746">
      <formula>AND(BV21&gt;0,INDIRECT("Basistabelle!G" &amp; ($A$1+BW$1+BV21))&lt;="",INDIRECT("Basistabelle!H" &amp; ($A$1+BW$1+BV21))&gt;"")</formula>
    </cfRule>
  </conditionalFormatting>
  <conditionalFormatting sqref="BW22">
    <cfRule type="expression" dxfId="3149" priority="743">
      <formula>OR($A22="Sa",$A22="So")</formula>
    </cfRule>
    <cfRule type="expression" dxfId="3148" priority="744">
      <formula>AND(BV22&gt;0,INDIRECT("Basistabelle!G" &amp; ($A$1+BW$1+BV22))&lt;="",INDIRECT("Basistabelle!H" &amp; ($A$1+BW$1+BV22))&gt;"")</formula>
    </cfRule>
  </conditionalFormatting>
  <conditionalFormatting sqref="BW23">
    <cfRule type="expression" dxfId="3147" priority="741">
      <formula>OR($A23="Sa",$A23="So")</formula>
    </cfRule>
    <cfRule type="expression" dxfId="3146" priority="742">
      <formula>AND(BV23&gt;0,INDIRECT("Basistabelle!G" &amp; ($A$1+BW$1+BV23))&lt;="",INDIRECT("Basistabelle!H" &amp; ($A$1+BW$1+BV23))&gt;"")</formula>
    </cfRule>
  </conditionalFormatting>
  <conditionalFormatting sqref="BW24">
    <cfRule type="expression" dxfId="3145" priority="739">
      <formula>OR($A24="Sa",$A24="So")</formula>
    </cfRule>
    <cfRule type="expression" dxfId="3144" priority="740">
      <formula>AND(BV24&gt;0,INDIRECT("Basistabelle!G" &amp; ($A$1+BW$1+BV24))&lt;="",INDIRECT("Basistabelle!H" &amp; ($A$1+BW$1+BV24))&gt;"")</formula>
    </cfRule>
  </conditionalFormatting>
  <conditionalFormatting sqref="BW25">
    <cfRule type="expression" dxfId="3143" priority="737">
      <formula>OR($A25="Sa",$A25="So")</formula>
    </cfRule>
    <cfRule type="expression" dxfId="3142" priority="738">
      <formula>AND(BV25&gt;0,INDIRECT("Basistabelle!G" &amp; ($A$1+BW$1+BV25))&lt;="",INDIRECT("Basistabelle!H" &amp; ($A$1+BW$1+BV25))&gt;"")</formula>
    </cfRule>
  </conditionalFormatting>
  <conditionalFormatting sqref="BW26">
    <cfRule type="expression" dxfId="3141" priority="735">
      <formula>OR($A26="Sa",$A26="So")</formula>
    </cfRule>
    <cfRule type="expression" dxfId="3140" priority="736">
      <formula>AND(BV26&gt;0,INDIRECT("Basistabelle!G" &amp; ($A$1+BW$1+BV26))&lt;="",INDIRECT("Basistabelle!H" &amp; ($A$1+BW$1+BV26))&gt;"")</formula>
    </cfRule>
  </conditionalFormatting>
  <conditionalFormatting sqref="BW27">
    <cfRule type="expression" dxfId="3139" priority="733">
      <formula>OR($A27="Sa",$A27="So")</formula>
    </cfRule>
    <cfRule type="expression" dxfId="3138" priority="734">
      <formula>AND(BV27&gt;0,INDIRECT("Basistabelle!G" &amp; ($A$1+BW$1+BV27))&lt;="",INDIRECT("Basistabelle!H" &amp; ($A$1+BW$1+BV27))&gt;"")</formula>
    </cfRule>
  </conditionalFormatting>
  <conditionalFormatting sqref="BW28">
    <cfRule type="expression" dxfId="3137" priority="731">
      <formula>OR($A28="Sa",$A28="So")</formula>
    </cfRule>
    <cfRule type="expression" dxfId="3136" priority="732">
      <formula>AND(BV28&gt;0,INDIRECT("Basistabelle!G" &amp; ($A$1+BW$1+BV28))&lt;="",INDIRECT("Basistabelle!H" &amp; ($A$1+BW$1+BV28))&gt;"")</formula>
    </cfRule>
  </conditionalFormatting>
  <conditionalFormatting sqref="BW29">
    <cfRule type="expression" dxfId="3135" priority="729">
      <formula>OR($A29="Sa",$A29="So")</formula>
    </cfRule>
    <cfRule type="expression" dxfId="3134" priority="730">
      <formula>AND(BV29&gt;0,INDIRECT("Basistabelle!G" &amp; ($A$1+BW$1+BV29))&lt;="",INDIRECT("Basistabelle!H" &amp; ($A$1+BW$1+BV29))&gt;"")</formula>
    </cfRule>
  </conditionalFormatting>
  <conditionalFormatting sqref="BW30">
    <cfRule type="expression" dxfId="3133" priority="727">
      <formula>OR($A30="Sa",$A30="So")</formula>
    </cfRule>
    <cfRule type="expression" dxfId="3132" priority="728">
      <formula>AND(BV30&gt;0,INDIRECT("Basistabelle!G" &amp; ($A$1+BW$1+BV30))&lt;="",INDIRECT("Basistabelle!H" &amp; ($A$1+BW$1+BV30))&gt;"")</formula>
    </cfRule>
  </conditionalFormatting>
  <conditionalFormatting sqref="BW31">
    <cfRule type="expression" dxfId="3131" priority="725">
      <formula>OR($A31="Sa",$A31="So")</formula>
    </cfRule>
    <cfRule type="expression" dxfId="3130" priority="726">
      <formula>AND(BV31&gt;0,INDIRECT("Basistabelle!G" &amp; ($A$1+BW$1+BV31))&lt;="",INDIRECT("Basistabelle!H" &amp; ($A$1+BW$1+BV31))&gt;"")</formula>
    </cfRule>
  </conditionalFormatting>
  <conditionalFormatting sqref="BW32">
    <cfRule type="expression" dxfId="3129" priority="723">
      <formula>OR($A32="Sa",$A32="So")</formula>
    </cfRule>
    <cfRule type="expression" dxfId="3128" priority="724">
      <formula>AND(BV32&gt;0,INDIRECT("Basistabelle!G" &amp; ($A$1+BW$1+BV32))&lt;="",INDIRECT("Basistabelle!H" &amp; ($A$1+BW$1+BV32))&gt;"")</formula>
    </cfRule>
  </conditionalFormatting>
  <conditionalFormatting sqref="BW33">
    <cfRule type="expression" dxfId="3127" priority="721">
      <formula>OR($A33="Sa",$A33="So")</formula>
    </cfRule>
    <cfRule type="expression" dxfId="3126" priority="722">
      <formula>AND(BV33&gt;0,INDIRECT("Basistabelle!G" &amp; ($A$1+BW$1+BV33))&lt;="",INDIRECT("Basistabelle!H" &amp; ($A$1+BW$1+BV33))&gt;"")</formula>
    </cfRule>
  </conditionalFormatting>
  <conditionalFormatting sqref="BW34">
    <cfRule type="expression" dxfId="3125" priority="719">
      <formula>OR($A34="Sa",$A34="So")</formula>
    </cfRule>
    <cfRule type="expression" dxfId="3124" priority="720">
      <formula>AND(BV34&gt;0,INDIRECT("Basistabelle!G" &amp; ($A$1+BW$1+BV34))&lt;="",INDIRECT("Basistabelle!H" &amp; ($A$1+BW$1+BV34))&gt;"")</formula>
    </cfRule>
  </conditionalFormatting>
  <conditionalFormatting sqref="BW35">
    <cfRule type="expression" dxfId="3123" priority="717">
      <formula>OR($A35="Sa",$A35="So")</formula>
    </cfRule>
    <cfRule type="expression" dxfId="3122" priority="718">
      <formula>AND(BV35&gt;0,INDIRECT("Basistabelle!G" &amp; ($A$1+BW$1+BV35))&lt;="",INDIRECT("Basistabelle!H" &amp; ($A$1+BW$1+BV35))&gt;"")</formula>
    </cfRule>
  </conditionalFormatting>
  <conditionalFormatting sqref="BW36">
    <cfRule type="expression" dxfId="3121" priority="715">
      <formula>OR($A36="Sa",$A36="So")</formula>
    </cfRule>
    <cfRule type="expression" dxfId="3120" priority="716">
      <formula>AND(BV36&gt;0,INDIRECT("Basistabelle!G" &amp; ($A$1+BW$1+BV36))&lt;="",INDIRECT("Basistabelle!H" &amp; ($A$1+BW$1+BV36))&gt;"")</formula>
    </cfRule>
  </conditionalFormatting>
  <conditionalFormatting sqref="BW37">
    <cfRule type="expression" dxfId="3119" priority="713">
      <formula>OR($A37="Sa",$A37="So")</formula>
    </cfRule>
    <cfRule type="expression" dxfId="3118" priority="714">
      <formula>AND(BV37&gt;0,INDIRECT("Basistabelle!G" &amp; ($A$1+BW$1+BV37))&lt;="",INDIRECT("Basistabelle!H" &amp; ($A$1+BW$1+BV37))&gt;"")</formula>
    </cfRule>
  </conditionalFormatting>
  <conditionalFormatting sqref="BW38">
    <cfRule type="expression" dxfId="3117" priority="711">
      <formula>OR($A38="Sa",$A38="So")</formula>
    </cfRule>
    <cfRule type="expression" dxfId="3116" priority="712">
      <formula>AND(BV38&gt;0,INDIRECT("Basistabelle!G" &amp; ($A$1+BW$1+BV38))&lt;="",INDIRECT("Basistabelle!H" &amp; ($A$1+BW$1+BV38))&gt;"")</formula>
    </cfRule>
  </conditionalFormatting>
  <conditionalFormatting sqref="BW39">
    <cfRule type="expression" dxfId="3115" priority="709">
      <formula>OR($A39="Sa",$A39="So")</formula>
    </cfRule>
    <cfRule type="expression" dxfId="3114" priority="710">
      <formula>AND(BV39&gt;0,INDIRECT("Basistabelle!G" &amp; ($A$1+BW$1+BV39))&lt;="",INDIRECT("Basistabelle!H" &amp; ($A$1+BW$1+BV39))&gt;"")</formula>
    </cfRule>
  </conditionalFormatting>
  <conditionalFormatting sqref="BW40">
    <cfRule type="expression" dxfId="3113" priority="707">
      <formula>OR($A40="Sa",$A40="So")</formula>
    </cfRule>
    <cfRule type="expression" dxfId="3112" priority="708">
      <formula>AND(BV40&gt;0,INDIRECT("Basistabelle!G" &amp; ($A$1+BW$1+BV40))&lt;="",INDIRECT("Basistabelle!H" &amp; ($A$1+BW$1+BV40))&gt;"")</formula>
    </cfRule>
  </conditionalFormatting>
  <conditionalFormatting sqref="BW41">
    <cfRule type="expression" dxfId="3111" priority="705">
      <formula>OR($A41="Sa",$A41="So")</formula>
    </cfRule>
    <cfRule type="expression" dxfId="3110" priority="706">
      <formula>AND(BV41&gt;0,INDIRECT("Basistabelle!G" &amp; ($A$1+BW$1+BV41))&lt;="",INDIRECT("Basistabelle!H" &amp; ($A$1+BW$1+BV41))&gt;"")</formula>
    </cfRule>
  </conditionalFormatting>
  <conditionalFormatting sqref="CE3">
    <cfRule type="expression" dxfId="3109" priority="703">
      <formula>OR($A3="Sa",$A3="So")</formula>
    </cfRule>
    <cfRule type="expression" dxfId="3108" priority="704">
      <formula>AND(CD3&gt;0,INDIRECT("Basistabelle!G" &amp; ($A$1+CE$1+CD3))&lt;="",INDIRECT("Basistabelle!H" &amp; ($A$1+CE$1+CD3))&gt;"")</formula>
    </cfRule>
  </conditionalFormatting>
  <conditionalFormatting sqref="CE4">
    <cfRule type="expression" dxfId="3107" priority="701">
      <formula>OR($A4="Sa",$A4="So")</formula>
    </cfRule>
    <cfRule type="expression" dxfId="3106" priority="702">
      <formula>AND(CD4&gt;0,INDIRECT("Basistabelle!G" &amp; ($A$1+CE$1+CD4))&lt;="",INDIRECT("Basistabelle!H" &amp; ($A$1+CE$1+CD4))&gt;"")</formula>
    </cfRule>
  </conditionalFormatting>
  <conditionalFormatting sqref="CE5">
    <cfRule type="expression" dxfId="3105" priority="699">
      <formula>OR($A5="Sa",$A5="So")</formula>
    </cfRule>
    <cfRule type="expression" dxfId="3104" priority="700">
      <formula>AND(CD5&gt;0,INDIRECT("Basistabelle!G" &amp; ($A$1+CE$1+CD5))&lt;="",INDIRECT("Basistabelle!H" &amp; ($A$1+CE$1+CD5))&gt;"")</formula>
    </cfRule>
  </conditionalFormatting>
  <conditionalFormatting sqref="CE6">
    <cfRule type="expression" dxfId="3103" priority="697">
      <formula>OR($A6="Sa",$A6="So")</formula>
    </cfRule>
    <cfRule type="expression" dxfId="3102" priority="698">
      <formula>AND(CD6&gt;0,INDIRECT("Basistabelle!G" &amp; ($A$1+CE$1+CD6))&lt;="",INDIRECT("Basistabelle!H" &amp; ($A$1+CE$1+CD6))&gt;"")</formula>
    </cfRule>
  </conditionalFormatting>
  <conditionalFormatting sqref="CE7">
    <cfRule type="expression" dxfId="3101" priority="695">
      <formula>OR($A7="Sa",$A7="So")</formula>
    </cfRule>
    <cfRule type="expression" dxfId="3100" priority="696">
      <formula>AND(CD7&gt;0,INDIRECT("Basistabelle!G" &amp; ($A$1+CE$1+CD7))&lt;="",INDIRECT("Basistabelle!H" &amp; ($A$1+CE$1+CD7))&gt;"")</formula>
    </cfRule>
  </conditionalFormatting>
  <conditionalFormatting sqref="CE8">
    <cfRule type="expression" dxfId="3099" priority="693">
      <formula>OR($A8="Sa",$A8="So")</formula>
    </cfRule>
    <cfRule type="expression" dxfId="3098" priority="694">
      <formula>AND(CD8&gt;0,INDIRECT("Basistabelle!G" &amp; ($A$1+CE$1+CD8))&lt;="",INDIRECT("Basistabelle!H" &amp; ($A$1+CE$1+CD8))&gt;"")</formula>
    </cfRule>
  </conditionalFormatting>
  <conditionalFormatting sqref="CE9">
    <cfRule type="expression" dxfId="3097" priority="691">
      <formula>OR($A9="Sa",$A9="So")</formula>
    </cfRule>
    <cfRule type="expression" dxfId="3096" priority="692">
      <formula>AND(CD9&gt;0,INDIRECT("Basistabelle!G" &amp; ($A$1+CE$1+CD9))&lt;="",INDIRECT("Basistabelle!H" &amp; ($A$1+CE$1+CD9))&gt;"")</formula>
    </cfRule>
  </conditionalFormatting>
  <conditionalFormatting sqref="CE10">
    <cfRule type="expression" dxfId="3095" priority="689">
      <formula>OR($A10="Sa",$A10="So")</formula>
    </cfRule>
    <cfRule type="expression" dxfId="3094" priority="690">
      <formula>AND(CD10&gt;0,INDIRECT("Basistabelle!G" &amp; ($A$1+CE$1+CD10))&lt;="",INDIRECT("Basistabelle!H" &amp; ($A$1+CE$1+CD10))&gt;"")</formula>
    </cfRule>
  </conditionalFormatting>
  <conditionalFormatting sqref="CE11">
    <cfRule type="expression" dxfId="3093" priority="687">
      <formula>OR($A11="Sa",$A11="So")</formula>
    </cfRule>
    <cfRule type="expression" dxfId="3092" priority="688">
      <formula>AND(CD11&gt;0,INDIRECT("Basistabelle!G" &amp; ($A$1+CE$1+CD11))&lt;="",INDIRECT("Basistabelle!H" &amp; ($A$1+CE$1+CD11))&gt;"")</formula>
    </cfRule>
  </conditionalFormatting>
  <conditionalFormatting sqref="CE12">
    <cfRule type="expression" dxfId="3091" priority="685">
      <formula>OR($A12="Sa",$A12="So")</formula>
    </cfRule>
    <cfRule type="expression" dxfId="3090" priority="686">
      <formula>AND(CD12&gt;0,INDIRECT("Basistabelle!G" &amp; ($A$1+CE$1+CD12))&lt;="",INDIRECT("Basistabelle!H" &amp; ($A$1+CE$1+CD12))&gt;"")</formula>
    </cfRule>
  </conditionalFormatting>
  <conditionalFormatting sqref="CE13">
    <cfRule type="expression" dxfId="3089" priority="683">
      <formula>OR($A13="Sa",$A13="So")</formula>
    </cfRule>
    <cfRule type="expression" dxfId="3088" priority="684">
      <formula>AND(CD13&gt;0,INDIRECT("Basistabelle!G" &amp; ($A$1+CE$1+CD13))&lt;="",INDIRECT("Basistabelle!H" &amp; ($A$1+CE$1+CD13))&gt;"")</formula>
    </cfRule>
  </conditionalFormatting>
  <conditionalFormatting sqref="CE14">
    <cfRule type="expression" dxfId="3087" priority="681">
      <formula>OR($A14="Sa",$A14="So")</formula>
    </cfRule>
    <cfRule type="expression" dxfId="3086" priority="682">
      <formula>AND(CD14&gt;0,INDIRECT("Basistabelle!G" &amp; ($A$1+CE$1+CD14))&lt;="",INDIRECT("Basistabelle!H" &amp; ($A$1+CE$1+CD14))&gt;"")</formula>
    </cfRule>
  </conditionalFormatting>
  <conditionalFormatting sqref="CE15">
    <cfRule type="expression" dxfId="3085" priority="679">
      <formula>OR($A15="Sa",$A15="So")</formula>
    </cfRule>
    <cfRule type="expression" dxfId="3084" priority="680">
      <formula>AND(CD15&gt;0,INDIRECT("Basistabelle!G" &amp; ($A$1+CE$1+CD15))&lt;="",INDIRECT("Basistabelle!H" &amp; ($A$1+CE$1+CD15))&gt;"")</formula>
    </cfRule>
  </conditionalFormatting>
  <conditionalFormatting sqref="CE16">
    <cfRule type="expression" dxfId="3083" priority="677">
      <formula>OR($A16="Sa",$A16="So")</formula>
    </cfRule>
    <cfRule type="expression" dxfId="3082" priority="678">
      <formula>AND(CD16&gt;0,INDIRECT("Basistabelle!G" &amp; ($A$1+CE$1+CD16))&lt;="",INDIRECT("Basistabelle!H" &amp; ($A$1+CE$1+CD16))&gt;"")</formula>
    </cfRule>
  </conditionalFormatting>
  <conditionalFormatting sqref="CE17">
    <cfRule type="expression" dxfId="3081" priority="675">
      <formula>OR($A17="Sa",$A17="So")</formula>
    </cfRule>
    <cfRule type="expression" dxfId="3080" priority="676">
      <formula>AND(CD17&gt;0,INDIRECT("Basistabelle!G" &amp; ($A$1+CE$1+CD17))&lt;="",INDIRECT("Basistabelle!H" &amp; ($A$1+CE$1+CD17))&gt;"")</formula>
    </cfRule>
  </conditionalFormatting>
  <conditionalFormatting sqref="CE18">
    <cfRule type="expression" dxfId="3079" priority="673">
      <formula>OR($A18="Sa",$A18="So")</formula>
    </cfRule>
    <cfRule type="expression" dxfId="3078" priority="674">
      <formula>AND(CD18&gt;0,INDIRECT("Basistabelle!G" &amp; ($A$1+CE$1+CD18))&lt;="",INDIRECT("Basistabelle!H" &amp; ($A$1+CE$1+CD18))&gt;"")</formula>
    </cfRule>
  </conditionalFormatting>
  <conditionalFormatting sqref="CE19">
    <cfRule type="expression" dxfId="3077" priority="671">
      <formula>OR($A19="Sa",$A19="So")</formula>
    </cfRule>
    <cfRule type="expression" dxfId="3076" priority="672">
      <formula>AND(CD19&gt;0,INDIRECT("Basistabelle!G" &amp; ($A$1+CE$1+CD19))&lt;="",INDIRECT("Basistabelle!H" &amp; ($A$1+CE$1+CD19))&gt;"")</formula>
    </cfRule>
  </conditionalFormatting>
  <conditionalFormatting sqref="CE20">
    <cfRule type="expression" dxfId="3075" priority="669">
      <formula>OR($A20="Sa",$A20="So")</formula>
    </cfRule>
    <cfRule type="expression" dxfId="3074" priority="670">
      <formula>AND(CD20&gt;0,INDIRECT("Basistabelle!G" &amp; ($A$1+CE$1+CD20))&lt;="",INDIRECT("Basistabelle!H" &amp; ($A$1+CE$1+CD20))&gt;"")</formula>
    </cfRule>
  </conditionalFormatting>
  <conditionalFormatting sqref="CE21">
    <cfRule type="expression" dxfId="3073" priority="667">
      <formula>OR($A21="Sa",$A21="So")</formula>
    </cfRule>
    <cfRule type="expression" dxfId="3072" priority="668">
      <formula>AND(CD21&gt;0,INDIRECT("Basistabelle!G" &amp; ($A$1+CE$1+CD21))&lt;="",INDIRECT("Basistabelle!H" &amp; ($A$1+CE$1+CD21))&gt;"")</formula>
    </cfRule>
  </conditionalFormatting>
  <conditionalFormatting sqref="CE22">
    <cfRule type="expression" dxfId="3071" priority="665">
      <formula>OR($A22="Sa",$A22="So")</formula>
    </cfRule>
    <cfRule type="expression" dxfId="3070" priority="666">
      <formula>AND(CD22&gt;0,INDIRECT("Basistabelle!G" &amp; ($A$1+CE$1+CD22))&lt;="",INDIRECT("Basistabelle!H" &amp; ($A$1+CE$1+CD22))&gt;"")</formula>
    </cfRule>
  </conditionalFormatting>
  <conditionalFormatting sqref="CE23">
    <cfRule type="expression" dxfId="3069" priority="663">
      <formula>OR($A23="Sa",$A23="So")</formula>
    </cfRule>
    <cfRule type="expression" dxfId="3068" priority="664">
      <formula>AND(CD23&gt;0,INDIRECT("Basistabelle!G" &amp; ($A$1+CE$1+CD23))&lt;="",INDIRECT("Basistabelle!H" &amp; ($A$1+CE$1+CD23))&gt;"")</formula>
    </cfRule>
  </conditionalFormatting>
  <conditionalFormatting sqref="CE24">
    <cfRule type="expression" dxfId="3067" priority="661">
      <formula>OR($A24="Sa",$A24="So")</formula>
    </cfRule>
    <cfRule type="expression" dxfId="3066" priority="662">
      <formula>AND(CD24&gt;0,INDIRECT("Basistabelle!G" &amp; ($A$1+CE$1+CD24))&lt;="",INDIRECT("Basistabelle!H" &amp; ($A$1+CE$1+CD24))&gt;"")</formula>
    </cfRule>
  </conditionalFormatting>
  <conditionalFormatting sqref="CE25">
    <cfRule type="expression" dxfId="3065" priority="659">
      <formula>OR($A25="Sa",$A25="So")</formula>
    </cfRule>
    <cfRule type="expression" dxfId="3064" priority="660">
      <formula>AND(CD25&gt;0,INDIRECT("Basistabelle!G" &amp; ($A$1+CE$1+CD25))&lt;="",INDIRECT("Basistabelle!H" &amp; ($A$1+CE$1+CD25))&gt;"")</formula>
    </cfRule>
  </conditionalFormatting>
  <conditionalFormatting sqref="CE26">
    <cfRule type="expression" dxfId="3063" priority="657">
      <formula>OR($A26="Sa",$A26="So")</formula>
    </cfRule>
    <cfRule type="expression" dxfId="3062" priority="658">
      <formula>AND(CD26&gt;0,INDIRECT("Basistabelle!G" &amp; ($A$1+CE$1+CD26))&lt;="",INDIRECT("Basistabelle!H" &amp; ($A$1+CE$1+CD26))&gt;"")</formula>
    </cfRule>
  </conditionalFormatting>
  <conditionalFormatting sqref="CE27">
    <cfRule type="expression" dxfId="3061" priority="655">
      <formula>OR($A27="Sa",$A27="So")</formula>
    </cfRule>
    <cfRule type="expression" dxfId="3060" priority="656">
      <formula>AND(CD27&gt;0,INDIRECT("Basistabelle!G" &amp; ($A$1+CE$1+CD27))&lt;="",INDIRECT("Basistabelle!H" &amp; ($A$1+CE$1+CD27))&gt;"")</formula>
    </cfRule>
  </conditionalFormatting>
  <conditionalFormatting sqref="CE28">
    <cfRule type="expression" dxfId="3059" priority="653">
      <formula>OR($A28="Sa",$A28="So")</formula>
    </cfRule>
    <cfRule type="expression" dxfId="3058" priority="654">
      <formula>AND(CD28&gt;0,INDIRECT("Basistabelle!G" &amp; ($A$1+CE$1+CD28))&lt;="",INDIRECT("Basistabelle!H" &amp; ($A$1+CE$1+CD28))&gt;"")</formula>
    </cfRule>
  </conditionalFormatting>
  <conditionalFormatting sqref="CE29">
    <cfRule type="expression" dxfId="3057" priority="651">
      <formula>OR($A29="Sa",$A29="So")</formula>
    </cfRule>
    <cfRule type="expression" dxfId="3056" priority="652">
      <formula>AND(CD29&gt;0,INDIRECT("Basistabelle!G" &amp; ($A$1+CE$1+CD29))&lt;="",INDIRECT("Basistabelle!H" &amp; ($A$1+CE$1+CD29))&gt;"")</formula>
    </cfRule>
  </conditionalFormatting>
  <conditionalFormatting sqref="CE30">
    <cfRule type="expression" dxfId="3055" priority="649">
      <formula>OR($A30="Sa",$A30="So")</formula>
    </cfRule>
    <cfRule type="expression" dxfId="3054" priority="650">
      <formula>AND(CD30&gt;0,INDIRECT("Basistabelle!G" &amp; ($A$1+CE$1+CD30))&lt;="",INDIRECT("Basistabelle!H" &amp; ($A$1+CE$1+CD30))&gt;"")</formula>
    </cfRule>
  </conditionalFormatting>
  <conditionalFormatting sqref="CE31">
    <cfRule type="expression" dxfId="3053" priority="647">
      <formula>OR($A31="Sa",$A31="So")</formula>
    </cfRule>
    <cfRule type="expression" dxfId="3052" priority="648">
      <formula>AND(CD31&gt;0,INDIRECT("Basistabelle!G" &amp; ($A$1+CE$1+CD31))&lt;="",INDIRECT("Basistabelle!H" &amp; ($A$1+CE$1+CD31))&gt;"")</formula>
    </cfRule>
  </conditionalFormatting>
  <conditionalFormatting sqref="CE32">
    <cfRule type="expression" dxfId="3051" priority="645">
      <formula>OR($A32="Sa",$A32="So")</formula>
    </cfRule>
    <cfRule type="expression" dxfId="3050" priority="646">
      <formula>AND(CD32&gt;0,INDIRECT("Basistabelle!G" &amp; ($A$1+CE$1+CD32))&lt;="",INDIRECT("Basistabelle!H" &amp; ($A$1+CE$1+CD32))&gt;"")</formula>
    </cfRule>
  </conditionalFormatting>
  <conditionalFormatting sqref="CE33">
    <cfRule type="expression" dxfId="3049" priority="643">
      <formula>OR($A33="Sa",$A33="So")</formula>
    </cfRule>
    <cfRule type="expression" dxfId="3048" priority="644">
      <formula>AND(CD33&gt;0,INDIRECT("Basistabelle!G" &amp; ($A$1+CE$1+CD33))&lt;="",INDIRECT("Basistabelle!H" &amp; ($A$1+CE$1+CD33))&gt;"")</formula>
    </cfRule>
  </conditionalFormatting>
  <conditionalFormatting sqref="CE34">
    <cfRule type="expression" dxfId="3047" priority="641">
      <formula>OR($A34="Sa",$A34="So")</formula>
    </cfRule>
    <cfRule type="expression" dxfId="3046" priority="642">
      <formula>AND(CD34&gt;0,INDIRECT("Basistabelle!G" &amp; ($A$1+CE$1+CD34))&lt;="",INDIRECT("Basistabelle!H" &amp; ($A$1+CE$1+CD34))&gt;"")</formula>
    </cfRule>
  </conditionalFormatting>
  <conditionalFormatting sqref="CE35">
    <cfRule type="expression" dxfId="3045" priority="639">
      <formula>OR($A35="Sa",$A35="So")</formula>
    </cfRule>
    <cfRule type="expression" dxfId="3044" priority="640">
      <formula>AND(CD35&gt;0,INDIRECT("Basistabelle!G" &amp; ($A$1+CE$1+CD35))&lt;="",INDIRECT("Basistabelle!H" &amp; ($A$1+CE$1+CD35))&gt;"")</formula>
    </cfRule>
  </conditionalFormatting>
  <conditionalFormatting sqref="CE36">
    <cfRule type="expression" dxfId="3043" priority="637">
      <formula>OR($A36="Sa",$A36="So")</formula>
    </cfRule>
    <cfRule type="expression" dxfId="3042" priority="638">
      <formula>AND(CD36&gt;0,INDIRECT("Basistabelle!G" &amp; ($A$1+CE$1+CD36))&lt;="",INDIRECT("Basistabelle!H" &amp; ($A$1+CE$1+CD36))&gt;"")</formula>
    </cfRule>
  </conditionalFormatting>
  <conditionalFormatting sqref="CE37">
    <cfRule type="expression" dxfId="3041" priority="635">
      <formula>OR($A37="Sa",$A37="So")</formula>
    </cfRule>
    <cfRule type="expression" dxfId="3040" priority="636">
      <formula>AND(CD37&gt;0,INDIRECT("Basistabelle!G" &amp; ($A$1+CE$1+CD37))&lt;="",INDIRECT("Basistabelle!H" &amp; ($A$1+CE$1+CD37))&gt;"")</formula>
    </cfRule>
  </conditionalFormatting>
  <conditionalFormatting sqref="CE38">
    <cfRule type="expression" dxfId="3039" priority="633">
      <formula>OR($A38="Sa",$A38="So")</formula>
    </cfRule>
    <cfRule type="expression" dxfId="3038" priority="634">
      <formula>AND(CD38&gt;0,INDIRECT("Basistabelle!G" &amp; ($A$1+CE$1+CD38))&lt;="",INDIRECT("Basistabelle!H" &amp; ($A$1+CE$1+CD38))&gt;"")</formula>
    </cfRule>
  </conditionalFormatting>
  <conditionalFormatting sqref="CE39">
    <cfRule type="expression" dxfId="3037" priority="631">
      <formula>OR($A39="Sa",$A39="So")</formula>
    </cfRule>
    <cfRule type="expression" dxfId="3036" priority="632">
      <formula>AND(CD39&gt;0,INDIRECT("Basistabelle!G" &amp; ($A$1+CE$1+CD39))&lt;="",INDIRECT("Basistabelle!H" &amp; ($A$1+CE$1+CD39))&gt;"")</formula>
    </cfRule>
  </conditionalFormatting>
  <conditionalFormatting sqref="CE40">
    <cfRule type="expression" dxfId="3035" priority="629">
      <formula>OR($A40="Sa",$A40="So")</formula>
    </cfRule>
    <cfRule type="expression" dxfId="3034" priority="630">
      <formula>AND(CD40&gt;0,INDIRECT("Basistabelle!G" &amp; ($A$1+CE$1+CD40))&lt;="",INDIRECT("Basistabelle!H" &amp; ($A$1+CE$1+CD40))&gt;"")</formula>
    </cfRule>
  </conditionalFormatting>
  <conditionalFormatting sqref="CE41">
    <cfRule type="expression" dxfId="3033" priority="627">
      <formula>OR($A41="Sa",$A41="So")</formula>
    </cfRule>
    <cfRule type="expression" dxfId="3032" priority="628">
      <formula>AND(CD41&gt;0,INDIRECT("Basistabelle!G" &amp; ($A$1+CE$1+CD41))&lt;="",INDIRECT("Basistabelle!H" &amp; ($A$1+CE$1+CD41))&gt;"")</formula>
    </cfRule>
  </conditionalFormatting>
  <conditionalFormatting sqref="CM3">
    <cfRule type="expression" dxfId="3031" priority="625">
      <formula>OR($A3="Sa",$A3="So")</formula>
    </cfRule>
    <cfRule type="expression" dxfId="3030" priority="626">
      <formula>AND(CL3&gt;0,INDIRECT("Basistabelle!G" &amp; ($A$1+CM$1+CL3))&lt;="",INDIRECT("Basistabelle!H" &amp; ($A$1+CM$1+CL3))&gt;"")</formula>
    </cfRule>
  </conditionalFormatting>
  <conditionalFormatting sqref="CM4">
    <cfRule type="expression" dxfId="3029" priority="623">
      <formula>OR($A4="Sa",$A4="So")</formula>
    </cfRule>
    <cfRule type="expression" dxfId="3028" priority="624">
      <formula>AND(CL4&gt;0,INDIRECT("Basistabelle!G" &amp; ($A$1+CM$1+CL4))&lt;="",INDIRECT("Basistabelle!H" &amp; ($A$1+CM$1+CL4))&gt;"")</formula>
    </cfRule>
  </conditionalFormatting>
  <conditionalFormatting sqref="CM5">
    <cfRule type="expression" dxfId="3027" priority="621">
      <formula>OR($A5="Sa",$A5="So")</formula>
    </cfRule>
    <cfRule type="expression" dxfId="3026" priority="622">
      <formula>AND(CL5&gt;0,INDIRECT("Basistabelle!G" &amp; ($A$1+CM$1+CL5))&lt;="",INDIRECT("Basistabelle!H" &amp; ($A$1+CM$1+CL5))&gt;"")</formula>
    </cfRule>
  </conditionalFormatting>
  <conditionalFormatting sqref="CM6">
    <cfRule type="expression" dxfId="3025" priority="619">
      <formula>OR($A6="Sa",$A6="So")</formula>
    </cfRule>
    <cfRule type="expression" dxfId="3024" priority="620">
      <formula>AND(CL6&gt;0,INDIRECT("Basistabelle!G" &amp; ($A$1+CM$1+CL6))&lt;="",INDIRECT("Basistabelle!H" &amp; ($A$1+CM$1+CL6))&gt;"")</formula>
    </cfRule>
  </conditionalFormatting>
  <conditionalFormatting sqref="CM7">
    <cfRule type="expression" dxfId="3023" priority="617">
      <formula>OR($A7="Sa",$A7="So")</formula>
    </cfRule>
    <cfRule type="expression" dxfId="3022" priority="618">
      <formula>AND(CL7&gt;0,INDIRECT("Basistabelle!G" &amp; ($A$1+CM$1+CL7))&lt;="",INDIRECT("Basistabelle!H" &amp; ($A$1+CM$1+CL7))&gt;"")</formula>
    </cfRule>
  </conditionalFormatting>
  <conditionalFormatting sqref="CM8">
    <cfRule type="expression" dxfId="3021" priority="615">
      <formula>OR($A8="Sa",$A8="So")</formula>
    </cfRule>
    <cfRule type="expression" dxfId="3020" priority="616">
      <formula>AND(CL8&gt;0,INDIRECT("Basistabelle!G" &amp; ($A$1+CM$1+CL8))&lt;="",INDIRECT("Basistabelle!H" &amp; ($A$1+CM$1+CL8))&gt;"")</formula>
    </cfRule>
  </conditionalFormatting>
  <conditionalFormatting sqref="CM9">
    <cfRule type="expression" dxfId="3019" priority="613">
      <formula>OR($A9="Sa",$A9="So")</formula>
    </cfRule>
    <cfRule type="expression" dxfId="3018" priority="614">
      <formula>AND(CL9&gt;0,INDIRECT("Basistabelle!G" &amp; ($A$1+CM$1+CL9))&lt;="",INDIRECT("Basistabelle!H" &amp; ($A$1+CM$1+CL9))&gt;"")</formula>
    </cfRule>
  </conditionalFormatting>
  <conditionalFormatting sqref="CM10">
    <cfRule type="expression" dxfId="3017" priority="611">
      <formula>OR($A10="Sa",$A10="So")</formula>
    </cfRule>
    <cfRule type="expression" dxfId="3016" priority="612">
      <formula>AND(CL10&gt;0,INDIRECT("Basistabelle!G" &amp; ($A$1+CM$1+CL10))&lt;="",INDIRECT("Basistabelle!H" &amp; ($A$1+CM$1+CL10))&gt;"")</formula>
    </cfRule>
  </conditionalFormatting>
  <conditionalFormatting sqref="CM11">
    <cfRule type="expression" dxfId="3015" priority="609">
      <formula>OR($A11="Sa",$A11="So")</formula>
    </cfRule>
    <cfRule type="expression" dxfId="3014" priority="610">
      <formula>AND(CL11&gt;0,INDIRECT("Basistabelle!G" &amp; ($A$1+CM$1+CL11))&lt;="",INDIRECT("Basistabelle!H" &amp; ($A$1+CM$1+CL11))&gt;"")</formula>
    </cfRule>
  </conditionalFormatting>
  <conditionalFormatting sqref="CM12">
    <cfRule type="expression" dxfId="3013" priority="607">
      <formula>OR($A12="Sa",$A12="So")</formula>
    </cfRule>
    <cfRule type="expression" dxfId="3012" priority="608">
      <formula>AND(CL12&gt;0,INDIRECT("Basistabelle!G" &amp; ($A$1+CM$1+CL12))&lt;="",INDIRECT("Basistabelle!H" &amp; ($A$1+CM$1+CL12))&gt;"")</formula>
    </cfRule>
  </conditionalFormatting>
  <conditionalFormatting sqref="CM13">
    <cfRule type="expression" dxfId="3011" priority="605">
      <formula>OR($A13="Sa",$A13="So")</formula>
    </cfRule>
    <cfRule type="expression" dxfId="3010" priority="606">
      <formula>AND(CL13&gt;0,INDIRECT("Basistabelle!G" &amp; ($A$1+CM$1+CL13))&lt;="",INDIRECT("Basistabelle!H" &amp; ($A$1+CM$1+CL13))&gt;"")</formula>
    </cfRule>
  </conditionalFormatting>
  <conditionalFormatting sqref="CM14">
    <cfRule type="expression" dxfId="3009" priority="603">
      <formula>OR($A14="Sa",$A14="So")</formula>
    </cfRule>
    <cfRule type="expression" dxfId="3008" priority="604">
      <formula>AND(CL14&gt;0,INDIRECT("Basistabelle!G" &amp; ($A$1+CM$1+CL14))&lt;="",INDIRECT("Basistabelle!H" &amp; ($A$1+CM$1+CL14))&gt;"")</formula>
    </cfRule>
  </conditionalFormatting>
  <conditionalFormatting sqref="CM15">
    <cfRule type="expression" dxfId="3007" priority="601">
      <formula>OR($A15="Sa",$A15="So")</formula>
    </cfRule>
    <cfRule type="expression" dxfId="3006" priority="602">
      <formula>AND(CL15&gt;0,INDIRECT("Basistabelle!G" &amp; ($A$1+CM$1+CL15))&lt;="",INDIRECT("Basistabelle!H" &amp; ($A$1+CM$1+CL15))&gt;"")</formula>
    </cfRule>
  </conditionalFormatting>
  <conditionalFormatting sqref="CM16">
    <cfRule type="expression" dxfId="3005" priority="599">
      <formula>OR($A16="Sa",$A16="So")</formula>
    </cfRule>
    <cfRule type="expression" dxfId="3004" priority="600">
      <formula>AND(CL16&gt;0,INDIRECT("Basistabelle!G" &amp; ($A$1+CM$1+CL16))&lt;="",INDIRECT("Basistabelle!H" &amp; ($A$1+CM$1+CL16))&gt;"")</formula>
    </cfRule>
  </conditionalFormatting>
  <conditionalFormatting sqref="CM17">
    <cfRule type="expression" dxfId="3003" priority="597">
      <formula>OR($A17="Sa",$A17="So")</formula>
    </cfRule>
    <cfRule type="expression" dxfId="3002" priority="598">
      <formula>AND(CL17&gt;0,INDIRECT("Basistabelle!G" &amp; ($A$1+CM$1+CL17))&lt;="",INDIRECT("Basistabelle!H" &amp; ($A$1+CM$1+CL17))&gt;"")</formula>
    </cfRule>
  </conditionalFormatting>
  <conditionalFormatting sqref="CM18">
    <cfRule type="expression" dxfId="3001" priority="595">
      <formula>OR($A18="Sa",$A18="So")</formula>
    </cfRule>
    <cfRule type="expression" dxfId="3000" priority="596">
      <formula>AND(CL18&gt;0,INDIRECT("Basistabelle!G" &amp; ($A$1+CM$1+CL18))&lt;="",INDIRECT("Basistabelle!H" &amp; ($A$1+CM$1+CL18))&gt;"")</formula>
    </cfRule>
  </conditionalFormatting>
  <conditionalFormatting sqref="CM19">
    <cfRule type="expression" dxfId="2999" priority="593">
      <formula>OR($A19="Sa",$A19="So")</formula>
    </cfRule>
    <cfRule type="expression" dxfId="2998" priority="594">
      <formula>AND(CL19&gt;0,INDIRECT("Basistabelle!G" &amp; ($A$1+CM$1+CL19))&lt;="",INDIRECT("Basistabelle!H" &amp; ($A$1+CM$1+CL19))&gt;"")</formula>
    </cfRule>
  </conditionalFormatting>
  <conditionalFormatting sqref="CM20">
    <cfRule type="expression" dxfId="2997" priority="591">
      <formula>OR($A20="Sa",$A20="So")</formula>
    </cfRule>
    <cfRule type="expression" dxfId="2996" priority="592">
      <formula>AND(CL20&gt;0,INDIRECT("Basistabelle!G" &amp; ($A$1+CM$1+CL20))&lt;="",INDIRECT("Basistabelle!H" &amp; ($A$1+CM$1+CL20))&gt;"")</formula>
    </cfRule>
  </conditionalFormatting>
  <conditionalFormatting sqref="CM21">
    <cfRule type="expression" dxfId="2995" priority="589">
      <formula>OR($A21="Sa",$A21="So")</formula>
    </cfRule>
    <cfRule type="expression" dxfId="2994" priority="590">
      <formula>AND(CL21&gt;0,INDIRECT("Basistabelle!G" &amp; ($A$1+CM$1+CL21))&lt;="",INDIRECT("Basistabelle!H" &amp; ($A$1+CM$1+CL21))&gt;"")</formula>
    </cfRule>
  </conditionalFormatting>
  <conditionalFormatting sqref="CM22">
    <cfRule type="expression" dxfId="2993" priority="587">
      <formula>OR($A22="Sa",$A22="So")</formula>
    </cfRule>
    <cfRule type="expression" dxfId="2992" priority="588">
      <formula>AND(CL22&gt;0,INDIRECT("Basistabelle!G" &amp; ($A$1+CM$1+CL22))&lt;="",INDIRECT("Basistabelle!H" &amp; ($A$1+CM$1+CL22))&gt;"")</formula>
    </cfRule>
  </conditionalFormatting>
  <conditionalFormatting sqref="CM23">
    <cfRule type="expression" dxfId="2991" priority="585">
      <formula>OR($A23="Sa",$A23="So")</formula>
    </cfRule>
    <cfRule type="expression" dxfId="2990" priority="586">
      <formula>AND(CL23&gt;0,INDIRECT("Basistabelle!G" &amp; ($A$1+CM$1+CL23))&lt;="",INDIRECT("Basistabelle!H" &amp; ($A$1+CM$1+CL23))&gt;"")</formula>
    </cfRule>
  </conditionalFormatting>
  <conditionalFormatting sqref="CM24">
    <cfRule type="expression" dxfId="2989" priority="583">
      <formula>OR($A24="Sa",$A24="So")</formula>
    </cfRule>
    <cfRule type="expression" dxfId="2988" priority="584">
      <formula>AND(CL24&gt;0,INDIRECT("Basistabelle!G" &amp; ($A$1+CM$1+CL24))&lt;="",INDIRECT("Basistabelle!H" &amp; ($A$1+CM$1+CL24))&gt;"")</formula>
    </cfRule>
  </conditionalFormatting>
  <conditionalFormatting sqref="CM25">
    <cfRule type="expression" dxfId="2987" priority="581">
      <formula>OR($A25="Sa",$A25="So")</formula>
    </cfRule>
    <cfRule type="expression" dxfId="2986" priority="582">
      <formula>AND(CL25&gt;0,INDIRECT("Basistabelle!G" &amp; ($A$1+CM$1+CL25))&lt;="",INDIRECT("Basistabelle!H" &amp; ($A$1+CM$1+CL25))&gt;"")</formula>
    </cfRule>
  </conditionalFormatting>
  <conditionalFormatting sqref="CM26">
    <cfRule type="expression" dxfId="2985" priority="579">
      <formula>OR($A26="Sa",$A26="So")</formula>
    </cfRule>
    <cfRule type="expression" dxfId="2984" priority="580">
      <formula>AND(CL26&gt;0,INDIRECT("Basistabelle!G" &amp; ($A$1+CM$1+CL26))&lt;="",INDIRECT("Basistabelle!H" &amp; ($A$1+CM$1+CL26))&gt;"")</formula>
    </cfRule>
  </conditionalFormatting>
  <conditionalFormatting sqref="CM27">
    <cfRule type="expression" dxfId="2983" priority="577">
      <formula>OR($A27="Sa",$A27="So")</formula>
    </cfRule>
    <cfRule type="expression" dxfId="2982" priority="578">
      <formula>AND(CL27&gt;0,INDIRECT("Basistabelle!G" &amp; ($A$1+CM$1+CL27))&lt;="",INDIRECT("Basistabelle!H" &amp; ($A$1+CM$1+CL27))&gt;"")</formula>
    </cfRule>
  </conditionalFormatting>
  <conditionalFormatting sqref="CM28">
    <cfRule type="expression" dxfId="2981" priority="575">
      <formula>OR($A28="Sa",$A28="So")</formula>
    </cfRule>
    <cfRule type="expression" dxfId="2980" priority="576">
      <formula>AND(CL28&gt;0,INDIRECT("Basistabelle!G" &amp; ($A$1+CM$1+CL28))&lt;="",INDIRECT("Basistabelle!H" &amp; ($A$1+CM$1+CL28))&gt;"")</formula>
    </cfRule>
  </conditionalFormatting>
  <conditionalFormatting sqref="CM29">
    <cfRule type="expression" dxfId="2979" priority="573">
      <formula>OR($A29="Sa",$A29="So")</formula>
    </cfRule>
    <cfRule type="expression" dxfId="2978" priority="574">
      <formula>AND(CL29&gt;0,INDIRECT("Basistabelle!G" &amp; ($A$1+CM$1+CL29))&lt;="",INDIRECT("Basistabelle!H" &amp; ($A$1+CM$1+CL29))&gt;"")</formula>
    </cfRule>
  </conditionalFormatting>
  <conditionalFormatting sqref="CM30">
    <cfRule type="expression" dxfId="2977" priority="571">
      <formula>OR($A30="Sa",$A30="So")</formula>
    </cfRule>
    <cfRule type="expression" dxfId="2976" priority="572">
      <formula>AND(CL30&gt;0,INDIRECT("Basistabelle!G" &amp; ($A$1+CM$1+CL30))&lt;="",INDIRECT("Basistabelle!H" &amp; ($A$1+CM$1+CL30))&gt;"")</formula>
    </cfRule>
  </conditionalFormatting>
  <conditionalFormatting sqref="CM31">
    <cfRule type="expression" dxfId="2975" priority="569">
      <formula>OR($A31="Sa",$A31="So")</formula>
    </cfRule>
    <cfRule type="expression" dxfId="2974" priority="570">
      <formula>AND(CL31&gt;0,INDIRECT("Basistabelle!G" &amp; ($A$1+CM$1+CL31))&lt;="",INDIRECT("Basistabelle!H" &amp; ($A$1+CM$1+CL31))&gt;"")</formula>
    </cfRule>
  </conditionalFormatting>
  <conditionalFormatting sqref="CM32">
    <cfRule type="expression" dxfId="2973" priority="567">
      <formula>OR($A32="Sa",$A32="So")</formula>
    </cfRule>
    <cfRule type="expression" dxfId="2972" priority="568">
      <formula>AND(CL32&gt;0,INDIRECT("Basistabelle!G" &amp; ($A$1+CM$1+CL32))&lt;="",INDIRECT("Basistabelle!H" &amp; ($A$1+CM$1+CL32))&gt;"")</formula>
    </cfRule>
  </conditionalFormatting>
  <conditionalFormatting sqref="CM33">
    <cfRule type="expression" dxfId="2971" priority="565">
      <formula>OR($A33="Sa",$A33="So")</formula>
    </cfRule>
    <cfRule type="expression" dxfId="2970" priority="566">
      <formula>AND(CL33&gt;0,INDIRECT("Basistabelle!G" &amp; ($A$1+CM$1+CL33))&lt;="",INDIRECT("Basistabelle!H" &amp; ($A$1+CM$1+CL33))&gt;"")</formula>
    </cfRule>
  </conditionalFormatting>
  <conditionalFormatting sqref="CM34">
    <cfRule type="expression" dxfId="2969" priority="563">
      <formula>OR($A34="Sa",$A34="So")</formula>
    </cfRule>
    <cfRule type="expression" dxfId="2968" priority="564">
      <formula>AND(CL34&gt;0,INDIRECT("Basistabelle!G" &amp; ($A$1+CM$1+CL34))&lt;="",INDIRECT("Basistabelle!H" &amp; ($A$1+CM$1+CL34))&gt;"")</formula>
    </cfRule>
  </conditionalFormatting>
  <conditionalFormatting sqref="CM35">
    <cfRule type="expression" dxfId="2967" priority="561">
      <formula>OR($A35="Sa",$A35="So")</formula>
    </cfRule>
    <cfRule type="expression" dxfId="2966" priority="562">
      <formula>AND(CL35&gt;0,INDIRECT("Basistabelle!G" &amp; ($A$1+CM$1+CL35))&lt;="",INDIRECT("Basistabelle!H" &amp; ($A$1+CM$1+CL35))&gt;"")</formula>
    </cfRule>
  </conditionalFormatting>
  <conditionalFormatting sqref="CM36">
    <cfRule type="expression" dxfId="2965" priority="559">
      <formula>OR($A36="Sa",$A36="So")</formula>
    </cfRule>
    <cfRule type="expression" dxfId="2964" priority="560">
      <formula>AND(CL36&gt;0,INDIRECT("Basistabelle!G" &amp; ($A$1+CM$1+CL36))&lt;="",INDIRECT("Basistabelle!H" &amp; ($A$1+CM$1+CL36))&gt;"")</formula>
    </cfRule>
  </conditionalFormatting>
  <conditionalFormatting sqref="CM37">
    <cfRule type="expression" dxfId="2963" priority="557">
      <formula>OR($A37="Sa",$A37="So")</formula>
    </cfRule>
    <cfRule type="expression" dxfId="2962" priority="558">
      <formula>AND(CL37&gt;0,INDIRECT("Basistabelle!G" &amp; ($A$1+CM$1+CL37))&lt;="",INDIRECT("Basistabelle!H" &amp; ($A$1+CM$1+CL37))&gt;"")</formula>
    </cfRule>
  </conditionalFormatting>
  <conditionalFormatting sqref="CM38">
    <cfRule type="expression" dxfId="2961" priority="555">
      <formula>OR($A38="Sa",$A38="So")</formula>
    </cfRule>
    <cfRule type="expression" dxfId="2960" priority="556">
      <formula>AND(CL38&gt;0,INDIRECT("Basistabelle!G" &amp; ($A$1+CM$1+CL38))&lt;="",INDIRECT("Basistabelle!H" &amp; ($A$1+CM$1+CL38))&gt;"")</formula>
    </cfRule>
  </conditionalFormatting>
  <conditionalFormatting sqref="CM39">
    <cfRule type="expression" dxfId="2959" priority="553">
      <formula>OR($A39="Sa",$A39="So")</formula>
    </cfRule>
    <cfRule type="expression" dxfId="2958" priority="554">
      <formula>AND(CL39&gt;0,INDIRECT("Basistabelle!G" &amp; ($A$1+CM$1+CL39))&lt;="",INDIRECT("Basistabelle!H" &amp; ($A$1+CM$1+CL39))&gt;"")</formula>
    </cfRule>
  </conditionalFormatting>
  <conditionalFormatting sqref="CM40">
    <cfRule type="expression" dxfId="2957" priority="551">
      <formula>OR($A40="Sa",$A40="So")</formula>
    </cfRule>
    <cfRule type="expression" dxfId="2956" priority="552">
      <formula>AND(CL40&gt;0,INDIRECT("Basistabelle!G" &amp; ($A$1+CM$1+CL40))&lt;="",INDIRECT("Basistabelle!H" &amp; ($A$1+CM$1+CL40))&gt;"")</formula>
    </cfRule>
  </conditionalFormatting>
  <conditionalFormatting sqref="CM41">
    <cfRule type="expression" dxfId="2955" priority="549">
      <formula>OR($A41="Sa",$A41="So")</formula>
    </cfRule>
    <cfRule type="expression" dxfId="2954" priority="550">
      <formula>AND(CL41&gt;0,INDIRECT("Basistabelle!G" &amp; ($A$1+CM$1+CL41))&lt;="",INDIRECT("Basistabelle!H" &amp; ($A$1+CM$1+CL41))&gt;"")</formula>
    </cfRule>
  </conditionalFormatting>
  <conditionalFormatting sqref="BG3">
    <cfRule type="expression" dxfId="2953" priority="547">
      <formula>OR($A3="Sa",$A3="So")</formula>
    </cfRule>
    <cfRule type="expression" dxfId="2952" priority="548">
      <formula>AND(BF3&gt;0,INDIRECT("Basistabelle!G" &amp; ($A$1+BG$1+BF3))&lt;="",INDIRECT("Basistabelle!H" &amp; ($A$1+BG$1+BF3))&gt;"")</formula>
    </cfRule>
  </conditionalFormatting>
  <conditionalFormatting sqref="BG4">
    <cfRule type="expression" dxfId="2951" priority="545">
      <formula>OR($A4="Sa",$A4="So")</formula>
    </cfRule>
    <cfRule type="expression" dxfId="2950" priority="546">
      <formula>AND(BF4&gt;0,INDIRECT("Basistabelle!G" &amp; ($A$1+BG$1+BF4))&lt;="",INDIRECT("Basistabelle!H" &amp; ($A$1+BG$1+BF4))&gt;"")</formula>
    </cfRule>
  </conditionalFormatting>
  <conditionalFormatting sqref="BG5">
    <cfRule type="expression" dxfId="2949" priority="543">
      <formula>OR($A5="Sa",$A5="So")</formula>
    </cfRule>
    <cfRule type="expression" dxfId="2948" priority="544">
      <formula>AND(BF5&gt;0,INDIRECT("Basistabelle!G" &amp; ($A$1+BG$1+BF5))&lt;="",INDIRECT("Basistabelle!H" &amp; ($A$1+BG$1+BF5))&gt;"")</formula>
    </cfRule>
  </conditionalFormatting>
  <conditionalFormatting sqref="BG6">
    <cfRule type="expression" dxfId="2947" priority="541">
      <formula>OR($A6="Sa",$A6="So")</formula>
    </cfRule>
    <cfRule type="expression" dxfId="2946" priority="542">
      <formula>AND(BF6&gt;0,INDIRECT("Basistabelle!G" &amp; ($A$1+BG$1+BF6))&lt;="",INDIRECT("Basistabelle!H" &amp; ($A$1+BG$1+BF6))&gt;"")</formula>
    </cfRule>
  </conditionalFormatting>
  <conditionalFormatting sqref="BG7">
    <cfRule type="expression" dxfId="2945" priority="539">
      <formula>OR($A7="Sa",$A7="So")</formula>
    </cfRule>
    <cfRule type="expression" dxfId="2944" priority="540">
      <formula>AND(BF7&gt;0,INDIRECT("Basistabelle!G" &amp; ($A$1+BG$1+BF7))&lt;="",INDIRECT("Basistabelle!H" &amp; ($A$1+BG$1+BF7))&gt;"")</formula>
    </cfRule>
  </conditionalFormatting>
  <conditionalFormatting sqref="BG8">
    <cfRule type="expression" dxfId="2943" priority="537">
      <formula>OR($A8="Sa",$A8="So")</formula>
    </cfRule>
    <cfRule type="expression" dxfId="2942" priority="538">
      <formula>AND(BF8&gt;0,INDIRECT("Basistabelle!G" &amp; ($A$1+BG$1+BF8))&lt;="",INDIRECT("Basistabelle!H" &amp; ($A$1+BG$1+BF8))&gt;"")</formula>
    </cfRule>
  </conditionalFormatting>
  <conditionalFormatting sqref="BG9">
    <cfRule type="expression" dxfId="2941" priority="535">
      <formula>OR($A9="Sa",$A9="So")</formula>
    </cfRule>
    <cfRule type="expression" dxfId="2940" priority="536">
      <formula>AND(BF9&gt;0,INDIRECT("Basistabelle!G" &amp; ($A$1+BG$1+BF9))&lt;="",INDIRECT("Basistabelle!H" &amp; ($A$1+BG$1+BF9))&gt;"")</formula>
    </cfRule>
  </conditionalFormatting>
  <conditionalFormatting sqref="BG10">
    <cfRule type="expression" dxfId="2939" priority="533">
      <formula>OR($A10="Sa",$A10="So")</formula>
    </cfRule>
    <cfRule type="expression" dxfId="2938" priority="534">
      <formula>AND(BF10&gt;0,INDIRECT("Basistabelle!G" &amp; ($A$1+BG$1+BF10))&lt;="",INDIRECT("Basistabelle!H" &amp; ($A$1+BG$1+BF10))&gt;"")</formula>
    </cfRule>
  </conditionalFormatting>
  <conditionalFormatting sqref="BG11">
    <cfRule type="expression" dxfId="2937" priority="531">
      <formula>OR($A11="Sa",$A11="So")</formula>
    </cfRule>
    <cfRule type="expression" dxfId="2936" priority="532">
      <formula>AND(BF11&gt;0,INDIRECT("Basistabelle!G" &amp; ($A$1+BG$1+BF11))&lt;="",INDIRECT("Basistabelle!H" &amp; ($A$1+BG$1+BF11))&gt;"")</formula>
    </cfRule>
  </conditionalFormatting>
  <conditionalFormatting sqref="BG12">
    <cfRule type="expression" dxfId="2935" priority="529">
      <formula>OR($A12="Sa",$A12="So")</formula>
    </cfRule>
    <cfRule type="expression" dxfId="2934" priority="530">
      <formula>AND(BF12&gt;0,INDIRECT("Basistabelle!G" &amp; ($A$1+BG$1+BF12))&lt;="",INDIRECT("Basistabelle!H" &amp; ($A$1+BG$1+BF12))&gt;"")</formula>
    </cfRule>
  </conditionalFormatting>
  <conditionalFormatting sqref="BG13">
    <cfRule type="expression" dxfId="2933" priority="527">
      <formula>OR($A13="Sa",$A13="So")</formula>
    </cfRule>
    <cfRule type="expression" dxfId="2932" priority="528">
      <formula>AND(BF13&gt;0,INDIRECT("Basistabelle!G" &amp; ($A$1+BG$1+BF13))&lt;="",INDIRECT("Basistabelle!H" &amp; ($A$1+BG$1+BF13))&gt;"")</formula>
    </cfRule>
  </conditionalFormatting>
  <conditionalFormatting sqref="BG14">
    <cfRule type="expression" dxfId="2931" priority="525">
      <formula>OR($A14="Sa",$A14="So")</formula>
    </cfRule>
    <cfRule type="expression" dxfId="2930" priority="526">
      <formula>AND(BF14&gt;0,INDIRECT("Basistabelle!G" &amp; ($A$1+BG$1+BF14))&lt;="",INDIRECT("Basistabelle!H" &amp; ($A$1+BG$1+BF14))&gt;"")</formula>
    </cfRule>
  </conditionalFormatting>
  <conditionalFormatting sqref="BG15">
    <cfRule type="expression" dxfId="2929" priority="523">
      <formula>OR($A15="Sa",$A15="So")</formula>
    </cfRule>
    <cfRule type="expression" dxfId="2928" priority="524">
      <formula>AND(BF15&gt;0,INDIRECT("Basistabelle!G" &amp; ($A$1+BG$1+BF15))&lt;="",INDIRECT("Basistabelle!H" &amp; ($A$1+BG$1+BF15))&gt;"")</formula>
    </cfRule>
  </conditionalFormatting>
  <conditionalFormatting sqref="BG16">
    <cfRule type="expression" dxfId="2927" priority="521">
      <formula>OR($A16="Sa",$A16="So")</formula>
    </cfRule>
    <cfRule type="expression" dxfId="2926" priority="522">
      <formula>AND(BF16&gt;0,INDIRECT("Basistabelle!G" &amp; ($A$1+BG$1+BF16))&lt;="",INDIRECT("Basistabelle!H" &amp; ($A$1+BG$1+BF16))&gt;"")</formula>
    </cfRule>
  </conditionalFormatting>
  <conditionalFormatting sqref="BG17">
    <cfRule type="expression" dxfId="2925" priority="519">
      <formula>OR($A17="Sa",$A17="So")</formula>
    </cfRule>
    <cfRule type="expression" dxfId="2924" priority="520">
      <formula>AND(BF17&gt;0,INDIRECT("Basistabelle!G" &amp; ($A$1+BG$1+BF17))&lt;="",INDIRECT("Basistabelle!H" &amp; ($A$1+BG$1+BF17))&gt;"")</formula>
    </cfRule>
  </conditionalFormatting>
  <conditionalFormatting sqref="BG18">
    <cfRule type="expression" dxfId="2923" priority="517">
      <formula>OR($A18="Sa",$A18="So")</formula>
    </cfRule>
    <cfRule type="expression" dxfId="2922" priority="518">
      <formula>AND(BF18&gt;0,INDIRECT("Basistabelle!G" &amp; ($A$1+BG$1+BF18))&lt;="",INDIRECT("Basistabelle!H" &amp; ($A$1+BG$1+BF18))&gt;"")</formula>
    </cfRule>
  </conditionalFormatting>
  <conditionalFormatting sqref="BG19">
    <cfRule type="expression" dxfId="2921" priority="515">
      <formula>OR($A19="Sa",$A19="So")</formula>
    </cfRule>
    <cfRule type="expression" dxfId="2920" priority="516">
      <formula>AND(BF19&gt;0,INDIRECT("Basistabelle!G" &amp; ($A$1+BG$1+BF19))&lt;="",INDIRECT("Basistabelle!H" &amp; ($A$1+BG$1+BF19))&gt;"")</formula>
    </cfRule>
  </conditionalFormatting>
  <conditionalFormatting sqref="BG20">
    <cfRule type="expression" dxfId="2919" priority="513">
      <formula>OR($A20="Sa",$A20="So")</formula>
    </cfRule>
    <cfRule type="expression" dxfId="2918" priority="514">
      <formula>AND(BF20&gt;0,INDIRECT("Basistabelle!G" &amp; ($A$1+BG$1+BF20))&lt;="",INDIRECT("Basistabelle!H" &amp; ($A$1+BG$1+BF20))&gt;"")</formula>
    </cfRule>
  </conditionalFormatting>
  <conditionalFormatting sqref="BG21">
    <cfRule type="expression" dxfId="2917" priority="511">
      <formula>OR($A21="Sa",$A21="So")</formula>
    </cfRule>
    <cfRule type="expression" dxfId="2916" priority="512">
      <formula>AND(BF21&gt;0,INDIRECT("Basistabelle!G" &amp; ($A$1+BG$1+BF21))&lt;="",INDIRECT("Basistabelle!H" &amp; ($A$1+BG$1+BF21))&gt;"")</formula>
    </cfRule>
  </conditionalFormatting>
  <conditionalFormatting sqref="BG22">
    <cfRule type="expression" dxfId="2915" priority="509">
      <formula>OR($A22="Sa",$A22="So")</formula>
    </cfRule>
    <cfRule type="expression" dxfId="2914" priority="510">
      <formula>AND(BF22&gt;0,INDIRECT("Basistabelle!G" &amp; ($A$1+BG$1+BF22))&lt;="",INDIRECT("Basistabelle!H" &amp; ($A$1+BG$1+BF22))&gt;"")</formula>
    </cfRule>
  </conditionalFormatting>
  <conditionalFormatting sqref="BG23">
    <cfRule type="expression" dxfId="2913" priority="507">
      <formula>OR($A23="Sa",$A23="So")</formula>
    </cfRule>
    <cfRule type="expression" dxfId="2912" priority="508">
      <formula>AND(BF23&gt;0,INDIRECT("Basistabelle!G" &amp; ($A$1+BG$1+BF23))&lt;="",INDIRECT("Basistabelle!H" &amp; ($A$1+BG$1+BF23))&gt;"")</formula>
    </cfRule>
  </conditionalFormatting>
  <conditionalFormatting sqref="BG24">
    <cfRule type="expression" dxfId="2911" priority="505">
      <formula>OR($A24="Sa",$A24="So")</formula>
    </cfRule>
    <cfRule type="expression" dxfId="2910" priority="506">
      <formula>AND(BF24&gt;0,INDIRECT("Basistabelle!G" &amp; ($A$1+BG$1+BF24))&lt;="",INDIRECT("Basistabelle!H" &amp; ($A$1+BG$1+BF24))&gt;"")</formula>
    </cfRule>
  </conditionalFormatting>
  <conditionalFormatting sqref="BG25">
    <cfRule type="expression" dxfId="2909" priority="503">
      <formula>OR($A25="Sa",$A25="So")</formula>
    </cfRule>
    <cfRule type="expression" dxfId="2908" priority="504">
      <formula>AND(BF25&gt;0,INDIRECT("Basistabelle!G" &amp; ($A$1+BG$1+BF25))&lt;="",INDIRECT("Basistabelle!H" &amp; ($A$1+BG$1+BF25))&gt;"")</formula>
    </cfRule>
  </conditionalFormatting>
  <conditionalFormatting sqref="BG26">
    <cfRule type="expression" dxfId="2907" priority="501">
      <formula>OR($A26="Sa",$A26="So")</formula>
    </cfRule>
    <cfRule type="expression" dxfId="2906" priority="502">
      <formula>AND(BF26&gt;0,INDIRECT("Basistabelle!G" &amp; ($A$1+BG$1+BF26))&lt;="",INDIRECT("Basistabelle!H" &amp; ($A$1+BG$1+BF26))&gt;"")</formula>
    </cfRule>
  </conditionalFormatting>
  <conditionalFormatting sqref="BG27">
    <cfRule type="expression" dxfId="2905" priority="499">
      <formula>OR($A27="Sa",$A27="So")</formula>
    </cfRule>
    <cfRule type="expression" dxfId="2904" priority="500">
      <formula>AND(BF27&gt;0,INDIRECT("Basistabelle!G" &amp; ($A$1+BG$1+BF27))&lt;="",INDIRECT("Basistabelle!H" &amp; ($A$1+BG$1+BF27))&gt;"")</formula>
    </cfRule>
  </conditionalFormatting>
  <conditionalFormatting sqref="BG28">
    <cfRule type="expression" dxfId="2903" priority="497">
      <formula>OR($A28="Sa",$A28="So")</formula>
    </cfRule>
    <cfRule type="expression" dxfId="2902" priority="498">
      <formula>AND(BF28&gt;0,INDIRECT("Basistabelle!G" &amp; ($A$1+BG$1+BF28))&lt;="",INDIRECT("Basistabelle!H" &amp; ($A$1+BG$1+BF28))&gt;"")</formula>
    </cfRule>
  </conditionalFormatting>
  <conditionalFormatting sqref="BG29">
    <cfRule type="expression" dxfId="2901" priority="495">
      <formula>OR($A29="Sa",$A29="So")</formula>
    </cfRule>
    <cfRule type="expression" dxfId="2900" priority="496">
      <formula>AND(BF29&gt;0,INDIRECT("Basistabelle!G" &amp; ($A$1+BG$1+BF29))&lt;="",INDIRECT("Basistabelle!H" &amp; ($A$1+BG$1+BF29))&gt;"")</formula>
    </cfRule>
  </conditionalFormatting>
  <conditionalFormatting sqref="BG30">
    <cfRule type="expression" dxfId="2899" priority="493">
      <formula>OR($A30="Sa",$A30="So")</formula>
    </cfRule>
    <cfRule type="expression" dxfId="2898" priority="494">
      <formula>AND(BF30&gt;0,INDIRECT("Basistabelle!G" &amp; ($A$1+BG$1+BF30))&lt;="",INDIRECT("Basistabelle!H" &amp; ($A$1+BG$1+BF30))&gt;"")</formula>
    </cfRule>
  </conditionalFormatting>
  <conditionalFormatting sqref="BG31">
    <cfRule type="expression" dxfId="2897" priority="491">
      <formula>OR($A31="Sa",$A31="So")</formula>
    </cfRule>
    <cfRule type="expression" dxfId="2896" priority="492">
      <formula>AND(BF31&gt;0,INDIRECT("Basistabelle!G" &amp; ($A$1+BG$1+BF31))&lt;="",INDIRECT("Basistabelle!H" &amp; ($A$1+BG$1+BF31))&gt;"")</formula>
    </cfRule>
  </conditionalFormatting>
  <conditionalFormatting sqref="BG32">
    <cfRule type="expression" dxfId="2895" priority="489">
      <formula>OR($A32="Sa",$A32="So")</formula>
    </cfRule>
    <cfRule type="expression" dxfId="2894" priority="490">
      <formula>AND(BF32&gt;0,INDIRECT("Basistabelle!G" &amp; ($A$1+BG$1+BF32))&lt;="",INDIRECT("Basistabelle!H" &amp; ($A$1+BG$1+BF32))&gt;"")</formula>
    </cfRule>
  </conditionalFormatting>
  <conditionalFormatting sqref="BG33">
    <cfRule type="expression" dxfId="2893" priority="487">
      <formula>OR($A33="Sa",$A33="So")</formula>
    </cfRule>
    <cfRule type="expression" dxfId="2892" priority="488">
      <formula>AND(BF33&gt;0,INDIRECT("Basistabelle!G" &amp; ($A$1+BG$1+BF33))&lt;="",INDIRECT("Basistabelle!H" &amp; ($A$1+BG$1+BF33))&gt;"")</formula>
    </cfRule>
  </conditionalFormatting>
  <conditionalFormatting sqref="BG34">
    <cfRule type="expression" dxfId="2891" priority="485">
      <formula>OR($A34="Sa",$A34="So")</formula>
    </cfRule>
    <cfRule type="expression" dxfId="2890" priority="486">
      <formula>AND(BF34&gt;0,INDIRECT("Basistabelle!G" &amp; ($A$1+BG$1+BF34))&lt;="",INDIRECT("Basistabelle!H" &amp; ($A$1+BG$1+BF34))&gt;"")</formula>
    </cfRule>
  </conditionalFormatting>
  <conditionalFormatting sqref="BG35">
    <cfRule type="expression" dxfId="2889" priority="483">
      <formula>OR($A35="Sa",$A35="So")</formula>
    </cfRule>
    <cfRule type="expression" dxfId="2888" priority="484">
      <formula>AND(BF35&gt;0,INDIRECT("Basistabelle!G" &amp; ($A$1+BG$1+BF35))&lt;="",INDIRECT("Basistabelle!H" &amp; ($A$1+BG$1+BF35))&gt;"")</formula>
    </cfRule>
  </conditionalFormatting>
  <conditionalFormatting sqref="BG36">
    <cfRule type="expression" dxfId="2887" priority="481">
      <formula>OR($A36="Sa",$A36="So")</formula>
    </cfRule>
    <cfRule type="expression" dxfId="2886" priority="482">
      <formula>AND(BF36&gt;0,INDIRECT("Basistabelle!G" &amp; ($A$1+BG$1+BF36))&lt;="",INDIRECT("Basistabelle!H" &amp; ($A$1+BG$1+BF36))&gt;"")</formula>
    </cfRule>
  </conditionalFormatting>
  <conditionalFormatting sqref="BG37">
    <cfRule type="expression" dxfId="2885" priority="479">
      <formula>OR($A37="Sa",$A37="So")</formula>
    </cfRule>
    <cfRule type="expression" dxfId="2884" priority="480">
      <formula>AND(BF37&gt;0,INDIRECT("Basistabelle!G" &amp; ($A$1+BG$1+BF37))&lt;="",INDIRECT("Basistabelle!H" &amp; ($A$1+BG$1+BF37))&gt;"")</formula>
    </cfRule>
  </conditionalFormatting>
  <conditionalFormatting sqref="BG38">
    <cfRule type="expression" dxfId="2883" priority="477">
      <formula>OR($A38="Sa",$A38="So")</formula>
    </cfRule>
    <cfRule type="expression" dxfId="2882" priority="478">
      <formula>AND(BF38&gt;0,INDIRECT("Basistabelle!G" &amp; ($A$1+BG$1+BF38))&lt;="",INDIRECT("Basistabelle!H" &amp; ($A$1+BG$1+BF38))&gt;"")</formula>
    </cfRule>
  </conditionalFormatting>
  <conditionalFormatting sqref="BG39">
    <cfRule type="expression" dxfId="2881" priority="475">
      <formula>OR($A39="Sa",$A39="So")</formula>
    </cfRule>
    <cfRule type="expression" dxfId="2880" priority="476">
      <formula>AND(BF39&gt;0,INDIRECT("Basistabelle!G" &amp; ($A$1+BG$1+BF39))&lt;="",INDIRECT("Basistabelle!H" &amp; ($A$1+BG$1+BF39))&gt;"")</formula>
    </cfRule>
  </conditionalFormatting>
  <conditionalFormatting sqref="BG40">
    <cfRule type="expression" dxfId="2879" priority="473">
      <formula>OR($A40="Sa",$A40="So")</formula>
    </cfRule>
    <cfRule type="expression" dxfId="2878" priority="474">
      <formula>AND(BF40&gt;0,INDIRECT("Basistabelle!G" &amp; ($A$1+BG$1+BF40))&lt;="",INDIRECT("Basistabelle!H" &amp; ($A$1+BG$1+BF40))&gt;"")</formula>
    </cfRule>
  </conditionalFormatting>
  <conditionalFormatting sqref="BG41">
    <cfRule type="expression" dxfId="2877" priority="471">
      <formula>OR($A41="Sa",$A41="So")</formula>
    </cfRule>
    <cfRule type="expression" dxfId="2876" priority="472">
      <formula>AND(BF41&gt;0,INDIRECT("Basistabelle!G" &amp; ($A$1+BG$1+BF41))&lt;="",INDIRECT("Basistabelle!H" &amp; ($A$1+BG$1+BF41))&gt;"")</formula>
    </cfRule>
  </conditionalFormatting>
  <conditionalFormatting sqref="AY3">
    <cfRule type="expression" dxfId="2875" priority="469">
      <formula>OR($A3="Sa",$A3="So")</formula>
    </cfRule>
    <cfRule type="expression" dxfId="2874" priority="470">
      <formula>AND(AX3&gt;0,INDIRECT("Basistabelle!G" &amp; ($A$1+AY$1+AX3))&lt;="",INDIRECT("Basistabelle!H" &amp; ($A$1+AY$1+AX3))&gt;"")</formula>
    </cfRule>
  </conditionalFormatting>
  <conditionalFormatting sqref="AY4">
    <cfRule type="expression" dxfId="2873" priority="467">
      <formula>OR($A4="Sa",$A4="So")</formula>
    </cfRule>
    <cfRule type="expression" dxfId="2872" priority="468">
      <formula>AND(AX4&gt;0,INDIRECT("Basistabelle!G" &amp; ($A$1+AY$1+AX4))&lt;="",INDIRECT("Basistabelle!H" &amp; ($A$1+AY$1+AX4))&gt;"")</formula>
    </cfRule>
  </conditionalFormatting>
  <conditionalFormatting sqref="AY5">
    <cfRule type="expression" dxfId="2871" priority="465">
      <formula>OR($A5="Sa",$A5="So")</formula>
    </cfRule>
    <cfRule type="expression" dxfId="2870" priority="466">
      <formula>AND(AX5&gt;0,INDIRECT("Basistabelle!G" &amp; ($A$1+AY$1+AX5))&lt;="",INDIRECT("Basistabelle!H" &amp; ($A$1+AY$1+AX5))&gt;"")</formula>
    </cfRule>
  </conditionalFormatting>
  <conditionalFormatting sqref="AY6">
    <cfRule type="expression" dxfId="2869" priority="463">
      <formula>OR($A6="Sa",$A6="So")</formula>
    </cfRule>
    <cfRule type="expression" dxfId="2868" priority="464">
      <formula>AND(AX6&gt;0,INDIRECT("Basistabelle!G" &amp; ($A$1+AY$1+AX6))&lt;="",INDIRECT("Basistabelle!H" &amp; ($A$1+AY$1+AX6))&gt;"")</formula>
    </cfRule>
  </conditionalFormatting>
  <conditionalFormatting sqref="AY7">
    <cfRule type="expression" dxfId="2867" priority="461">
      <formula>OR($A7="Sa",$A7="So")</formula>
    </cfRule>
    <cfRule type="expression" dxfId="2866" priority="462">
      <formula>AND(AX7&gt;0,INDIRECT("Basistabelle!G" &amp; ($A$1+AY$1+AX7))&lt;="",INDIRECT("Basistabelle!H" &amp; ($A$1+AY$1+AX7))&gt;"")</formula>
    </cfRule>
  </conditionalFormatting>
  <conditionalFormatting sqref="AY8">
    <cfRule type="expression" dxfId="2865" priority="459">
      <formula>OR($A8="Sa",$A8="So")</formula>
    </cfRule>
    <cfRule type="expression" dxfId="2864" priority="460">
      <formula>AND(AX8&gt;0,INDIRECT("Basistabelle!G" &amp; ($A$1+AY$1+AX8))&lt;="",INDIRECT("Basistabelle!H" &amp; ($A$1+AY$1+AX8))&gt;"")</formula>
    </cfRule>
  </conditionalFormatting>
  <conditionalFormatting sqref="AY9">
    <cfRule type="expression" dxfId="2863" priority="457">
      <formula>OR($A9="Sa",$A9="So")</formula>
    </cfRule>
    <cfRule type="expression" dxfId="2862" priority="458">
      <formula>AND(AX9&gt;0,INDIRECT("Basistabelle!G" &amp; ($A$1+AY$1+AX9))&lt;="",INDIRECT("Basistabelle!H" &amp; ($A$1+AY$1+AX9))&gt;"")</formula>
    </cfRule>
  </conditionalFormatting>
  <conditionalFormatting sqref="AY10">
    <cfRule type="expression" dxfId="2861" priority="455">
      <formula>OR($A10="Sa",$A10="So")</formula>
    </cfRule>
    <cfRule type="expression" dxfId="2860" priority="456">
      <formula>AND(AX10&gt;0,INDIRECT("Basistabelle!G" &amp; ($A$1+AY$1+AX10))&lt;="",INDIRECT("Basistabelle!H" &amp; ($A$1+AY$1+AX10))&gt;"")</formula>
    </cfRule>
  </conditionalFormatting>
  <conditionalFormatting sqref="AY11">
    <cfRule type="expression" dxfId="2859" priority="453">
      <formula>OR($A11="Sa",$A11="So")</formula>
    </cfRule>
    <cfRule type="expression" dxfId="2858" priority="454">
      <formula>AND(AX11&gt;0,INDIRECT("Basistabelle!G" &amp; ($A$1+AY$1+AX11))&lt;="",INDIRECT("Basistabelle!H" &amp; ($A$1+AY$1+AX11))&gt;"")</formula>
    </cfRule>
  </conditionalFormatting>
  <conditionalFormatting sqref="AY12">
    <cfRule type="expression" dxfId="2857" priority="451">
      <formula>OR($A12="Sa",$A12="So")</formula>
    </cfRule>
    <cfRule type="expression" dxfId="2856" priority="452">
      <formula>AND(AX12&gt;0,INDIRECT("Basistabelle!G" &amp; ($A$1+AY$1+AX12))&lt;="",INDIRECT("Basistabelle!H" &amp; ($A$1+AY$1+AX12))&gt;"")</formula>
    </cfRule>
  </conditionalFormatting>
  <conditionalFormatting sqref="AY13">
    <cfRule type="expression" dxfId="2855" priority="449">
      <formula>OR($A13="Sa",$A13="So")</formula>
    </cfRule>
    <cfRule type="expression" dxfId="2854" priority="450">
      <formula>AND(AX13&gt;0,INDIRECT("Basistabelle!G" &amp; ($A$1+AY$1+AX13))&lt;="",INDIRECT("Basistabelle!H" &amp; ($A$1+AY$1+AX13))&gt;"")</formula>
    </cfRule>
  </conditionalFormatting>
  <conditionalFormatting sqref="AY14">
    <cfRule type="expression" dxfId="2853" priority="447">
      <formula>OR($A14="Sa",$A14="So")</formula>
    </cfRule>
    <cfRule type="expression" dxfId="2852" priority="448">
      <formula>AND(AX14&gt;0,INDIRECT("Basistabelle!G" &amp; ($A$1+AY$1+AX14))&lt;="",INDIRECT("Basistabelle!H" &amp; ($A$1+AY$1+AX14))&gt;"")</formula>
    </cfRule>
  </conditionalFormatting>
  <conditionalFormatting sqref="AY15">
    <cfRule type="expression" dxfId="2851" priority="445">
      <formula>OR($A15="Sa",$A15="So")</formula>
    </cfRule>
    <cfRule type="expression" dxfId="2850" priority="446">
      <formula>AND(AX15&gt;0,INDIRECT("Basistabelle!G" &amp; ($A$1+AY$1+AX15))&lt;="",INDIRECT("Basistabelle!H" &amp; ($A$1+AY$1+AX15))&gt;"")</formula>
    </cfRule>
  </conditionalFormatting>
  <conditionalFormatting sqref="AY16">
    <cfRule type="expression" dxfId="2849" priority="443">
      <formula>OR($A16="Sa",$A16="So")</formula>
    </cfRule>
    <cfRule type="expression" dxfId="2848" priority="444">
      <formula>AND(AX16&gt;0,INDIRECT("Basistabelle!G" &amp; ($A$1+AY$1+AX16))&lt;="",INDIRECT("Basistabelle!H" &amp; ($A$1+AY$1+AX16))&gt;"")</formula>
    </cfRule>
  </conditionalFormatting>
  <conditionalFormatting sqref="AY17">
    <cfRule type="expression" dxfId="2847" priority="441">
      <formula>OR($A17="Sa",$A17="So")</formula>
    </cfRule>
    <cfRule type="expression" dxfId="2846" priority="442">
      <formula>AND(AX17&gt;0,INDIRECT("Basistabelle!G" &amp; ($A$1+AY$1+AX17))&lt;="",INDIRECT("Basistabelle!H" &amp; ($A$1+AY$1+AX17))&gt;"")</formula>
    </cfRule>
  </conditionalFormatting>
  <conditionalFormatting sqref="AY18">
    <cfRule type="expression" dxfId="2845" priority="439">
      <formula>OR($A18="Sa",$A18="So")</formula>
    </cfRule>
    <cfRule type="expression" dxfId="2844" priority="440">
      <formula>AND(AX18&gt;0,INDIRECT("Basistabelle!G" &amp; ($A$1+AY$1+AX18))&lt;="",INDIRECT("Basistabelle!H" &amp; ($A$1+AY$1+AX18))&gt;"")</formula>
    </cfRule>
  </conditionalFormatting>
  <conditionalFormatting sqref="AY19">
    <cfRule type="expression" dxfId="2843" priority="437">
      <formula>OR($A19="Sa",$A19="So")</formula>
    </cfRule>
    <cfRule type="expression" dxfId="2842" priority="438">
      <formula>AND(AX19&gt;0,INDIRECT("Basistabelle!G" &amp; ($A$1+AY$1+AX19))&lt;="",INDIRECT("Basistabelle!H" &amp; ($A$1+AY$1+AX19))&gt;"")</formula>
    </cfRule>
  </conditionalFormatting>
  <conditionalFormatting sqref="AY20">
    <cfRule type="expression" dxfId="2841" priority="435">
      <formula>OR($A20="Sa",$A20="So")</formula>
    </cfRule>
    <cfRule type="expression" dxfId="2840" priority="436">
      <formula>AND(AX20&gt;0,INDIRECT("Basistabelle!G" &amp; ($A$1+AY$1+AX20))&lt;="",INDIRECT("Basistabelle!H" &amp; ($A$1+AY$1+AX20))&gt;"")</formula>
    </cfRule>
  </conditionalFormatting>
  <conditionalFormatting sqref="AY21">
    <cfRule type="expression" dxfId="2839" priority="433">
      <formula>OR($A21="Sa",$A21="So")</formula>
    </cfRule>
    <cfRule type="expression" dxfId="2838" priority="434">
      <formula>AND(AX21&gt;0,INDIRECT("Basistabelle!G" &amp; ($A$1+AY$1+AX21))&lt;="",INDIRECT("Basistabelle!H" &amp; ($A$1+AY$1+AX21))&gt;"")</formula>
    </cfRule>
  </conditionalFormatting>
  <conditionalFormatting sqref="AY22">
    <cfRule type="expression" dxfId="2837" priority="431">
      <formula>OR($A22="Sa",$A22="So")</formula>
    </cfRule>
    <cfRule type="expression" dxfId="2836" priority="432">
      <formula>AND(AX22&gt;0,INDIRECT("Basistabelle!G" &amp; ($A$1+AY$1+AX22))&lt;="",INDIRECT("Basistabelle!H" &amp; ($A$1+AY$1+AX22))&gt;"")</formula>
    </cfRule>
  </conditionalFormatting>
  <conditionalFormatting sqref="AY23">
    <cfRule type="expression" dxfId="2835" priority="429">
      <formula>OR($A23="Sa",$A23="So")</formula>
    </cfRule>
    <cfRule type="expression" dxfId="2834" priority="430">
      <formula>AND(AX23&gt;0,INDIRECT("Basistabelle!G" &amp; ($A$1+AY$1+AX23))&lt;="",INDIRECT("Basistabelle!H" &amp; ($A$1+AY$1+AX23))&gt;"")</formula>
    </cfRule>
  </conditionalFormatting>
  <conditionalFormatting sqref="AY24">
    <cfRule type="expression" dxfId="2833" priority="427">
      <formula>OR($A24="Sa",$A24="So")</formula>
    </cfRule>
    <cfRule type="expression" dxfId="2832" priority="428">
      <formula>AND(AX24&gt;0,INDIRECT("Basistabelle!G" &amp; ($A$1+AY$1+AX24))&lt;="",INDIRECT("Basistabelle!H" &amp; ($A$1+AY$1+AX24))&gt;"")</formula>
    </cfRule>
  </conditionalFormatting>
  <conditionalFormatting sqref="AY25">
    <cfRule type="expression" dxfId="2831" priority="425">
      <formula>OR($A25="Sa",$A25="So")</formula>
    </cfRule>
    <cfRule type="expression" dxfId="2830" priority="426">
      <formula>AND(AX25&gt;0,INDIRECT("Basistabelle!G" &amp; ($A$1+AY$1+AX25))&lt;="",INDIRECT("Basistabelle!H" &amp; ($A$1+AY$1+AX25))&gt;"")</formula>
    </cfRule>
  </conditionalFormatting>
  <conditionalFormatting sqref="AY26">
    <cfRule type="expression" dxfId="2829" priority="423">
      <formula>OR($A26="Sa",$A26="So")</formula>
    </cfRule>
    <cfRule type="expression" dxfId="2828" priority="424">
      <formula>AND(AX26&gt;0,INDIRECT("Basistabelle!G" &amp; ($A$1+AY$1+AX26))&lt;="",INDIRECT("Basistabelle!H" &amp; ($A$1+AY$1+AX26))&gt;"")</formula>
    </cfRule>
  </conditionalFormatting>
  <conditionalFormatting sqref="AY27">
    <cfRule type="expression" dxfId="2827" priority="421">
      <formula>OR($A27="Sa",$A27="So")</formula>
    </cfRule>
    <cfRule type="expression" dxfId="2826" priority="422">
      <formula>AND(AX27&gt;0,INDIRECT("Basistabelle!G" &amp; ($A$1+AY$1+AX27))&lt;="",INDIRECT("Basistabelle!H" &amp; ($A$1+AY$1+AX27))&gt;"")</formula>
    </cfRule>
  </conditionalFormatting>
  <conditionalFormatting sqref="AY28">
    <cfRule type="expression" dxfId="2825" priority="419">
      <formula>OR($A28="Sa",$A28="So")</formula>
    </cfRule>
    <cfRule type="expression" dxfId="2824" priority="420">
      <formula>AND(AX28&gt;0,INDIRECT("Basistabelle!G" &amp; ($A$1+AY$1+AX28))&lt;="",INDIRECT("Basistabelle!H" &amp; ($A$1+AY$1+AX28))&gt;"")</formula>
    </cfRule>
  </conditionalFormatting>
  <conditionalFormatting sqref="AY29">
    <cfRule type="expression" dxfId="2823" priority="417">
      <formula>OR($A29="Sa",$A29="So")</formula>
    </cfRule>
    <cfRule type="expression" dxfId="2822" priority="418">
      <formula>AND(AX29&gt;0,INDIRECT("Basistabelle!G" &amp; ($A$1+AY$1+AX29))&lt;="",INDIRECT("Basistabelle!H" &amp; ($A$1+AY$1+AX29))&gt;"")</formula>
    </cfRule>
  </conditionalFormatting>
  <conditionalFormatting sqref="AY30">
    <cfRule type="expression" dxfId="2821" priority="415">
      <formula>OR($A30="Sa",$A30="So")</formula>
    </cfRule>
    <cfRule type="expression" dxfId="2820" priority="416">
      <formula>AND(AX30&gt;0,INDIRECT("Basistabelle!G" &amp; ($A$1+AY$1+AX30))&lt;="",INDIRECT("Basistabelle!H" &amp; ($A$1+AY$1+AX30))&gt;"")</formula>
    </cfRule>
  </conditionalFormatting>
  <conditionalFormatting sqref="AY31">
    <cfRule type="expression" dxfId="2819" priority="413">
      <formula>OR($A31="Sa",$A31="So")</formula>
    </cfRule>
    <cfRule type="expression" dxfId="2818" priority="414">
      <formula>AND(AX31&gt;0,INDIRECT("Basistabelle!G" &amp; ($A$1+AY$1+AX31))&lt;="",INDIRECT("Basistabelle!H" &amp; ($A$1+AY$1+AX31))&gt;"")</formula>
    </cfRule>
  </conditionalFormatting>
  <conditionalFormatting sqref="AY32">
    <cfRule type="expression" dxfId="2817" priority="411">
      <formula>OR($A32="Sa",$A32="So")</formula>
    </cfRule>
    <cfRule type="expression" dxfId="2816" priority="412">
      <formula>AND(AX32&gt;0,INDIRECT("Basistabelle!G" &amp; ($A$1+AY$1+AX32))&lt;="",INDIRECT("Basistabelle!H" &amp; ($A$1+AY$1+AX32))&gt;"")</formula>
    </cfRule>
  </conditionalFormatting>
  <conditionalFormatting sqref="AY33">
    <cfRule type="expression" dxfId="2815" priority="409">
      <formula>OR($A33="Sa",$A33="So")</formula>
    </cfRule>
    <cfRule type="expression" dxfId="2814" priority="410">
      <formula>AND(AX33&gt;0,INDIRECT("Basistabelle!G" &amp; ($A$1+AY$1+AX33))&lt;="",INDIRECT("Basistabelle!H" &amp; ($A$1+AY$1+AX33))&gt;"")</formula>
    </cfRule>
  </conditionalFormatting>
  <conditionalFormatting sqref="AY34">
    <cfRule type="expression" dxfId="2813" priority="407">
      <formula>OR($A34="Sa",$A34="So")</formula>
    </cfRule>
    <cfRule type="expression" dxfId="2812" priority="408">
      <formula>AND(AX34&gt;0,INDIRECT("Basistabelle!G" &amp; ($A$1+AY$1+AX34))&lt;="",INDIRECT("Basistabelle!H" &amp; ($A$1+AY$1+AX34))&gt;"")</formula>
    </cfRule>
  </conditionalFormatting>
  <conditionalFormatting sqref="AY35">
    <cfRule type="expression" dxfId="2811" priority="405">
      <formula>OR($A35="Sa",$A35="So")</formula>
    </cfRule>
    <cfRule type="expression" dxfId="2810" priority="406">
      <formula>AND(AX35&gt;0,INDIRECT("Basistabelle!G" &amp; ($A$1+AY$1+AX35))&lt;="",INDIRECT("Basistabelle!H" &amp; ($A$1+AY$1+AX35))&gt;"")</formula>
    </cfRule>
  </conditionalFormatting>
  <conditionalFormatting sqref="AY36">
    <cfRule type="expression" dxfId="2809" priority="403">
      <formula>OR($A36="Sa",$A36="So")</formula>
    </cfRule>
    <cfRule type="expression" dxfId="2808" priority="404">
      <formula>AND(AX36&gt;0,INDIRECT("Basistabelle!G" &amp; ($A$1+AY$1+AX36))&lt;="",INDIRECT("Basistabelle!H" &amp; ($A$1+AY$1+AX36))&gt;"")</formula>
    </cfRule>
  </conditionalFormatting>
  <conditionalFormatting sqref="AY37">
    <cfRule type="expression" dxfId="2807" priority="401">
      <formula>OR($A37="Sa",$A37="So")</formula>
    </cfRule>
    <cfRule type="expression" dxfId="2806" priority="402">
      <formula>AND(AX37&gt;0,INDIRECT("Basistabelle!G" &amp; ($A$1+AY$1+AX37))&lt;="",INDIRECT("Basistabelle!H" &amp; ($A$1+AY$1+AX37))&gt;"")</formula>
    </cfRule>
  </conditionalFormatting>
  <conditionalFormatting sqref="AY38">
    <cfRule type="expression" dxfId="2805" priority="399">
      <formula>OR($A38="Sa",$A38="So")</formula>
    </cfRule>
    <cfRule type="expression" dxfId="2804" priority="400">
      <formula>AND(AX38&gt;0,INDIRECT("Basistabelle!G" &amp; ($A$1+AY$1+AX38))&lt;="",INDIRECT("Basistabelle!H" &amp; ($A$1+AY$1+AX38))&gt;"")</formula>
    </cfRule>
  </conditionalFormatting>
  <conditionalFormatting sqref="AY39">
    <cfRule type="expression" dxfId="2803" priority="397">
      <formula>OR($A39="Sa",$A39="So")</formula>
    </cfRule>
    <cfRule type="expression" dxfId="2802" priority="398">
      <formula>AND(AX39&gt;0,INDIRECT("Basistabelle!G" &amp; ($A$1+AY$1+AX39))&lt;="",INDIRECT("Basistabelle!H" &amp; ($A$1+AY$1+AX39))&gt;"")</formula>
    </cfRule>
  </conditionalFormatting>
  <conditionalFormatting sqref="AY40">
    <cfRule type="expression" dxfId="2801" priority="395">
      <formula>OR($A40="Sa",$A40="So")</formula>
    </cfRule>
    <cfRule type="expression" dxfId="2800" priority="396">
      <formula>AND(AX40&gt;0,INDIRECT("Basistabelle!G" &amp; ($A$1+AY$1+AX40))&lt;="",INDIRECT("Basistabelle!H" &amp; ($A$1+AY$1+AX40))&gt;"")</formula>
    </cfRule>
  </conditionalFormatting>
  <conditionalFormatting sqref="AY41">
    <cfRule type="expression" dxfId="2799" priority="393">
      <formula>OR($A41="Sa",$A41="So")</formula>
    </cfRule>
    <cfRule type="expression" dxfId="2798" priority="394">
      <formula>AND(AX41&gt;0,INDIRECT("Basistabelle!G" &amp; ($A$1+AY$1+AX41))&lt;="",INDIRECT("Basistabelle!H" &amp; ($A$1+AY$1+AX41))&gt;"")</formula>
    </cfRule>
  </conditionalFormatting>
  <conditionalFormatting sqref="AQ3">
    <cfRule type="expression" dxfId="2797" priority="391">
      <formula>OR($A3="Sa",$A3="So")</formula>
    </cfRule>
    <cfRule type="expression" dxfId="2796" priority="392">
      <formula>AND(AP3&gt;0,INDIRECT("Basistabelle!G" &amp; ($A$1+AQ$1+AP3))&lt;="",INDIRECT("Basistabelle!H" &amp; ($A$1+AQ$1+AP3))&gt;"")</formula>
    </cfRule>
  </conditionalFormatting>
  <conditionalFormatting sqref="AQ4">
    <cfRule type="expression" dxfId="2795" priority="389">
      <formula>OR($A4="Sa",$A4="So")</formula>
    </cfRule>
    <cfRule type="expression" dxfId="2794" priority="390">
      <formula>AND(AP4&gt;0,INDIRECT("Basistabelle!G" &amp; ($A$1+AQ$1+AP4))&lt;="",INDIRECT("Basistabelle!H" &amp; ($A$1+AQ$1+AP4))&gt;"")</formula>
    </cfRule>
  </conditionalFormatting>
  <conditionalFormatting sqref="AQ5">
    <cfRule type="expression" dxfId="2793" priority="387">
      <formula>OR($A5="Sa",$A5="So")</formula>
    </cfRule>
    <cfRule type="expression" dxfId="2792" priority="388">
      <formula>AND(AP5&gt;0,INDIRECT("Basistabelle!G" &amp; ($A$1+AQ$1+AP5))&lt;="",INDIRECT("Basistabelle!H" &amp; ($A$1+AQ$1+AP5))&gt;"")</formula>
    </cfRule>
  </conditionalFormatting>
  <conditionalFormatting sqref="AQ6">
    <cfRule type="expression" dxfId="2791" priority="385">
      <formula>OR($A6="Sa",$A6="So")</formula>
    </cfRule>
    <cfRule type="expression" dxfId="2790" priority="386">
      <formula>AND(AP6&gt;0,INDIRECT("Basistabelle!G" &amp; ($A$1+AQ$1+AP6))&lt;="",INDIRECT("Basistabelle!H" &amp; ($A$1+AQ$1+AP6))&gt;"")</formula>
    </cfRule>
  </conditionalFormatting>
  <conditionalFormatting sqref="AQ7">
    <cfRule type="expression" dxfId="2789" priority="383">
      <formula>OR($A7="Sa",$A7="So")</formula>
    </cfRule>
    <cfRule type="expression" dxfId="2788" priority="384">
      <formula>AND(AP7&gt;0,INDIRECT("Basistabelle!G" &amp; ($A$1+AQ$1+AP7))&lt;="",INDIRECT("Basistabelle!H" &amp; ($A$1+AQ$1+AP7))&gt;"")</formula>
    </cfRule>
  </conditionalFormatting>
  <conditionalFormatting sqref="AQ8">
    <cfRule type="expression" dxfId="2787" priority="381">
      <formula>OR($A8="Sa",$A8="So")</formula>
    </cfRule>
    <cfRule type="expression" dxfId="2786" priority="382">
      <formula>AND(AP8&gt;0,INDIRECT("Basistabelle!G" &amp; ($A$1+AQ$1+AP8))&lt;="",INDIRECT("Basistabelle!H" &amp; ($A$1+AQ$1+AP8))&gt;"")</formula>
    </cfRule>
  </conditionalFormatting>
  <conditionalFormatting sqref="AQ9">
    <cfRule type="expression" dxfId="2785" priority="379">
      <formula>OR($A9="Sa",$A9="So")</formula>
    </cfRule>
    <cfRule type="expression" dxfId="2784" priority="380">
      <formula>AND(AP9&gt;0,INDIRECT("Basistabelle!G" &amp; ($A$1+AQ$1+AP9))&lt;="",INDIRECT("Basistabelle!H" &amp; ($A$1+AQ$1+AP9))&gt;"")</formula>
    </cfRule>
  </conditionalFormatting>
  <conditionalFormatting sqref="AQ10">
    <cfRule type="expression" dxfId="2783" priority="377">
      <formula>OR($A10="Sa",$A10="So")</formula>
    </cfRule>
    <cfRule type="expression" dxfId="2782" priority="378">
      <formula>AND(AP10&gt;0,INDIRECT("Basistabelle!G" &amp; ($A$1+AQ$1+AP10))&lt;="",INDIRECT("Basistabelle!H" &amp; ($A$1+AQ$1+AP10))&gt;"")</formula>
    </cfRule>
  </conditionalFormatting>
  <conditionalFormatting sqref="AQ11">
    <cfRule type="expression" dxfId="2781" priority="375">
      <formula>OR($A11="Sa",$A11="So")</formula>
    </cfRule>
    <cfRule type="expression" dxfId="2780" priority="376">
      <formula>AND(AP11&gt;0,INDIRECT("Basistabelle!G" &amp; ($A$1+AQ$1+AP11))&lt;="",INDIRECT("Basistabelle!H" &amp; ($A$1+AQ$1+AP11))&gt;"")</formula>
    </cfRule>
  </conditionalFormatting>
  <conditionalFormatting sqref="AQ12">
    <cfRule type="expression" dxfId="2779" priority="373">
      <formula>OR($A12="Sa",$A12="So")</formula>
    </cfRule>
    <cfRule type="expression" dxfId="2778" priority="374">
      <formula>AND(AP12&gt;0,INDIRECT("Basistabelle!G" &amp; ($A$1+AQ$1+AP12))&lt;="",INDIRECT("Basistabelle!H" &amp; ($A$1+AQ$1+AP12))&gt;"")</formula>
    </cfRule>
  </conditionalFormatting>
  <conditionalFormatting sqref="AQ13">
    <cfRule type="expression" dxfId="2777" priority="371">
      <formula>OR($A13="Sa",$A13="So")</formula>
    </cfRule>
    <cfRule type="expression" dxfId="2776" priority="372">
      <formula>AND(AP13&gt;0,INDIRECT("Basistabelle!G" &amp; ($A$1+AQ$1+AP13))&lt;="",INDIRECT("Basistabelle!H" &amp; ($A$1+AQ$1+AP13))&gt;"")</formula>
    </cfRule>
  </conditionalFormatting>
  <conditionalFormatting sqref="AQ14">
    <cfRule type="expression" dxfId="2775" priority="369">
      <formula>OR($A14="Sa",$A14="So")</formula>
    </cfRule>
    <cfRule type="expression" dxfId="2774" priority="370">
      <formula>AND(AP14&gt;0,INDIRECT("Basistabelle!G" &amp; ($A$1+AQ$1+AP14))&lt;="",INDIRECT("Basistabelle!H" &amp; ($A$1+AQ$1+AP14))&gt;"")</formula>
    </cfRule>
  </conditionalFormatting>
  <conditionalFormatting sqref="AQ15">
    <cfRule type="expression" dxfId="2773" priority="367">
      <formula>OR($A15="Sa",$A15="So")</formula>
    </cfRule>
    <cfRule type="expression" dxfId="2772" priority="368">
      <formula>AND(AP15&gt;0,INDIRECT("Basistabelle!G" &amp; ($A$1+AQ$1+AP15))&lt;="",INDIRECT("Basistabelle!H" &amp; ($A$1+AQ$1+AP15))&gt;"")</formula>
    </cfRule>
  </conditionalFormatting>
  <conditionalFormatting sqref="AQ16">
    <cfRule type="expression" dxfId="2771" priority="365">
      <formula>OR($A16="Sa",$A16="So")</formula>
    </cfRule>
    <cfRule type="expression" dxfId="2770" priority="366">
      <formula>AND(AP16&gt;0,INDIRECT("Basistabelle!G" &amp; ($A$1+AQ$1+AP16))&lt;="",INDIRECT("Basistabelle!H" &amp; ($A$1+AQ$1+AP16))&gt;"")</formula>
    </cfRule>
  </conditionalFormatting>
  <conditionalFormatting sqref="AQ17">
    <cfRule type="expression" dxfId="2769" priority="363">
      <formula>OR($A17="Sa",$A17="So")</formula>
    </cfRule>
    <cfRule type="expression" dxfId="2768" priority="364">
      <formula>AND(AP17&gt;0,INDIRECT("Basistabelle!G" &amp; ($A$1+AQ$1+AP17))&lt;="",INDIRECT("Basistabelle!H" &amp; ($A$1+AQ$1+AP17))&gt;"")</formula>
    </cfRule>
  </conditionalFormatting>
  <conditionalFormatting sqref="AQ18">
    <cfRule type="expression" dxfId="2767" priority="361">
      <formula>OR($A18="Sa",$A18="So")</formula>
    </cfRule>
    <cfRule type="expression" dxfId="2766" priority="362">
      <formula>AND(AP18&gt;0,INDIRECT("Basistabelle!G" &amp; ($A$1+AQ$1+AP18))&lt;="",INDIRECT("Basistabelle!H" &amp; ($A$1+AQ$1+AP18))&gt;"")</formula>
    </cfRule>
  </conditionalFormatting>
  <conditionalFormatting sqref="AQ19">
    <cfRule type="expression" dxfId="2765" priority="359">
      <formula>OR($A19="Sa",$A19="So")</formula>
    </cfRule>
    <cfRule type="expression" dxfId="2764" priority="360">
      <formula>AND(AP19&gt;0,INDIRECT("Basistabelle!G" &amp; ($A$1+AQ$1+AP19))&lt;="",INDIRECT("Basistabelle!H" &amp; ($A$1+AQ$1+AP19))&gt;"")</formula>
    </cfRule>
  </conditionalFormatting>
  <conditionalFormatting sqref="AQ20">
    <cfRule type="expression" dxfId="2763" priority="357">
      <formula>OR($A20="Sa",$A20="So")</formula>
    </cfRule>
    <cfRule type="expression" dxfId="2762" priority="358">
      <formula>AND(AP20&gt;0,INDIRECT("Basistabelle!G" &amp; ($A$1+AQ$1+AP20))&lt;="",INDIRECT("Basistabelle!H" &amp; ($A$1+AQ$1+AP20))&gt;"")</formula>
    </cfRule>
  </conditionalFormatting>
  <conditionalFormatting sqref="AQ21">
    <cfRule type="expression" dxfId="2761" priority="355">
      <formula>OR($A21="Sa",$A21="So")</formula>
    </cfRule>
    <cfRule type="expression" dxfId="2760" priority="356">
      <formula>AND(AP21&gt;0,INDIRECT("Basistabelle!G" &amp; ($A$1+AQ$1+AP21))&lt;="",INDIRECT("Basistabelle!H" &amp; ($A$1+AQ$1+AP21))&gt;"")</formula>
    </cfRule>
  </conditionalFormatting>
  <conditionalFormatting sqref="AQ22">
    <cfRule type="expression" dxfId="2759" priority="353">
      <formula>OR($A22="Sa",$A22="So")</formula>
    </cfRule>
    <cfRule type="expression" dxfId="2758" priority="354">
      <formula>AND(AP22&gt;0,INDIRECT("Basistabelle!G" &amp; ($A$1+AQ$1+AP22))&lt;="",INDIRECT("Basistabelle!H" &amp; ($A$1+AQ$1+AP22))&gt;"")</formula>
    </cfRule>
  </conditionalFormatting>
  <conditionalFormatting sqref="AQ23">
    <cfRule type="expression" dxfId="2757" priority="351">
      <formula>OR($A23="Sa",$A23="So")</formula>
    </cfRule>
    <cfRule type="expression" dxfId="2756" priority="352">
      <formula>AND(AP23&gt;0,INDIRECT("Basistabelle!G" &amp; ($A$1+AQ$1+AP23))&lt;="",INDIRECT("Basistabelle!H" &amp; ($A$1+AQ$1+AP23))&gt;"")</formula>
    </cfRule>
  </conditionalFormatting>
  <conditionalFormatting sqref="AQ24">
    <cfRule type="expression" dxfId="2755" priority="349">
      <formula>OR($A24="Sa",$A24="So")</formula>
    </cfRule>
    <cfRule type="expression" dxfId="2754" priority="350">
      <formula>AND(AP24&gt;0,INDIRECT("Basistabelle!G" &amp; ($A$1+AQ$1+AP24))&lt;="",INDIRECT("Basistabelle!H" &amp; ($A$1+AQ$1+AP24))&gt;"")</formula>
    </cfRule>
  </conditionalFormatting>
  <conditionalFormatting sqref="AQ25">
    <cfRule type="expression" dxfId="2753" priority="347">
      <formula>OR($A25="Sa",$A25="So")</formula>
    </cfRule>
    <cfRule type="expression" dxfId="2752" priority="348">
      <formula>AND(AP25&gt;0,INDIRECT("Basistabelle!G" &amp; ($A$1+AQ$1+AP25))&lt;="",INDIRECT("Basistabelle!H" &amp; ($A$1+AQ$1+AP25))&gt;"")</formula>
    </cfRule>
  </conditionalFormatting>
  <conditionalFormatting sqref="AQ26">
    <cfRule type="expression" dxfId="2751" priority="345">
      <formula>OR($A26="Sa",$A26="So")</formula>
    </cfRule>
    <cfRule type="expression" dxfId="2750" priority="346">
      <formula>AND(AP26&gt;0,INDIRECT("Basistabelle!G" &amp; ($A$1+AQ$1+AP26))&lt;="",INDIRECT("Basistabelle!H" &amp; ($A$1+AQ$1+AP26))&gt;"")</formula>
    </cfRule>
  </conditionalFormatting>
  <conditionalFormatting sqref="AQ27">
    <cfRule type="expression" dxfId="2749" priority="343">
      <formula>OR($A27="Sa",$A27="So")</formula>
    </cfRule>
    <cfRule type="expression" dxfId="2748" priority="344">
      <formula>AND(AP27&gt;0,INDIRECT("Basistabelle!G" &amp; ($A$1+AQ$1+AP27))&lt;="",INDIRECT("Basistabelle!H" &amp; ($A$1+AQ$1+AP27))&gt;"")</formula>
    </cfRule>
  </conditionalFormatting>
  <conditionalFormatting sqref="AQ28">
    <cfRule type="expression" dxfId="2747" priority="341">
      <formula>OR($A28="Sa",$A28="So")</formula>
    </cfRule>
    <cfRule type="expression" dxfId="2746" priority="342">
      <formula>AND(AP28&gt;0,INDIRECT("Basistabelle!G" &amp; ($A$1+AQ$1+AP28))&lt;="",INDIRECT("Basistabelle!H" &amp; ($A$1+AQ$1+AP28))&gt;"")</formula>
    </cfRule>
  </conditionalFormatting>
  <conditionalFormatting sqref="AQ29">
    <cfRule type="expression" dxfId="2745" priority="339">
      <formula>OR($A29="Sa",$A29="So")</formula>
    </cfRule>
    <cfRule type="expression" dxfId="2744" priority="340">
      <formula>AND(AP29&gt;0,INDIRECT("Basistabelle!G" &amp; ($A$1+AQ$1+AP29))&lt;="",INDIRECT("Basistabelle!H" &amp; ($A$1+AQ$1+AP29))&gt;"")</formula>
    </cfRule>
  </conditionalFormatting>
  <conditionalFormatting sqref="AQ30">
    <cfRule type="expression" dxfId="2743" priority="337">
      <formula>OR($A30="Sa",$A30="So")</formula>
    </cfRule>
    <cfRule type="expression" dxfId="2742" priority="338">
      <formula>AND(AP30&gt;0,INDIRECT("Basistabelle!G" &amp; ($A$1+AQ$1+AP30))&lt;="",INDIRECT("Basistabelle!H" &amp; ($A$1+AQ$1+AP30))&gt;"")</formula>
    </cfRule>
  </conditionalFormatting>
  <conditionalFormatting sqref="AQ31">
    <cfRule type="expression" dxfId="2741" priority="335">
      <formula>OR($A31="Sa",$A31="So")</formula>
    </cfRule>
    <cfRule type="expression" dxfId="2740" priority="336">
      <formula>AND(AP31&gt;0,INDIRECT("Basistabelle!G" &amp; ($A$1+AQ$1+AP31))&lt;="",INDIRECT("Basistabelle!H" &amp; ($A$1+AQ$1+AP31))&gt;"")</formula>
    </cfRule>
  </conditionalFormatting>
  <conditionalFormatting sqref="AQ32">
    <cfRule type="expression" dxfId="2739" priority="333">
      <formula>OR($A32="Sa",$A32="So")</formula>
    </cfRule>
    <cfRule type="expression" dxfId="2738" priority="334">
      <formula>AND(AP32&gt;0,INDIRECT("Basistabelle!G" &amp; ($A$1+AQ$1+AP32))&lt;="",INDIRECT("Basistabelle!H" &amp; ($A$1+AQ$1+AP32))&gt;"")</formula>
    </cfRule>
  </conditionalFormatting>
  <conditionalFormatting sqref="AQ33">
    <cfRule type="expression" dxfId="2737" priority="331">
      <formula>OR($A33="Sa",$A33="So")</formula>
    </cfRule>
    <cfRule type="expression" dxfId="2736" priority="332">
      <formula>AND(AP33&gt;0,INDIRECT("Basistabelle!G" &amp; ($A$1+AQ$1+AP33))&lt;="",INDIRECT("Basistabelle!H" &amp; ($A$1+AQ$1+AP33))&gt;"")</formula>
    </cfRule>
  </conditionalFormatting>
  <conditionalFormatting sqref="AQ34">
    <cfRule type="expression" dxfId="2735" priority="329">
      <formula>OR($A34="Sa",$A34="So")</formula>
    </cfRule>
    <cfRule type="expression" dxfId="2734" priority="330">
      <formula>AND(AP34&gt;0,INDIRECT("Basistabelle!G" &amp; ($A$1+AQ$1+AP34))&lt;="",INDIRECT("Basistabelle!H" &amp; ($A$1+AQ$1+AP34))&gt;"")</formula>
    </cfRule>
  </conditionalFormatting>
  <conditionalFormatting sqref="AQ35">
    <cfRule type="expression" dxfId="2733" priority="327">
      <formula>OR($A35="Sa",$A35="So")</formula>
    </cfRule>
    <cfRule type="expression" dxfId="2732" priority="328">
      <formula>AND(AP35&gt;0,INDIRECT("Basistabelle!G" &amp; ($A$1+AQ$1+AP35))&lt;="",INDIRECT("Basistabelle!H" &amp; ($A$1+AQ$1+AP35))&gt;"")</formula>
    </cfRule>
  </conditionalFormatting>
  <conditionalFormatting sqref="AQ36">
    <cfRule type="expression" dxfId="2731" priority="325">
      <formula>OR($A36="Sa",$A36="So")</formula>
    </cfRule>
    <cfRule type="expression" dxfId="2730" priority="326">
      <formula>AND(AP36&gt;0,INDIRECT("Basistabelle!G" &amp; ($A$1+AQ$1+AP36))&lt;="",INDIRECT("Basistabelle!H" &amp; ($A$1+AQ$1+AP36))&gt;"")</formula>
    </cfRule>
  </conditionalFormatting>
  <conditionalFormatting sqref="AQ37">
    <cfRule type="expression" dxfId="2729" priority="323">
      <formula>OR($A37="Sa",$A37="So")</formula>
    </cfRule>
    <cfRule type="expression" dxfId="2728" priority="324">
      <formula>AND(AP37&gt;0,INDIRECT("Basistabelle!G" &amp; ($A$1+AQ$1+AP37))&lt;="",INDIRECT("Basistabelle!H" &amp; ($A$1+AQ$1+AP37))&gt;"")</formula>
    </cfRule>
  </conditionalFormatting>
  <conditionalFormatting sqref="AQ38">
    <cfRule type="expression" dxfId="2727" priority="321">
      <formula>OR($A38="Sa",$A38="So")</formula>
    </cfRule>
    <cfRule type="expression" dxfId="2726" priority="322">
      <formula>AND(AP38&gt;0,INDIRECT("Basistabelle!G" &amp; ($A$1+AQ$1+AP38))&lt;="",INDIRECT("Basistabelle!H" &amp; ($A$1+AQ$1+AP38))&gt;"")</formula>
    </cfRule>
  </conditionalFormatting>
  <conditionalFormatting sqref="AQ39">
    <cfRule type="expression" dxfId="2725" priority="319">
      <formula>OR($A39="Sa",$A39="So")</formula>
    </cfRule>
    <cfRule type="expression" dxfId="2724" priority="320">
      <formula>AND(AP39&gt;0,INDIRECT("Basistabelle!G" &amp; ($A$1+AQ$1+AP39))&lt;="",INDIRECT("Basistabelle!H" &amp; ($A$1+AQ$1+AP39))&gt;"")</formula>
    </cfRule>
  </conditionalFormatting>
  <conditionalFormatting sqref="AI3">
    <cfRule type="expression" dxfId="2723" priority="317">
      <formula>OR($A3="Sa",$A3="So")</formula>
    </cfRule>
    <cfRule type="expression" dxfId="2722" priority="318">
      <formula>AND(AH3&gt;0,INDIRECT("Basistabelle!G" &amp; ($A$1+AI$1+AH3))&lt;="",INDIRECT("Basistabelle!H" &amp; ($A$1+AI$1+AH3))&gt;"")</formula>
    </cfRule>
  </conditionalFormatting>
  <conditionalFormatting sqref="AI6">
    <cfRule type="expression" dxfId="2721" priority="315">
      <formula>OR($A6="Sa",$A6="So")</formula>
    </cfRule>
    <cfRule type="expression" dxfId="2720" priority="316">
      <formula>AND(AH6&gt;0,INDIRECT("Basistabelle!G" &amp; ($A$1+AI$1+AH6))&lt;="",INDIRECT("Basistabelle!H" &amp; ($A$1+AI$1+AH6))&gt;"")</formula>
    </cfRule>
  </conditionalFormatting>
  <conditionalFormatting sqref="AI7">
    <cfRule type="expression" dxfId="2719" priority="313">
      <formula>OR($A7="Sa",$A7="So")</formula>
    </cfRule>
    <cfRule type="expression" dxfId="2718" priority="314">
      <formula>AND(AH7&gt;0,INDIRECT("Basistabelle!G" &amp; ($A$1+AI$1+AH7))&lt;="",INDIRECT("Basistabelle!H" &amp; ($A$1+AI$1+AH7))&gt;"")</formula>
    </cfRule>
  </conditionalFormatting>
  <conditionalFormatting sqref="AI8">
    <cfRule type="expression" dxfId="2717" priority="311">
      <formula>OR($A8="Sa",$A8="So")</formula>
    </cfRule>
    <cfRule type="expression" dxfId="2716" priority="312">
      <formula>AND(AH8&gt;0,INDIRECT("Basistabelle!G" &amp; ($A$1+AI$1+AH8))&lt;="",INDIRECT("Basistabelle!H" &amp; ($A$1+AI$1+AH8))&gt;"")</formula>
    </cfRule>
  </conditionalFormatting>
  <conditionalFormatting sqref="AI9">
    <cfRule type="expression" dxfId="2715" priority="309">
      <formula>OR($A9="Sa",$A9="So")</formula>
    </cfRule>
    <cfRule type="expression" dxfId="2714" priority="310">
      <formula>AND(AH9&gt;0,INDIRECT("Basistabelle!G" &amp; ($A$1+AI$1+AH9))&lt;="",INDIRECT("Basistabelle!H" &amp; ($A$1+AI$1+AH9))&gt;"")</formula>
    </cfRule>
  </conditionalFormatting>
  <conditionalFormatting sqref="AI10">
    <cfRule type="expression" dxfId="2713" priority="307">
      <formula>OR($A10="Sa",$A10="So")</formula>
    </cfRule>
    <cfRule type="expression" dxfId="2712" priority="308">
      <formula>AND(AH10&gt;0,INDIRECT("Basistabelle!G" &amp; ($A$1+AI$1+AH10))&lt;="",INDIRECT("Basistabelle!H" &amp; ($A$1+AI$1+AH10))&gt;"")</formula>
    </cfRule>
  </conditionalFormatting>
  <conditionalFormatting sqref="AI11">
    <cfRule type="expression" dxfId="2711" priority="305">
      <formula>OR($A11="Sa",$A11="So")</formula>
    </cfRule>
    <cfRule type="expression" dxfId="2710" priority="306">
      <formula>AND(AH11&gt;0,INDIRECT("Basistabelle!G" &amp; ($A$1+AI$1+AH11))&lt;="",INDIRECT("Basistabelle!H" &amp; ($A$1+AI$1+AH11))&gt;"")</formula>
    </cfRule>
  </conditionalFormatting>
  <conditionalFormatting sqref="AI12">
    <cfRule type="expression" dxfId="2709" priority="303">
      <formula>OR($A12="Sa",$A12="So")</formula>
    </cfRule>
    <cfRule type="expression" dxfId="2708" priority="304">
      <formula>AND(AH12&gt;0,INDIRECT("Basistabelle!G" &amp; ($A$1+AI$1+AH12))&lt;="",INDIRECT("Basistabelle!H" &amp; ($A$1+AI$1+AH12))&gt;"")</formula>
    </cfRule>
  </conditionalFormatting>
  <conditionalFormatting sqref="AI13">
    <cfRule type="expression" dxfId="2707" priority="301">
      <formula>OR($A13="Sa",$A13="So")</formula>
    </cfRule>
    <cfRule type="expression" dxfId="2706" priority="302">
      <formula>AND(AH13&gt;0,INDIRECT("Basistabelle!G" &amp; ($A$1+AI$1+AH13))&lt;="",INDIRECT("Basistabelle!H" &amp; ($A$1+AI$1+AH13))&gt;"")</formula>
    </cfRule>
  </conditionalFormatting>
  <conditionalFormatting sqref="AI14">
    <cfRule type="expression" dxfId="2705" priority="299">
      <formula>OR($A14="Sa",$A14="So")</formula>
    </cfRule>
    <cfRule type="expression" dxfId="2704" priority="300">
      <formula>AND(AH14&gt;0,INDIRECT("Basistabelle!G" &amp; ($A$1+AI$1+AH14))&lt;="",INDIRECT("Basistabelle!H" &amp; ($A$1+AI$1+AH14))&gt;"")</formula>
    </cfRule>
  </conditionalFormatting>
  <conditionalFormatting sqref="AI15">
    <cfRule type="expression" dxfId="2703" priority="297">
      <formula>OR($A15="Sa",$A15="So")</formula>
    </cfRule>
    <cfRule type="expression" dxfId="2702" priority="298">
      <formula>AND(AH15&gt;0,INDIRECT("Basistabelle!G" &amp; ($A$1+AI$1+AH15))&lt;="",INDIRECT("Basistabelle!H" &amp; ($A$1+AI$1+AH15))&gt;"")</formula>
    </cfRule>
  </conditionalFormatting>
  <conditionalFormatting sqref="AI16">
    <cfRule type="expression" dxfId="2701" priority="295">
      <formula>OR($A16="Sa",$A16="So")</formula>
    </cfRule>
    <cfRule type="expression" dxfId="2700" priority="296">
      <formula>AND(AH16&gt;0,INDIRECT("Basistabelle!G" &amp; ($A$1+AI$1+AH16))&lt;="",INDIRECT("Basistabelle!H" &amp; ($A$1+AI$1+AH16))&gt;"")</formula>
    </cfRule>
  </conditionalFormatting>
  <conditionalFormatting sqref="AI17">
    <cfRule type="expression" dxfId="2699" priority="293">
      <formula>OR($A17="Sa",$A17="So")</formula>
    </cfRule>
    <cfRule type="expression" dxfId="2698" priority="294">
      <formula>AND(AH17&gt;0,INDIRECT("Basistabelle!G" &amp; ($A$1+AI$1+AH17))&lt;="",INDIRECT("Basistabelle!H" &amp; ($A$1+AI$1+AH17))&gt;"")</formula>
    </cfRule>
  </conditionalFormatting>
  <conditionalFormatting sqref="AI18">
    <cfRule type="expression" dxfId="2697" priority="291">
      <formula>OR($A18="Sa",$A18="So")</formula>
    </cfRule>
    <cfRule type="expression" dxfId="2696" priority="292">
      <formula>AND(AH18&gt;0,INDIRECT("Basistabelle!G" &amp; ($A$1+AI$1+AH18))&lt;="",INDIRECT("Basistabelle!H" &amp; ($A$1+AI$1+AH18))&gt;"")</formula>
    </cfRule>
  </conditionalFormatting>
  <conditionalFormatting sqref="AI19">
    <cfRule type="expression" dxfId="2695" priority="289">
      <formula>OR($A19="Sa",$A19="So")</formula>
    </cfRule>
    <cfRule type="expression" dxfId="2694" priority="290">
      <formula>AND(AH19&gt;0,INDIRECT("Basistabelle!G" &amp; ($A$1+AI$1+AH19))&lt;="",INDIRECT("Basistabelle!H" &amp; ($A$1+AI$1+AH19))&gt;"")</formula>
    </cfRule>
  </conditionalFormatting>
  <conditionalFormatting sqref="AI20">
    <cfRule type="expression" dxfId="2693" priority="287">
      <formula>OR($A20="Sa",$A20="So")</formula>
    </cfRule>
    <cfRule type="expression" dxfId="2692" priority="288">
      <formula>AND(AH20&gt;0,INDIRECT("Basistabelle!G" &amp; ($A$1+AI$1+AH20))&lt;="",INDIRECT("Basistabelle!H" &amp; ($A$1+AI$1+AH20))&gt;"")</formula>
    </cfRule>
  </conditionalFormatting>
  <conditionalFormatting sqref="AI21">
    <cfRule type="expression" dxfId="2691" priority="285">
      <formula>OR($A21="Sa",$A21="So")</formula>
    </cfRule>
    <cfRule type="expression" dxfId="2690" priority="286">
      <formula>AND(AH21&gt;0,INDIRECT("Basistabelle!G" &amp; ($A$1+AI$1+AH21))&lt;="",INDIRECT("Basistabelle!H" &amp; ($A$1+AI$1+AH21))&gt;"")</formula>
    </cfRule>
  </conditionalFormatting>
  <conditionalFormatting sqref="AI22">
    <cfRule type="expression" dxfId="2689" priority="283">
      <formula>OR($A22="Sa",$A22="So")</formula>
    </cfRule>
    <cfRule type="expression" dxfId="2688" priority="284">
      <formula>AND(AH22&gt;0,INDIRECT("Basistabelle!G" &amp; ($A$1+AI$1+AH22))&lt;="",INDIRECT("Basistabelle!H" &amp; ($A$1+AI$1+AH22))&gt;"")</formula>
    </cfRule>
  </conditionalFormatting>
  <conditionalFormatting sqref="AI23">
    <cfRule type="expression" dxfId="2687" priority="281">
      <formula>OR($A23="Sa",$A23="So")</formula>
    </cfRule>
    <cfRule type="expression" dxfId="2686" priority="282">
      <formula>AND(AH23&gt;0,INDIRECT("Basistabelle!G" &amp; ($A$1+AI$1+AH23))&lt;="",INDIRECT("Basistabelle!H" &amp; ($A$1+AI$1+AH23))&gt;"")</formula>
    </cfRule>
  </conditionalFormatting>
  <conditionalFormatting sqref="AI24">
    <cfRule type="expression" dxfId="2685" priority="279">
      <formula>OR($A24="Sa",$A24="So")</formula>
    </cfRule>
    <cfRule type="expression" dxfId="2684" priority="280">
      <formula>AND(AH24&gt;0,INDIRECT("Basistabelle!G" &amp; ($A$1+AI$1+AH24))&lt;="",INDIRECT("Basistabelle!H" &amp; ($A$1+AI$1+AH24))&gt;"")</formula>
    </cfRule>
  </conditionalFormatting>
  <conditionalFormatting sqref="AI25">
    <cfRule type="expression" dxfId="2683" priority="277">
      <formula>OR($A25="Sa",$A25="So")</formula>
    </cfRule>
    <cfRule type="expression" dxfId="2682" priority="278">
      <formula>AND(AH25&gt;0,INDIRECT("Basistabelle!G" &amp; ($A$1+AI$1+AH25))&lt;="",INDIRECT("Basistabelle!H" &amp; ($A$1+AI$1+AH25))&gt;"")</formula>
    </cfRule>
  </conditionalFormatting>
  <conditionalFormatting sqref="AI26">
    <cfRule type="expression" dxfId="2681" priority="275">
      <formula>OR($A26="Sa",$A26="So")</formula>
    </cfRule>
    <cfRule type="expression" dxfId="2680" priority="276">
      <formula>AND(AH26&gt;0,INDIRECT("Basistabelle!G" &amp; ($A$1+AI$1+AH26))&lt;="",INDIRECT("Basistabelle!H" &amp; ($A$1+AI$1+AH26))&gt;"")</formula>
    </cfRule>
  </conditionalFormatting>
  <conditionalFormatting sqref="AI27">
    <cfRule type="expression" dxfId="2679" priority="273">
      <formula>OR($A27="Sa",$A27="So")</formula>
    </cfRule>
    <cfRule type="expression" dxfId="2678" priority="274">
      <formula>AND(AH27&gt;0,INDIRECT("Basistabelle!G" &amp; ($A$1+AI$1+AH27))&lt;="",INDIRECT("Basistabelle!H" &amp; ($A$1+AI$1+AH27))&gt;"")</formula>
    </cfRule>
  </conditionalFormatting>
  <conditionalFormatting sqref="AI28">
    <cfRule type="expression" dxfId="2677" priority="271">
      <formula>OR($A28="Sa",$A28="So")</formula>
    </cfRule>
    <cfRule type="expression" dxfId="2676" priority="272">
      <formula>AND(AH28&gt;0,INDIRECT("Basistabelle!G" &amp; ($A$1+AI$1+AH28))&lt;="",INDIRECT("Basistabelle!H" &amp; ($A$1+AI$1+AH28))&gt;"")</formula>
    </cfRule>
  </conditionalFormatting>
  <conditionalFormatting sqref="AI29">
    <cfRule type="expression" dxfId="2675" priority="269">
      <formula>OR($A29="Sa",$A29="So")</formula>
    </cfRule>
    <cfRule type="expression" dxfId="2674" priority="270">
      <formula>AND(AH29&gt;0,INDIRECT("Basistabelle!G" &amp; ($A$1+AI$1+AH29))&lt;="",INDIRECT("Basistabelle!H" &amp; ($A$1+AI$1+AH29))&gt;"")</formula>
    </cfRule>
  </conditionalFormatting>
  <conditionalFormatting sqref="AI30">
    <cfRule type="expression" dxfId="2673" priority="267">
      <formula>OR($A30="Sa",$A30="So")</formula>
    </cfRule>
    <cfRule type="expression" dxfId="2672" priority="268">
      <formula>AND(AH30&gt;0,INDIRECT("Basistabelle!G" &amp; ($A$1+AI$1+AH30))&lt;="",INDIRECT("Basistabelle!H" &amp; ($A$1+AI$1+AH30))&gt;"")</formula>
    </cfRule>
  </conditionalFormatting>
  <conditionalFormatting sqref="AI31">
    <cfRule type="expression" dxfId="2671" priority="265">
      <formula>OR($A31="Sa",$A31="So")</formula>
    </cfRule>
    <cfRule type="expression" dxfId="2670" priority="266">
      <formula>AND(AH31&gt;0,INDIRECT("Basistabelle!G" &amp; ($A$1+AI$1+AH31))&lt;="",INDIRECT("Basistabelle!H" &amp; ($A$1+AI$1+AH31))&gt;"")</formula>
    </cfRule>
  </conditionalFormatting>
  <conditionalFormatting sqref="AI32">
    <cfRule type="expression" dxfId="2669" priority="263">
      <formula>OR($A32="Sa",$A32="So")</formula>
    </cfRule>
    <cfRule type="expression" dxfId="2668" priority="264">
      <formula>AND(AH32&gt;0,INDIRECT("Basistabelle!G" &amp; ($A$1+AI$1+AH32))&lt;="",INDIRECT("Basistabelle!H" &amp; ($A$1+AI$1+AH32))&gt;"")</formula>
    </cfRule>
  </conditionalFormatting>
  <conditionalFormatting sqref="AI33">
    <cfRule type="expression" dxfId="2667" priority="261">
      <formula>OR($A33="Sa",$A33="So")</formula>
    </cfRule>
    <cfRule type="expression" dxfId="2666" priority="262">
      <formula>AND(AH33&gt;0,INDIRECT("Basistabelle!G" &amp; ($A$1+AI$1+AH33))&lt;="",INDIRECT("Basistabelle!H" &amp; ($A$1+AI$1+AH33))&gt;"")</formula>
    </cfRule>
  </conditionalFormatting>
  <conditionalFormatting sqref="AI34">
    <cfRule type="expression" dxfId="2665" priority="259">
      <formula>OR($A34="Sa",$A34="So")</formula>
    </cfRule>
    <cfRule type="expression" dxfId="2664" priority="260">
      <formula>AND(AH34&gt;0,INDIRECT("Basistabelle!G" &amp; ($A$1+AI$1+AH34))&lt;="",INDIRECT("Basistabelle!H" &amp; ($A$1+AI$1+AH34))&gt;"")</formula>
    </cfRule>
  </conditionalFormatting>
  <conditionalFormatting sqref="AI35">
    <cfRule type="expression" dxfId="2663" priority="257">
      <formula>OR($A35="Sa",$A35="So")</formula>
    </cfRule>
    <cfRule type="expression" dxfId="2662" priority="258">
      <formula>AND(AH35&gt;0,INDIRECT("Basistabelle!G" &amp; ($A$1+AI$1+AH35))&lt;="",INDIRECT("Basistabelle!H" &amp; ($A$1+AI$1+AH35))&gt;"")</formula>
    </cfRule>
  </conditionalFormatting>
  <conditionalFormatting sqref="AI36">
    <cfRule type="expression" dxfId="2661" priority="255">
      <formula>OR($A36="Sa",$A36="So")</formula>
    </cfRule>
    <cfRule type="expression" dxfId="2660" priority="256">
      <formula>AND(AH36&gt;0,INDIRECT("Basistabelle!G" &amp; ($A$1+AI$1+AH36))&lt;="",INDIRECT("Basistabelle!H" &amp; ($A$1+AI$1+AH36))&gt;"")</formula>
    </cfRule>
  </conditionalFormatting>
  <conditionalFormatting sqref="AI37">
    <cfRule type="expression" dxfId="2659" priority="253">
      <formula>OR($A37="Sa",$A37="So")</formula>
    </cfRule>
    <cfRule type="expression" dxfId="2658" priority="254">
      <formula>AND(AH37&gt;0,INDIRECT("Basistabelle!G" &amp; ($A$1+AI$1+AH37))&lt;="",INDIRECT("Basistabelle!H" &amp; ($A$1+AI$1+AH37))&gt;"")</formula>
    </cfRule>
  </conditionalFormatting>
  <conditionalFormatting sqref="AI38">
    <cfRule type="expression" dxfId="2657" priority="251">
      <formula>OR($A38="Sa",$A38="So")</formula>
    </cfRule>
    <cfRule type="expression" dxfId="2656" priority="252">
      <formula>AND(AH38&gt;0,INDIRECT("Basistabelle!G" &amp; ($A$1+AI$1+AH38))&lt;="",INDIRECT("Basistabelle!H" &amp; ($A$1+AI$1+AH38))&gt;"")</formula>
    </cfRule>
  </conditionalFormatting>
  <conditionalFormatting sqref="AI39">
    <cfRule type="expression" dxfId="2655" priority="249">
      <formula>OR($A39="Sa",$A39="So")</formula>
    </cfRule>
    <cfRule type="expression" dxfId="2654" priority="250">
      <formula>AND(AH39&gt;0,INDIRECT("Basistabelle!G" &amp; ($A$1+AI$1+AH39))&lt;="",INDIRECT("Basistabelle!H" &amp; ($A$1+AI$1+AH39))&gt;"")</formula>
    </cfRule>
  </conditionalFormatting>
  <conditionalFormatting sqref="AI40">
    <cfRule type="expression" dxfId="2653" priority="247">
      <formula>OR($A40="Sa",$A40="So")</formula>
    </cfRule>
    <cfRule type="expression" dxfId="2652" priority="248">
      <formula>AND(AH40&gt;0,INDIRECT("Basistabelle!G" &amp; ($A$1+AI$1+AH40))&lt;="",INDIRECT("Basistabelle!H" &amp; ($A$1+AI$1+AH40))&gt;"")</formula>
    </cfRule>
  </conditionalFormatting>
  <conditionalFormatting sqref="AI41">
    <cfRule type="expression" dxfId="2651" priority="245">
      <formula>OR($A41="Sa",$A41="So")</formula>
    </cfRule>
    <cfRule type="expression" dxfId="2650" priority="246">
      <formula>AND(AH41&gt;0,INDIRECT("Basistabelle!G" &amp; ($A$1+AI$1+AH41))&lt;="",INDIRECT("Basistabelle!H" &amp; ($A$1+AI$1+AH41))&gt;"")</formula>
    </cfRule>
  </conditionalFormatting>
  <conditionalFormatting sqref="AA3">
    <cfRule type="expression" dxfId="2649" priority="243">
      <formula>OR($A3="Sa",$A3="So")</formula>
    </cfRule>
    <cfRule type="expression" dxfId="2648" priority="244">
      <formula>AND(Z3&gt;0,INDIRECT("Basistabelle!G" &amp; ($A$1+AA$1+Z3))&lt;="",INDIRECT("Basistabelle!H" &amp; ($A$1+AA$1+Z3))&gt;"")</formula>
    </cfRule>
  </conditionalFormatting>
  <conditionalFormatting sqref="AA4">
    <cfRule type="expression" dxfId="2647" priority="241">
      <formula>OR($A4="Sa",$A4="So")</formula>
    </cfRule>
    <cfRule type="expression" dxfId="2646" priority="242">
      <formula>AND(Z4&gt;0,INDIRECT("Basistabelle!G" &amp; ($A$1+AA$1+Z4))&lt;="",INDIRECT("Basistabelle!H" &amp; ($A$1+AA$1+Z4))&gt;"")</formula>
    </cfRule>
  </conditionalFormatting>
  <conditionalFormatting sqref="AA5">
    <cfRule type="expression" dxfId="2645" priority="239">
      <formula>OR($A5="Sa",$A5="So")</formula>
    </cfRule>
    <cfRule type="expression" dxfId="2644" priority="240">
      <formula>AND(Z5&gt;0,INDIRECT("Basistabelle!G" &amp; ($A$1+AA$1+Z5))&lt;="",INDIRECT("Basistabelle!H" &amp; ($A$1+AA$1+Z5))&gt;"")</formula>
    </cfRule>
  </conditionalFormatting>
  <conditionalFormatting sqref="AA6">
    <cfRule type="expression" dxfId="2643" priority="237">
      <formula>OR($A6="Sa",$A6="So")</formula>
    </cfRule>
    <cfRule type="expression" dxfId="2642" priority="238">
      <formula>AND(Z6&gt;0,INDIRECT("Basistabelle!G" &amp; ($A$1+AA$1+Z6))&lt;="",INDIRECT("Basistabelle!H" &amp; ($A$1+AA$1+Z6))&gt;"")</formula>
    </cfRule>
  </conditionalFormatting>
  <conditionalFormatting sqref="AA7">
    <cfRule type="expression" dxfId="2641" priority="235">
      <formula>OR($A7="Sa",$A7="So")</formula>
    </cfRule>
    <cfRule type="expression" dxfId="2640" priority="236">
      <formula>AND(Z7&gt;0,INDIRECT("Basistabelle!G" &amp; ($A$1+AA$1+Z7))&lt;="",INDIRECT("Basistabelle!H" &amp; ($A$1+AA$1+Z7))&gt;"")</formula>
    </cfRule>
  </conditionalFormatting>
  <conditionalFormatting sqref="AA8">
    <cfRule type="expression" dxfId="2639" priority="233">
      <formula>OR($A8="Sa",$A8="So")</formula>
    </cfRule>
    <cfRule type="expression" dxfId="2638" priority="234">
      <formula>AND(Z8&gt;0,INDIRECT("Basistabelle!G" &amp; ($A$1+AA$1+Z8))&lt;="",INDIRECT("Basistabelle!H" &amp; ($A$1+AA$1+Z8))&gt;"")</formula>
    </cfRule>
  </conditionalFormatting>
  <conditionalFormatting sqref="AA9">
    <cfRule type="expression" dxfId="2637" priority="231">
      <formula>OR($A9="Sa",$A9="So")</formula>
    </cfRule>
    <cfRule type="expression" dxfId="2636" priority="232">
      <formula>AND(Z9&gt;0,INDIRECT("Basistabelle!G" &amp; ($A$1+AA$1+Z9))&lt;="",INDIRECT("Basistabelle!H" &amp; ($A$1+AA$1+Z9))&gt;"")</formula>
    </cfRule>
  </conditionalFormatting>
  <conditionalFormatting sqref="AA10">
    <cfRule type="expression" dxfId="2635" priority="229">
      <formula>OR($A10="Sa",$A10="So")</formula>
    </cfRule>
    <cfRule type="expression" dxfId="2634" priority="230">
      <formula>AND(Z10&gt;0,INDIRECT("Basistabelle!G" &amp; ($A$1+AA$1+Z10))&lt;="",INDIRECT("Basistabelle!H" &amp; ($A$1+AA$1+Z10))&gt;"")</formula>
    </cfRule>
  </conditionalFormatting>
  <conditionalFormatting sqref="AA11">
    <cfRule type="expression" dxfId="2633" priority="227">
      <formula>OR($A11="Sa",$A11="So")</formula>
    </cfRule>
    <cfRule type="expression" dxfId="2632" priority="228">
      <formula>AND(Z11&gt;0,INDIRECT("Basistabelle!G" &amp; ($A$1+AA$1+Z11))&lt;="",INDIRECT("Basistabelle!H" &amp; ($A$1+AA$1+Z11))&gt;"")</formula>
    </cfRule>
  </conditionalFormatting>
  <conditionalFormatting sqref="AA12">
    <cfRule type="expression" dxfId="2631" priority="225">
      <formula>OR($A12="Sa",$A12="So")</formula>
    </cfRule>
    <cfRule type="expression" dxfId="2630" priority="226">
      <formula>AND(Z12&gt;0,INDIRECT("Basistabelle!G" &amp; ($A$1+AA$1+Z12))&lt;="",INDIRECT("Basistabelle!H" &amp; ($A$1+AA$1+Z12))&gt;"")</formula>
    </cfRule>
  </conditionalFormatting>
  <conditionalFormatting sqref="AA13">
    <cfRule type="expression" dxfId="2629" priority="223">
      <formula>OR($A13="Sa",$A13="So")</formula>
    </cfRule>
    <cfRule type="expression" dxfId="2628" priority="224">
      <formula>AND(Z13&gt;0,INDIRECT("Basistabelle!G" &amp; ($A$1+AA$1+Z13))&lt;="",INDIRECT("Basistabelle!H" &amp; ($A$1+AA$1+Z13))&gt;"")</formula>
    </cfRule>
  </conditionalFormatting>
  <conditionalFormatting sqref="AA14">
    <cfRule type="expression" dxfId="2627" priority="221">
      <formula>OR($A14="Sa",$A14="So")</formula>
    </cfRule>
    <cfRule type="expression" dxfId="2626" priority="222">
      <formula>AND(Z14&gt;0,INDIRECT("Basistabelle!G" &amp; ($A$1+AA$1+Z14))&lt;="",INDIRECT("Basistabelle!H" &amp; ($A$1+AA$1+Z14))&gt;"")</formula>
    </cfRule>
  </conditionalFormatting>
  <conditionalFormatting sqref="AA15">
    <cfRule type="expression" dxfId="2625" priority="219">
      <formula>OR($A15="Sa",$A15="So")</formula>
    </cfRule>
    <cfRule type="expression" dxfId="2624" priority="220">
      <formula>AND(Z15&gt;0,INDIRECT("Basistabelle!G" &amp; ($A$1+AA$1+Z15))&lt;="",INDIRECT("Basistabelle!H" &amp; ($A$1+AA$1+Z15))&gt;"")</formula>
    </cfRule>
  </conditionalFormatting>
  <conditionalFormatting sqref="AA16">
    <cfRule type="expression" dxfId="2623" priority="217">
      <formula>OR($A16="Sa",$A16="So")</formula>
    </cfRule>
    <cfRule type="expression" dxfId="2622" priority="218">
      <formula>AND(Z16&gt;0,INDIRECT("Basistabelle!G" &amp; ($A$1+AA$1+Z16))&lt;="",INDIRECT("Basistabelle!H" &amp; ($A$1+AA$1+Z16))&gt;"")</formula>
    </cfRule>
  </conditionalFormatting>
  <conditionalFormatting sqref="AA17">
    <cfRule type="expression" dxfId="2621" priority="215">
      <formula>OR($A17="Sa",$A17="So")</formula>
    </cfRule>
    <cfRule type="expression" dxfId="2620" priority="216">
      <formula>AND(Z17&gt;0,INDIRECT("Basistabelle!G" &amp; ($A$1+AA$1+Z17))&lt;="",INDIRECT("Basistabelle!H" &amp; ($A$1+AA$1+Z17))&gt;"")</formula>
    </cfRule>
  </conditionalFormatting>
  <conditionalFormatting sqref="AA18">
    <cfRule type="expression" dxfId="2619" priority="213">
      <formula>OR($A18="Sa",$A18="So")</formula>
    </cfRule>
    <cfRule type="expression" dxfId="2618" priority="214">
      <formula>AND(Z18&gt;0,INDIRECT("Basistabelle!G" &amp; ($A$1+AA$1+Z18))&lt;="",INDIRECT("Basistabelle!H" &amp; ($A$1+AA$1+Z18))&gt;"")</formula>
    </cfRule>
  </conditionalFormatting>
  <conditionalFormatting sqref="AA19">
    <cfRule type="expression" dxfId="2617" priority="211">
      <formula>OR($A19="Sa",$A19="So")</formula>
    </cfRule>
    <cfRule type="expression" dxfId="2616" priority="212">
      <formula>AND(Z19&gt;0,INDIRECT("Basistabelle!G" &amp; ($A$1+AA$1+Z19))&lt;="",INDIRECT("Basistabelle!H" &amp; ($A$1+AA$1+Z19))&gt;"")</formula>
    </cfRule>
  </conditionalFormatting>
  <conditionalFormatting sqref="AA20">
    <cfRule type="expression" dxfId="2615" priority="209">
      <formula>OR($A20="Sa",$A20="So")</formula>
    </cfRule>
    <cfRule type="expression" dxfId="2614" priority="210">
      <formula>AND(Z20&gt;0,INDIRECT("Basistabelle!G" &amp; ($A$1+AA$1+Z20))&lt;="",INDIRECT("Basistabelle!H" &amp; ($A$1+AA$1+Z20))&gt;"")</formula>
    </cfRule>
  </conditionalFormatting>
  <conditionalFormatting sqref="AA21">
    <cfRule type="expression" dxfId="2613" priority="207">
      <formula>OR($A21="Sa",$A21="So")</formula>
    </cfRule>
    <cfRule type="expression" dxfId="2612" priority="208">
      <formula>AND(Z21&gt;0,INDIRECT("Basistabelle!G" &amp; ($A$1+AA$1+Z21))&lt;="",INDIRECT("Basistabelle!H" &amp; ($A$1+AA$1+Z21))&gt;"")</formula>
    </cfRule>
  </conditionalFormatting>
  <conditionalFormatting sqref="AA22">
    <cfRule type="expression" dxfId="2611" priority="205">
      <formula>OR($A22="Sa",$A22="So")</formula>
    </cfRule>
    <cfRule type="expression" dxfId="2610" priority="206">
      <formula>AND(Z22&gt;0,INDIRECT("Basistabelle!G" &amp; ($A$1+AA$1+Z22))&lt;="",INDIRECT("Basistabelle!H" &amp; ($A$1+AA$1+Z22))&gt;"")</formula>
    </cfRule>
  </conditionalFormatting>
  <conditionalFormatting sqref="AA23">
    <cfRule type="expression" dxfId="2609" priority="203">
      <formula>OR($A23="Sa",$A23="So")</formula>
    </cfRule>
    <cfRule type="expression" dxfId="2608" priority="204">
      <formula>AND(Z23&gt;0,INDIRECT("Basistabelle!G" &amp; ($A$1+AA$1+Z23))&lt;="",INDIRECT("Basistabelle!H" &amp; ($A$1+AA$1+Z23))&gt;"")</formula>
    </cfRule>
  </conditionalFormatting>
  <conditionalFormatting sqref="AA24">
    <cfRule type="expression" dxfId="2607" priority="201">
      <formula>OR($A24="Sa",$A24="So")</formula>
    </cfRule>
    <cfRule type="expression" dxfId="2606" priority="202">
      <formula>AND(Z24&gt;0,INDIRECT("Basistabelle!G" &amp; ($A$1+AA$1+Z24))&lt;="",INDIRECT("Basistabelle!H" &amp; ($A$1+AA$1+Z24))&gt;"")</formula>
    </cfRule>
  </conditionalFormatting>
  <conditionalFormatting sqref="AA25">
    <cfRule type="expression" dxfId="2605" priority="199">
      <formula>OR($A25="Sa",$A25="So")</formula>
    </cfRule>
    <cfRule type="expression" dxfId="2604" priority="200">
      <formula>AND(Z25&gt;0,INDIRECT("Basistabelle!G" &amp; ($A$1+AA$1+Z25))&lt;="",INDIRECT("Basistabelle!H" &amp; ($A$1+AA$1+Z25))&gt;"")</formula>
    </cfRule>
  </conditionalFormatting>
  <conditionalFormatting sqref="AA26">
    <cfRule type="expression" dxfId="2603" priority="197">
      <formula>OR($A26="Sa",$A26="So")</formula>
    </cfRule>
    <cfRule type="expression" dxfId="2602" priority="198">
      <formula>AND(Z26&gt;0,INDIRECT("Basistabelle!G" &amp; ($A$1+AA$1+Z26))&lt;="",INDIRECT("Basistabelle!H" &amp; ($A$1+AA$1+Z26))&gt;"")</formula>
    </cfRule>
  </conditionalFormatting>
  <conditionalFormatting sqref="AA27">
    <cfRule type="expression" dxfId="2601" priority="195">
      <formula>OR($A27="Sa",$A27="So")</formula>
    </cfRule>
    <cfRule type="expression" dxfId="2600" priority="196">
      <formula>AND(Z27&gt;0,INDIRECT("Basistabelle!G" &amp; ($A$1+AA$1+Z27))&lt;="",INDIRECT("Basistabelle!H" &amp; ($A$1+AA$1+Z27))&gt;"")</formula>
    </cfRule>
  </conditionalFormatting>
  <conditionalFormatting sqref="AA28">
    <cfRule type="expression" dxfId="2599" priority="193">
      <formula>OR($A28="Sa",$A28="So")</formula>
    </cfRule>
    <cfRule type="expression" dxfId="2598" priority="194">
      <formula>AND(Z28&gt;0,INDIRECT("Basistabelle!G" &amp; ($A$1+AA$1+Z28))&lt;="",INDIRECT("Basistabelle!H" &amp; ($A$1+AA$1+Z28))&gt;"")</formula>
    </cfRule>
  </conditionalFormatting>
  <conditionalFormatting sqref="AA29">
    <cfRule type="expression" dxfId="2597" priority="191">
      <formula>OR($A29="Sa",$A29="So")</formula>
    </cfRule>
    <cfRule type="expression" dxfId="2596" priority="192">
      <formula>AND(Z29&gt;0,INDIRECT("Basistabelle!G" &amp; ($A$1+AA$1+Z29))&lt;="",INDIRECT("Basistabelle!H" &amp; ($A$1+AA$1+Z29))&gt;"")</formula>
    </cfRule>
  </conditionalFormatting>
  <conditionalFormatting sqref="AA30">
    <cfRule type="expression" dxfId="2595" priority="189">
      <formula>OR($A30="Sa",$A30="So")</formula>
    </cfRule>
    <cfRule type="expression" dxfId="2594" priority="190">
      <formula>AND(Z30&gt;0,INDIRECT("Basistabelle!G" &amp; ($A$1+AA$1+Z30))&lt;="",INDIRECT("Basistabelle!H" &amp; ($A$1+AA$1+Z30))&gt;"")</formula>
    </cfRule>
  </conditionalFormatting>
  <conditionalFormatting sqref="AA31">
    <cfRule type="expression" dxfId="2593" priority="187">
      <formula>OR($A31="Sa",$A31="So")</formula>
    </cfRule>
    <cfRule type="expression" dxfId="2592" priority="188">
      <formula>AND(Z31&gt;0,INDIRECT("Basistabelle!G" &amp; ($A$1+AA$1+Z31))&lt;="",INDIRECT("Basistabelle!H" &amp; ($A$1+AA$1+Z31))&gt;"")</formula>
    </cfRule>
  </conditionalFormatting>
  <conditionalFormatting sqref="AA32">
    <cfRule type="expression" dxfId="2591" priority="185">
      <formula>OR($A32="Sa",$A32="So")</formula>
    </cfRule>
    <cfRule type="expression" dxfId="2590" priority="186">
      <formula>AND(Z32&gt;0,INDIRECT("Basistabelle!G" &amp; ($A$1+AA$1+Z32))&lt;="",INDIRECT("Basistabelle!H" &amp; ($A$1+AA$1+Z32))&gt;"")</formula>
    </cfRule>
  </conditionalFormatting>
  <conditionalFormatting sqref="AA33">
    <cfRule type="expression" dxfId="2589" priority="183">
      <formula>OR($A33="Sa",$A33="So")</formula>
    </cfRule>
    <cfRule type="expression" dxfId="2588" priority="184">
      <formula>AND(Z33&gt;0,INDIRECT("Basistabelle!G" &amp; ($A$1+AA$1+Z33))&lt;="",INDIRECT("Basistabelle!H" &amp; ($A$1+AA$1+Z33))&gt;"")</formula>
    </cfRule>
  </conditionalFormatting>
  <conditionalFormatting sqref="AA34">
    <cfRule type="expression" dxfId="2587" priority="181">
      <formula>OR($A34="Sa",$A34="So")</formula>
    </cfRule>
    <cfRule type="expression" dxfId="2586" priority="182">
      <formula>AND(Z34&gt;0,INDIRECT("Basistabelle!G" &amp; ($A$1+AA$1+Z34))&lt;="",INDIRECT("Basistabelle!H" &amp; ($A$1+AA$1+Z34))&gt;"")</formula>
    </cfRule>
  </conditionalFormatting>
  <conditionalFormatting sqref="AA35">
    <cfRule type="expression" dxfId="2585" priority="179">
      <formula>OR($A35="Sa",$A35="So")</formula>
    </cfRule>
    <cfRule type="expression" dxfId="2584" priority="180">
      <formula>AND(Z35&gt;0,INDIRECT("Basistabelle!G" &amp; ($A$1+AA$1+Z35))&lt;="",INDIRECT("Basistabelle!H" &amp; ($A$1+AA$1+Z35))&gt;"")</formula>
    </cfRule>
  </conditionalFormatting>
  <conditionalFormatting sqref="AA36">
    <cfRule type="expression" dxfId="2583" priority="177">
      <formula>OR($A36="Sa",$A36="So")</formula>
    </cfRule>
    <cfRule type="expression" dxfId="2582" priority="178">
      <formula>AND(Z36&gt;0,INDIRECT("Basistabelle!G" &amp; ($A$1+AA$1+Z36))&lt;="",INDIRECT("Basistabelle!H" &amp; ($A$1+AA$1+Z36))&gt;"")</formula>
    </cfRule>
  </conditionalFormatting>
  <conditionalFormatting sqref="AA37">
    <cfRule type="expression" dxfId="2581" priority="175">
      <formula>OR($A37="Sa",$A37="So")</formula>
    </cfRule>
    <cfRule type="expression" dxfId="2580" priority="176">
      <formula>AND(Z37&gt;0,INDIRECT("Basistabelle!G" &amp; ($A$1+AA$1+Z37))&lt;="",INDIRECT("Basistabelle!H" &amp; ($A$1+AA$1+Z37))&gt;"")</formula>
    </cfRule>
  </conditionalFormatting>
  <conditionalFormatting sqref="AA38">
    <cfRule type="expression" dxfId="2579" priority="173">
      <formula>OR($A38="Sa",$A38="So")</formula>
    </cfRule>
    <cfRule type="expression" dxfId="2578" priority="174">
      <formula>AND(Z38&gt;0,INDIRECT("Basistabelle!G" &amp; ($A$1+AA$1+Z38))&lt;="",INDIRECT("Basistabelle!H" &amp; ($A$1+AA$1+Z38))&gt;"")</formula>
    </cfRule>
  </conditionalFormatting>
  <conditionalFormatting sqref="AA39">
    <cfRule type="expression" dxfId="2577" priority="171">
      <formula>OR($A39="Sa",$A39="So")</formula>
    </cfRule>
    <cfRule type="expression" dxfId="2576" priority="172">
      <formula>AND(Z39&gt;0,INDIRECT("Basistabelle!G" &amp; ($A$1+AA$1+Z39))&lt;="",INDIRECT("Basistabelle!H" &amp; ($A$1+AA$1+Z39))&gt;"")</formula>
    </cfRule>
  </conditionalFormatting>
  <conditionalFormatting sqref="AA40">
    <cfRule type="expression" dxfId="2575" priority="169">
      <formula>OR($A40="Sa",$A40="So")</formula>
    </cfRule>
    <cfRule type="expression" dxfId="2574" priority="170">
      <formula>AND(Z40&gt;0,INDIRECT("Basistabelle!G" &amp; ($A$1+AA$1+Z40))&lt;="",INDIRECT("Basistabelle!H" &amp; ($A$1+AA$1+Z40))&gt;"")</formula>
    </cfRule>
  </conditionalFormatting>
  <conditionalFormatting sqref="AA41">
    <cfRule type="expression" dxfId="2573" priority="167">
      <formula>OR($A41="Sa",$A41="So")</formula>
    </cfRule>
    <cfRule type="expression" dxfId="2572" priority="168">
      <formula>AND(Z41&gt;0,INDIRECT("Basistabelle!G" &amp; ($A$1+AA$1+Z41))&lt;="",INDIRECT("Basistabelle!H" &amp; ($A$1+AA$1+Z41))&gt;"")</formula>
    </cfRule>
  </conditionalFormatting>
  <conditionalFormatting sqref="AD5">
    <cfRule type="cellIs" dxfId="2571" priority="166" operator="equal">
      <formula>"x"</formula>
    </cfRule>
  </conditionalFormatting>
  <conditionalFormatting sqref="AD4">
    <cfRule type="cellIs" dxfId="2570" priority="165" operator="equal">
      <formula>"x"</formula>
    </cfRule>
  </conditionalFormatting>
  <conditionalFormatting sqref="AD3">
    <cfRule type="cellIs" dxfId="2569" priority="164" operator="equal">
      <formula>"x"</formula>
    </cfRule>
  </conditionalFormatting>
  <conditionalFormatting sqref="S3">
    <cfRule type="expression" dxfId="2568" priority="162">
      <formula>OR($A3="Sa",$A3="So")</formula>
    </cfRule>
    <cfRule type="expression" dxfId="2567" priority="163">
      <formula>AND(R3&gt;0,INDIRECT("Basistabelle!G" &amp; ($A$1+S$1+R3))&lt;="",INDIRECT("Basistabelle!H" &amp; ($A$1+S$1+R3))&gt;"")</formula>
    </cfRule>
  </conditionalFormatting>
  <conditionalFormatting sqref="S4">
    <cfRule type="expression" dxfId="2566" priority="160">
      <formula>OR($A4="Sa",$A4="So")</formula>
    </cfRule>
    <cfRule type="expression" dxfId="2565" priority="161">
      <formula>AND(R4&gt;0,INDIRECT("Basistabelle!G" &amp; ($A$1+S$1+R4))&lt;="",INDIRECT("Basistabelle!H" &amp; ($A$1+S$1+R4))&gt;"")</formula>
    </cfRule>
  </conditionalFormatting>
  <conditionalFormatting sqref="S5">
    <cfRule type="expression" dxfId="2564" priority="158">
      <formula>OR($A5="Sa",$A5="So")</formula>
    </cfRule>
    <cfRule type="expression" dxfId="2563" priority="159">
      <formula>AND(R5&gt;0,INDIRECT("Basistabelle!G" &amp; ($A$1+S$1+R5))&lt;="",INDIRECT("Basistabelle!H" &amp; ($A$1+S$1+R5))&gt;"")</formula>
    </cfRule>
  </conditionalFormatting>
  <conditionalFormatting sqref="S6">
    <cfRule type="expression" dxfId="2562" priority="156">
      <formula>OR($A6="Sa",$A6="So")</formula>
    </cfRule>
    <cfRule type="expression" dxfId="2561" priority="157">
      <formula>AND(R6&gt;0,INDIRECT("Basistabelle!G" &amp; ($A$1+S$1+R6))&lt;="",INDIRECT("Basistabelle!H" &amp; ($A$1+S$1+R6))&gt;"")</formula>
    </cfRule>
  </conditionalFormatting>
  <conditionalFormatting sqref="S7">
    <cfRule type="expression" dxfId="2560" priority="154">
      <formula>OR($A7="Sa",$A7="So")</formula>
    </cfRule>
    <cfRule type="expression" dxfId="2559" priority="155">
      <formula>AND(R7&gt;0,INDIRECT("Basistabelle!G" &amp; ($A$1+S$1+R7))&lt;="",INDIRECT("Basistabelle!H" &amp; ($A$1+S$1+R7))&gt;"")</formula>
    </cfRule>
  </conditionalFormatting>
  <conditionalFormatting sqref="S8">
    <cfRule type="expression" dxfId="2558" priority="152">
      <formula>OR($A8="Sa",$A8="So")</formula>
    </cfRule>
    <cfRule type="expression" dxfId="2557" priority="153">
      <formula>AND(R8&gt;0,INDIRECT("Basistabelle!G" &amp; ($A$1+S$1+R8))&lt;="",INDIRECT("Basistabelle!H" &amp; ($A$1+S$1+R8))&gt;"")</formula>
    </cfRule>
  </conditionalFormatting>
  <conditionalFormatting sqref="S9">
    <cfRule type="expression" dxfId="2556" priority="150">
      <formula>OR($A9="Sa",$A9="So")</formula>
    </cfRule>
    <cfRule type="expression" dxfId="2555" priority="151">
      <formula>AND(R9&gt;0,INDIRECT("Basistabelle!G" &amp; ($A$1+S$1+R9))&lt;="",INDIRECT("Basistabelle!H" &amp; ($A$1+S$1+R9))&gt;"")</formula>
    </cfRule>
  </conditionalFormatting>
  <conditionalFormatting sqref="S10">
    <cfRule type="expression" dxfId="2554" priority="148">
      <formula>OR($A10="Sa",$A10="So")</formula>
    </cfRule>
    <cfRule type="expression" dxfId="2553" priority="149">
      <formula>AND(R10&gt;0,INDIRECT("Basistabelle!G" &amp; ($A$1+S$1+R10))&lt;="",INDIRECT("Basistabelle!H" &amp; ($A$1+S$1+R10))&gt;"")</formula>
    </cfRule>
  </conditionalFormatting>
  <conditionalFormatting sqref="S11">
    <cfRule type="expression" dxfId="2552" priority="146">
      <formula>OR($A11="Sa",$A11="So")</formula>
    </cfRule>
    <cfRule type="expression" dxfId="2551" priority="147">
      <formula>AND(R11&gt;0,INDIRECT("Basistabelle!G" &amp; ($A$1+S$1+R11))&lt;="",INDIRECT("Basistabelle!H" &amp; ($A$1+S$1+R11))&gt;"")</formula>
    </cfRule>
  </conditionalFormatting>
  <conditionalFormatting sqref="S12">
    <cfRule type="expression" dxfId="2550" priority="144">
      <formula>OR($A12="Sa",$A12="So")</formula>
    </cfRule>
    <cfRule type="expression" dxfId="2549" priority="145">
      <formula>AND(R12&gt;0,INDIRECT("Basistabelle!G" &amp; ($A$1+S$1+R12))&lt;="",INDIRECT("Basistabelle!H" &amp; ($A$1+S$1+R12))&gt;"")</formula>
    </cfRule>
  </conditionalFormatting>
  <conditionalFormatting sqref="S13">
    <cfRule type="expression" dxfId="2548" priority="142">
      <formula>OR($A13="Sa",$A13="So")</formula>
    </cfRule>
    <cfRule type="expression" dxfId="2547" priority="143">
      <formula>AND(R13&gt;0,INDIRECT("Basistabelle!G" &amp; ($A$1+S$1+R13))&lt;="",INDIRECT("Basistabelle!H" &amp; ($A$1+S$1+R13))&gt;"")</formula>
    </cfRule>
  </conditionalFormatting>
  <conditionalFormatting sqref="S14">
    <cfRule type="expression" dxfId="2546" priority="140">
      <formula>OR($A14="Sa",$A14="So")</formula>
    </cfRule>
    <cfRule type="expression" dxfId="2545" priority="141">
      <formula>AND(R14&gt;0,INDIRECT("Basistabelle!G" &amp; ($A$1+S$1+R14))&lt;="",INDIRECT("Basistabelle!H" &amp; ($A$1+S$1+R14))&gt;"")</formula>
    </cfRule>
  </conditionalFormatting>
  <conditionalFormatting sqref="S15">
    <cfRule type="expression" dxfId="2544" priority="138">
      <formula>OR($A15="Sa",$A15="So")</formula>
    </cfRule>
    <cfRule type="expression" dxfId="2543" priority="139">
      <formula>AND(R15&gt;0,INDIRECT("Basistabelle!G" &amp; ($A$1+S$1+R15))&lt;="",INDIRECT("Basistabelle!H" &amp; ($A$1+S$1+R15))&gt;"")</formula>
    </cfRule>
  </conditionalFormatting>
  <conditionalFormatting sqref="S16">
    <cfRule type="expression" dxfId="2542" priority="136">
      <formula>OR($A16="Sa",$A16="So")</formula>
    </cfRule>
    <cfRule type="expression" dxfId="2541" priority="137">
      <formula>AND(R16&gt;0,INDIRECT("Basistabelle!G" &amp; ($A$1+S$1+R16))&lt;="",INDIRECT("Basistabelle!H" &amp; ($A$1+S$1+R16))&gt;"")</formula>
    </cfRule>
  </conditionalFormatting>
  <conditionalFormatting sqref="S17">
    <cfRule type="expression" dxfId="2540" priority="134">
      <formula>OR($A17="Sa",$A17="So")</formula>
    </cfRule>
    <cfRule type="expression" dxfId="2539" priority="135">
      <formula>AND(R17&gt;0,INDIRECT("Basistabelle!G" &amp; ($A$1+S$1+R17))&lt;="",INDIRECT("Basistabelle!H" &amp; ($A$1+S$1+R17))&gt;"")</formula>
    </cfRule>
  </conditionalFormatting>
  <conditionalFormatting sqref="S18">
    <cfRule type="expression" dxfId="2538" priority="132">
      <formula>OR($A18="Sa",$A18="So")</formula>
    </cfRule>
    <cfRule type="expression" dxfId="2537" priority="133">
      <formula>AND(R18&gt;0,INDIRECT("Basistabelle!G" &amp; ($A$1+S$1+R18))&lt;="",INDIRECT("Basistabelle!H" &amp; ($A$1+S$1+R18))&gt;"")</formula>
    </cfRule>
  </conditionalFormatting>
  <conditionalFormatting sqref="S19">
    <cfRule type="expression" dxfId="2536" priority="130">
      <formula>OR($A19="Sa",$A19="So")</formula>
    </cfRule>
    <cfRule type="expression" dxfId="2535" priority="131">
      <formula>AND(R19&gt;0,INDIRECT("Basistabelle!G" &amp; ($A$1+S$1+R19))&lt;="",INDIRECT("Basistabelle!H" &amp; ($A$1+S$1+R19))&gt;"")</formula>
    </cfRule>
  </conditionalFormatting>
  <conditionalFormatting sqref="S20">
    <cfRule type="expression" dxfId="2534" priority="128">
      <formula>OR($A20="Sa",$A20="So")</formula>
    </cfRule>
    <cfRule type="expression" dxfId="2533" priority="129">
      <formula>AND(R20&gt;0,INDIRECT("Basistabelle!G" &amp; ($A$1+S$1+R20))&lt;="",INDIRECT("Basistabelle!H" &amp; ($A$1+S$1+R20))&gt;"")</formula>
    </cfRule>
  </conditionalFormatting>
  <conditionalFormatting sqref="S21">
    <cfRule type="expression" dxfId="2532" priority="126">
      <formula>OR($A21="Sa",$A21="So")</formula>
    </cfRule>
    <cfRule type="expression" dxfId="2531" priority="127">
      <formula>AND(R21&gt;0,INDIRECT("Basistabelle!G" &amp; ($A$1+S$1+R21))&lt;="",INDIRECT("Basistabelle!H" &amp; ($A$1+S$1+R21))&gt;"")</formula>
    </cfRule>
  </conditionalFormatting>
  <conditionalFormatting sqref="S22">
    <cfRule type="expression" dxfId="2530" priority="124">
      <formula>OR($A22="Sa",$A22="So")</formula>
    </cfRule>
    <cfRule type="expression" dxfId="2529" priority="125">
      <formula>AND(R22&gt;0,INDIRECT("Basistabelle!G" &amp; ($A$1+S$1+R22))&lt;="",INDIRECT("Basistabelle!H" &amp; ($A$1+S$1+R22))&gt;"")</formula>
    </cfRule>
  </conditionalFormatting>
  <conditionalFormatting sqref="S23">
    <cfRule type="expression" dxfId="2528" priority="122">
      <formula>OR($A23="Sa",$A23="So")</formula>
    </cfRule>
    <cfRule type="expression" dxfId="2527" priority="123">
      <formula>AND(R23&gt;0,INDIRECT("Basistabelle!G" &amp; ($A$1+S$1+R23))&lt;="",INDIRECT("Basistabelle!H" &amp; ($A$1+S$1+R23))&gt;"")</formula>
    </cfRule>
  </conditionalFormatting>
  <conditionalFormatting sqref="S24">
    <cfRule type="expression" dxfId="2526" priority="120">
      <formula>OR($A24="Sa",$A24="So")</formula>
    </cfRule>
    <cfRule type="expression" dxfId="2525" priority="121">
      <formula>AND(R24&gt;0,INDIRECT("Basistabelle!G" &amp; ($A$1+S$1+R24))&lt;="",INDIRECT("Basistabelle!H" &amp; ($A$1+S$1+R24))&gt;"")</formula>
    </cfRule>
  </conditionalFormatting>
  <conditionalFormatting sqref="S25">
    <cfRule type="expression" dxfId="2524" priority="118">
      <formula>OR($A25="Sa",$A25="So")</formula>
    </cfRule>
    <cfRule type="expression" dxfId="2523" priority="119">
      <formula>AND(R25&gt;0,INDIRECT("Basistabelle!G" &amp; ($A$1+S$1+R25))&lt;="",INDIRECT("Basistabelle!H" &amp; ($A$1+S$1+R25))&gt;"")</formula>
    </cfRule>
  </conditionalFormatting>
  <conditionalFormatting sqref="S26">
    <cfRule type="expression" dxfId="2522" priority="116">
      <formula>OR($A26="Sa",$A26="So")</formula>
    </cfRule>
    <cfRule type="expression" dxfId="2521" priority="117">
      <formula>AND(R26&gt;0,INDIRECT("Basistabelle!G" &amp; ($A$1+S$1+R26))&lt;="",INDIRECT("Basistabelle!H" &amp; ($A$1+S$1+R26))&gt;"")</formula>
    </cfRule>
  </conditionalFormatting>
  <conditionalFormatting sqref="S27">
    <cfRule type="expression" dxfId="2520" priority="114">
      <formula>OR($A27="Sa",$A27="So")</formula>
    </cfRule>
    <cfRule type="expression" dxfId="2519" priority="115">
      <formula>AND(R27&gt;0,INDIRECT("Basistabelle!G" &amp; ($A$1+S$1+R27))&lt;="",INDIRECT("Basistabelle!H" &amp; ($A$1+S$1+R27))&gt;"")</formula>
    </cfRule>
  </conditionalFormatting>
  <conditionalFormatting sqref="S28">
    <cfRule type="expression" dxfId="2518" priority="112">
      <formula>OR($A28="Sa",$A28="So")</formula>
    </cfRule>
    <cfRule type="expression" dxfId="2517" priority="113">
      <formula>AND(R28&gt;0,INDIRECT("Basistabelle!G" &amp; ($A$1+S$1+R28))&lt;="",INDIRECT("Basistabelle!H" &amp; ($A$1+S$1+R28))&gt;"")</formula>
    </cfRule>
  </conditionalFormatting>
  <conditionalFormatting sqref="S29">
    <cfRule type="expression" dxfId="2516" priority="110">
      <formula>OR($A29="Sa",$A29="So")</formula>
    </cfRule>
    <cfRule type="expression" dxfId="2515" priority="111">
      <formula>AND(R29&gt;0,INDIRECT("Basistabelle!G" &amp; ($A$1+S$1+R29))&lt;="",INDIRECT("Basistabelle!H" &amp; ($A$1+S$1+R29))&gt;"")</formula>
    </cfRule>
  </conditionalFormatting>
  <conditionalFormatting sqref="S30">
    <cfRule type="expression" dxfId="2514" priority="108">
      <formula>OR($A30="Sa",$A30="So")</formula>
    </cfRule>
    <cfRule type="expression" dxfId="2513" priority="109">
      <formula>AND(R30&gt;0,INDIRECT("Basistabelle!G" &amp; ($A$1+S$1+R30))&lt;="",INDIRECT("Basistabelle!H" &amp; ($A$1+S$1+R30))&gt;"")</formula>
    </cfRule>
  </conditionalFormatting>
  <conditionalFormatting sqref="S31">
    <cfRule type="expression" dxfId="2512" priority="106">
      <formula>OR($A31="Sa",$A31="So")</formula>
    </cfRule>
    <cfRule type="expression" dxfId="2511" priority="107">
      <formula>AND(R31&gt;0,INDIRECT("Basistabelle!G" &amp; ($A$1+S$1+R31))&lt;="",INDIRECT("Basistabelle!H" &amp; ($A$1+S$1+R31))&gt;"")</formula>
    </cfRule>
  </conditionalFormatting>
  <conditionalFormatting sqref="S32">
    <cfRule type="expression" dxfId="2510" priority="104">
      <formula>OR($A32="Sa",$A32="So")</formula>
    </cfRule>
    <cfRule type="expression" dxfId="2509" priority="105">
      <formula>AND(R32&gt;0,INDIRECT("Basistabelle!G" &amp; ($A$1+S$1+R32))&lt;="",INDIRECT("Basistabelle!H" &amp; ($A$1+S$1+R32))&gt;"")</formula>
    </cfRule>
  </conditionalFormatting>
  <conditionalFormatting sqref="S33">
    <cfRule type="expression" dxfId="2508" priority="102">
      <formula>OR($A33="Sa",$A33="So")</formula>
    </cfRule>
    <cfRule type="expression" dxfId="2507" priority="103">
      <formula>AND(R33&gt;0,INDIRECT("Basistabelle!G" &amp; ($A$1+S$1+R33))&lt;="",INDIRECT("Basistabelle!H" &amp; ($A$1+S$1+R33))&gt;"")</formula>
    </cfRule>
  </conditionalFormatting>
  <conditionalFormatting sqref="S34">
    <cfRule type="expression" dxfId="2506" priority="100">
      <formula>OR($A34="Sa",$A34="So")</formula>
    </cfRule>
    <cfRule type="expression" dxfId="2505" priority="101">
      <formula>AND(R34&gt;0,INDIRECT("Basistabelle!G" &amp; ($A$1+S$1+R34))&lt;="",INDIRECT("Basistabelle!H" &amp; ($A$1+S$1+R34))&gt;"")</formula>
    </cfRule>
  </conditionalFormatting>
  <conditionalFormatting sqref="S35">
    <cfRule type="expression" dxfId="2504" priority="98">
      <formula>OR($A35="Sa",$A35="So")</formula>
    </cfRule>
    <cfRule type="expression" dxfId="2503" priority="99">
      <formula>AND(R35&gt;0,INDIRECT("Basistabelle!G" &amp; ($A$1+S$1+R35))&lt;="",INDIRECT("Basistabelle!H" &amp; ($A$1+S$1+R35))&gt;"")</formula>
    </cfRule>
  </conditionalFormatting>
  <conditionalFormatting sqref="S36">
    <cfRule type="expression" dxfId="2502" priority="96">
      <formula>OR($A36="Sa",$A36="So")</formula>
    </cfRule>
    <cfRule type="expression" dxfId="2501" priority="97">
      <formula>AND(R36&gt;0,INDIRECT("Basistabelle!G" &amp; ($A$1+S$1+R36))&lt;="",INDIRECT("Basistabelle!H" &amp; ($A$1+S$1+R36))&gt;"")</formula>
    </cfRule>
  </conditionalFormatting>
  <conditionalFormatting sqref="S37">
    <cfRule type="expression" dxfId="2500" priority="94">
      <formula>OR($A37="Sa",$A37="So")</formula>
    </cfRule>
    <cfRule type="expression" dxfId="2499" priority="95">
      <formula>AND(R37&gt;0,INDIRECT("Basistabelle!G" &amp; ($A$1+S$1+R37))&lt;="",INDIRECT("Basistabelle!H" &amp; ($A$1+S$1+R37))&gt;"")</formula>
    </cfRule>
  </conditionalFormatting>
  <conditionalFormatting sqref="S38">
    <cfRule type="expression" dxfId="2498" priority="92">
      <formula>OR($A38="Sa",$A38="So")</formula>
    </cfRule>
    <cfRule type="expression" dxfId="2497" priority="93">
      <formula>AND(R38&gt;0,INDIRECT("Basistabelle!G" &amp; ($A$1+S$1+R38))&lt;="",INDIRECT("Basistabelle!H" &amp; ($A$1+S$1+R38))&gt;"")</formula>
    </cfRule>
  </conditionalFormatting>
  <conditionalFormatting sqref="S39">
    <cfRule type="expression" dxfId="2496" priority="90">
      <formula>OR($A39="Sa",$A39="So")</formula>
    </cfRule>
    <cfRule type="expression" dxfId="2495" priority="91">
      <formula>AND(R39&gt;0,INDIRECT("Basistabelle!G" &amp; ($A$1+S$1+R39))&lt;="",INDIRECT("Basistabelle!H" &amp; ($A$1+S$1+R39))&gt;"")</formula>
    </cfRule>
  </conditionalFormatting>
  <conditionalFormatting sqref="S40">
    <cfRule type="expression" dxfId="2494" priority="88">
      <formula>OR($A40="Sa",$A40="So")</formula>
    </cfRule>
    <cfRule type="expression" dxfId="2493" priority="89">
      <formula>AND(R40&gt;0,INDIRECT("Basistabelle!G" &amp; ($A$1+S$1+R40))&lt;="",INDIRECT("Basistabelle!H" &amp; ($A$1+S$1+R40))&gt;"")</formula>
    </cfRule>
  </conditionalFormatting>
  <conditionalFormatting sqref="S41">
    <cfRule type="expression" dxfId="2492" priority="86">
      <formula>OR($A41="Sa",$A41="So")</formula>
    </cfRule>
    <cfRule type="expression" dxfId="2491" priority="87">
      <formula>AND(R41&gt;0,INDIRECT("Basistabelle!G" &amp; ($A$1+S$1+R41))&lt;="",INDIRECT("Basistabelle!H" &amp; ($A$1+S$1+R41))&gt;"")</formula>
    </cfRule>
  </conditionalFormatting>
  <conditionalFormatting sqref="K3">
    <cfRule type="expression" dxfId="2490" priority="84">
      <formula>OR($A3="Sa",$A3="So")</formula>
    </cfRule>
    <cfRule type="expression" dxfId="2489" priority="85">
      <formula>AND(J3&gt;0,INDIRECT("Basistabelle!G" &amp; ($A$1+K$1+J3))&lt;="",INDIRECT("Basistabelle!H" &amp; ($A$1+K$1+J3))&gt;"")</formula>
    </cfRule>
  </conditionalFormatting>
  <conditionalFormatting sqref="K4">
    <cfRule type="expression" dxfId="2488" priority="82">
      <formula>OR($A4="Sa",$A4="So")</formula>
    </cfRule>
    <cfRule type="expression" dxfId="2487" priority="83">
      <formula>AND(J4&gt;0,INDIRECT("Basistabelle!G" &amp; ($A$1+K$1+J4))&lt;="",INDIRECT("Basistabelle!H" &amp; ($A$1+K$1+J4))&gt;"")</formula>
    </cfRule>
  </conditionalFormatting>
  <conditionalFormatting sqref="K5">
    <cfRule type="expression" dxfId="2486" priority="80">
      <formula>OR($A5="Sa",$A5="So")</formula>
    </cfRule>
    <cfRule type="expression" dxfId="2485" priority="81">
      <formula>AND(J5&gt;0,INDIRECT("Basistabelle!G" &amp; ($A$1+K$1+J5))&lt;="",INDIRECT("Basistabelle!H" &amp; ($A$1+K$1+J5))&gt;"")</formula>
    </cfRule>
  </conditionalFormatting>
  <conditionalFormatting sqref="K6">
    <cfRule type="expression" dxfId="2484" priority="78">
      <formula>OR($A6="Sa",$A6="So")</formula>
    </cfRule>
    <cfRule type="expression" dxfId="2483" priority="79">
      <formula>AND(J6&gt;0,INDIRECT("Basistabelle!G" &amp; ($A$1+K$1+J6))&lt;="",INDIRECT("Basistabelle!H" &amp; ($A$1+K$1+J6))&gt;"")</formula>
    </cfRule>
  </conditionalFormatting>
  <conditionalFormatting sqref="K7">
    <cfRule type="expression" dxfId="2482" priority="76">
      <formula>OR($A7="Sa",$A7="So")</formula>
    </cfRule>
    <cfRule type="expression" dxfId="2481" priority="77">
      <formula>AND(J7&gt;0,INDIRECT("Basistabelle!G" &amp; ($A$1+K$1+J7))&lt;="",INDIRECT("Basistabelle!H" &amp; ($A$1+K$1+J7))&gt;"")</formula>
    </cfRule>
  </conditionalFormatting>
  <conditionalFormatting sqref="K8">
    <cfRule type="expression" dxfId="2480" priority="74">
      <formula>OR($A8="Sa",$A8="So")</formula>
    </cfRule>
    <cfRule type="expression" dxfId="2479" priority="75">
      <formula>AND(J8&gt;0,INDIRECT("Basistabelle!G" &amp; ($A$1+K$1+J8))&lt;="",INDIRECT("Basistabelle!H" &amp; ($A$1+K$1+J8))&gt;"")</formula>
    </cfRule>
  </conditionalFormatting>
  <conditionalFormatting sqref="K9">
    <cfRule type="expression" dxfId="2478" priority="72">
      <formula>OR($A9="Sa",$A9="So")</formula>
    </cfRule>
    <cfRule type="expression" dxfId="2477" priority="73">
      <formula>AND(J9&gt;0,INDIRECT("Basistabelle!G" &amp; ($A$1+K$1+J9))&lt;="",INDIRECT("Basistabelle!H" &amp; ($A$1+K$1+J9))&gt;"")</formula>
    </cfRule>
  </conditionalFormatting>
  <conditionalFormatting sqref="K10">
    <cfRule type="expression" dxfId="2476" priority="70">
      <formula>OR($A10="Sa",$A10="So")</formula>
    </cfRule>
    <cfRule type="expression" dxfId="2475" priority="71">
      <formula>AND(J10&gt;0,INDIRECT("Basistabelle!G" &amp; ($A$1+K$1+J10))&lt;="",INDIRECT("Basistabelle!H" &amp; ($A$1+K$1+J10))&gt;"")</formula>
    </cfRule>
  </conditionalFormatting>
  <conditionalFormatting sqref="K11">
    <cfRule type="expression" dxfId="2474" priority="68">
      <formula>OR($A11="Sa",$A11="So")</formula>
    </cfRule>
    <cfRule type="expression" dxfId="2473" priority="69">
      <formula>AND(J11&gt;0,INDIRECT("Basistabelle!G" &amp; ($A$1+K$1+J11))&lt;="",INDIRECT("Basistabelle!H" &amp; ($A$1+K$1+J11))&gt;"")</formula>
    </cfRule>
  </conditionalFormatting>
  <conditionalFormatting sqref="K12">
    <cfRule type="expression" dxfId="2472" priority="66">
      <formula>OR($A12="Sa",$A12="So")</formula>
    </cfRule>
    <cfRule type="expression" dxfId="2471" priority="67">
      <formula>AND(J12&gt;0,INDIRECT("Basistabelle!G" &amp; ($A$1+K$1+J12))&lt;="",INDIRECT("Basistabelle!H" &amp; ($A$1+K$1+J12))&gt;"")</formula>
    </cfRule>
  </conditionalFormatting>
  <conditionalFormatting sqref="K13">
    <cfRule type="expression" dxfId="2470" priority="64">
      <formula>OR($A13="Sa",$A13="So")</formula>
    </cfRule>
    <cfRule type="expression" dxfId="2469" priority="65">
      <formula>AND(J13&gt;0,INDIRECT("Basistabelle!G" &amp; ($A$1+K$1+J13))&lt;="",INDIRECT("Basistabelle!H" &amp; ($A$1+K$1+J13))&gt;"")</formula>
    </cfRule>
  </conditionalFormatting>
  <conditionalFormatting sqref="K14">
    <cfRule type="expression" dxfId="2468" priority="62">
      <formula>OR($A14="Sa",$A14="So")</formula>
    </cfRule>
    <cfRule type="expression" dxfId="2467" priority="63">
      <formula>AND(J14&gt;0,INDIRECT("Basistabelle!G" &amp; ($A$1+K$1+J14))&lt;="",INDIRECT("Basistabelle!H" &amp; ($A$1+K$1+J14))&gt;"")</formula>
    </cfRule>
  </conditionalFormatting>
  <conditionalFormatting sqref="K15">
    <cfRule type="expression" dxfId="2466" priority="60">
      <formula>OR($A15="Sa",$A15="So")</formula>
    </cfRule>
    <cfRule type="expression" dxfId="2465" priority="61">
      <formula>AND(J15&gt;0,INDIRECT("Basistabelle!G" &amp; ($A$1+K$1+J15))&lt;="",INDIRECT("Basistabelle!H" &amp; ($A$1+K$1+J15))&gt;"")</formula>
    </cfRule>
  </conditionalFormatting>
  <conditionalFormatting sqref="K16">
    <cfRule type="expression" dxfId="2464" priority="58">
      <formula>OR($A16="Sa",$A16="So")</formula>
    </cfRule>
    <cfRule type="expression" dxfId="2463" priority="59">
      <formula>AND(J16&gt;0,INDIRECT("Basistabelle!G" &amp; ($A$1+K$1+J16))&lt;="",INDIRECT("Basistabelle!H" &amp; ($A$1+K$1+J16))&gt;"")</formula>
    </cfRule>
  </conditionalFormatting>
  <conditionalFormatting sqref="K17">
    <cfRule type="expression" dxfId="2462" priority="56">
      <formula>OR($A17="Sa",$A17="So")</formula>
    </cfRule>
    <cfRule type="expression" dxfId="2461" priority="57">
      <formula>AND(J17&gt;0,INDIRECT("Basistabelle!G" &amp; ($A$1+K$1+J17))&lt;="",INDIRECT("Basistabelle!H" &amp; ($A$1+K$1+J17))&gt;"")</formula>
    </cfRule>
  </conditionalFormatting>
  <conditionalFormatting sqref="K18">
    <cfRule type="expression" dxfId="2460" priority="54">
      <formula>OR($A18="Sa",$A18="So")</formula>
    </cfRule>
    <cfRule type="expression" dxfId="2459" priority="55">
      <formula>AND(J18&gt;0,INDIRECT("Basistabelle!G" &amp; ($A$1+K$1+J18))&lt;="",INDIRECT("Basistabelle!H" &amp; ($A$1+K$1+J18))&gt;"")</formula>
    </cfRule>
  </conditionalFormatting>
  <conditionalFormatting sqref="K19">
    <cfRule type="expression" dxfId="2458" priority="52">
      <formula>OR($A19="Sa",$A19="So")</formula>
    </cfRule>
    <cfRule type="expression" dxfId="2457" priority="53">
      <formula>AND(J19&gt;0,INDIRECT("Basistabelle!G" &amp; ($A$1+K$1+J19))&lt;="",INDIRECT("Basistabelle!H" &amp; ($A$1+K$1+J19))&gt;"")</formula>
    </cfRule>
  </conditionalFormatting>
  <conditionalFormatting sqref="K20">
    <cfRule type="expression" dxfId="2456" priority="50">
      <formula>OR($A20="Sa",$A20="So")</formula>
    </cfRule>
    <cfRule type="expression" dxfId="2455" priority="51">
      <formula>AND(J20&gt;0,INDIRECT("Basistabelle!G" &amp; ($A$1+K$1+J20))&lt;="",INDIRECT("Basistabelle!H" &amp; ($A$1+K$1+J20))&gt;"")</formula>
    </cfRule>
  </conditionalFormatting>
  <conditionalFormatting sqref="K21">
    <cfRule type="expression" dxfId="2454" priority="48">
      <formula>OR($A21="Sa",$A21="So")</formula>
    </cfRule>
    <cfRule type="expression" dxfId="2453" priority="49">
      <formula>AND(J21&gt;0,INDIRECT("Basistabelle!G" &amp; ($A$1+K$1+J21))&lt;="",INDIRECT("Basistabelle!H" &amp; ($A$1+K$1+J21))&gt;"")</formula>
    </cfRule>
  </conditionalFormatting>
  <conditionalFormatting sqref="K22">
    <cfRule type="expression" dxfId="2452" priority="46">
      <formula>OR($A22="Sa",$A22="So")</formula>
    </cfRule>
    <cfRule type="expression" dxfId="2451" priority="47">
      <formula>AND(J22&gt;0,INDIRECT("Basistabelle!G" &amp; ($A$1+K$1+J22))&lt;="",INDIRECT("Basistabelle!H" &amp; ($A$1+K$1+J22))&gt;"")</formula>
    </cfRule>
  </conditionalFormatting>
  <conditionalFormatting sqref="K23">
    <cfRule type="expression" dxfId="2450" priority="44">
      <formula>OR($A23="Sa",$A23="So")</formula>
    </cfRule>
    <cfRule type="expression" dxfId="2449" priority="45">
      <formula>AND(J23&gt;0,INDIRECT("Basistabelle!G" &amp; ($A$1+K$1+J23))&lt;="",INDIRECT("Basistabelle!H" &amp; ($A$1+K$1+J23))&gt;"")</formula>
    </cfRule>
  </conditionalFormatting>
  <conditionalFormatting sqref="K24">
    <cfRule type="expression" dxfId="2448" priority="42">
      <formula>OR($A24="Sa",$A24="So")</formula>
    </cfRule>
    <cfRule type="expression" dxfId="2447" priority="43">
      <formula>AND(J24&gt;0,INDIRECT("Basistabelle!G" &amp; ($A$1+K$1+J24))&lt;="",INDIRECT("Basistabelle!H" &amp; ($A$1+K$1+J24))&gt;"")</formula>
    </cfRule>
  </conditionalFormatting>
  <conditionalFormatting sqref="K25">
    <cfRule type="expression" dxfId="2446" priority="40">
      <formula>OR($A25="Sa",$A25="So")</formula>
    </cfRule>
    <cfRule type="expression" dxfId="2445" priority="41">
      <formula>AND(J25&gt;0,INDIRECT("Basistabelle!G" &amp; ($A$1+K$1+J25))&lt;="",INDIRECT("Basistabelle!H" &amp; ($A$1+K$1+J25))&gt;"")</formula>
    </cfRule>
  </conditionalFormatting>
  <conditionalFormatting sqref="K26">
    <cfRule type="expression" dxfId="2444" priority="38">
      <formula>OR($A26="Sa",$A26="So")</formula>
    </cfRule>
    <cfRule type="expression" dxfId="2443" priority="39">
      <formula>AND(J26&gt;0,INDIRECT("Basistabelle!G" &amp; ($A$1+K$1+J26))&lt;="",INDIRECT("Basistabelle!H" &amp; ($A$1+K$1+J26))&gt;"")</formula>
    </cfRule>
  </conditionalFormatting>
  <conditionalFormatting sqref="K27">
    <cfRule type="expression" dxfId="2442" priority="36">
      <formula>OR($A27="Sa",$A27="So")</formula>
    </cfRule>
    <cfRule type="expression" dxfId="2441" priority="37">
      <formula>AND(J27&gt;0,INDIRECT("Basistabelle!G" &amp; ($A$1+K$1+J27))&lt;="",INDIRECT("Basistabelle!H" &amp; ($A$1+K$1+J27))&gt;"")</formula>
    </cfRule>
  </conditionalFormatting>
  <conditionalFormatting sqref="K28">
    <cfRule type="expression" dxfId="2440" priority="34">
      <formula>OR($A28="Sa",$A28="So")</formula>
    </cfRule>
    <cfRule type="expression" dxfId="2439" priority="35">
      <formula>AND(J28&gt;0,INDIRECT("Basistabelle!G" &amp; ($A$1+K$1+J28))&lt;="",INDIRECT("Basistabelle!H" &amp; ($A$1+K$1+J28))&gt;"")</formula>
    </cfRule>
  </conditionalFormatting>
  <conditionalFormatting sqref="K29">
    <cfRule type="expression" dxfId="2438" priority="32">
      <formula>OR($A29="Sa",$A29="So")</formula>
    </cfRule>
    <cfRule type="expression" dxfId="2437" priority="33">
      <formula>AND(J29&gt;0,INDIRECT("Basistabelle!G" &amp; ($A$1+K$1+J29))&lt;="",INDIRECT("Basistabelle!H" &amp; ($A$1+K$1+J29))&gt;"")</formula>
    </cfRule>
  </conditionalFormatting>
  <conditionalFormatting sqref="K30">
    <cfRule type="expression" dxfId="2436" priority="30">
      <formula>OR($A30="Sa",$A30="So")</formula>
    </cfRule>
    <cfRule type="expression" dxfId="2435" priority="31">
      <formula>AND(J30&gt;0,INDIRECT("Basistabelle!G" &amp; ($A$1+K$1+J30))&lt;="",INDIRECT("Basistabelle!H" &amp; ($A$1+K$1+J30))&gt;"")</formula>
    </cfRule>
  </conditionalFormatting>
  <conditionalFormatting sqref="K31">
    <cfRule type="expression" dxfId="2434" priority="28">
      <formula>OR($A31="Sa",$A31="So")</formula>
    </cfRule>
    <cfRule type="expression" dxfId="2433" priority="29">
      <formula>AND(J31&gt;0,INDIRECT("Basistabelle!G" &amp; ($A$1+K$1+J31))&lt;="",INDIRECT("Basistabelle!H" &amp; ($A$1+K$1+J31))&gt;"")</formula>
    </cfRule>
  </conditionalFormatting>
  <conditionalFormatting sqref="K32">
    <cfRule type="expression" dxfId="2432" priority="26">
      <formula>OR($A32="Sa",$A32="So")</formula>
    </cfRule>
    <cfRule type="expression" dxfId="2431" priority="27">
      <formula>AND(J32&gt;0,INDIRECT("Basistabelle!G" &amp; ($A$1+K$1+J32))&lt;="",INDIRECT("Basistabelle!H" &amp; ($A$1+K$1+J32))&gt;"")</formula>
    </cfRule>
  </conditionalFormatting>
  <conditionalFormatting sqref="K33">
    <cfRule type="expression" dxfId="2430" priority="24">
      <formula>OR($A33="Sa",$A33="So")</formula>
    </cfRule>
    <cfRule type="expression" dxfId="2429" priority="25">
      <formula>AND(J33&gt;0,INDIRECT("Basistabelle!G" &amp; ($A$1+K$1+J33))&lt;="",INDIRECT("Basistabelle!H" &amp; ($A$1+K$1+J33))&gt;"")</formula>
    </cfRule>
  </conditionalFormatting>
  <conditionalFormatting sqref="K34">
    <cfRule type="expression" dxfId="2428" priority="22">
      <formula>OR($A34="Sa",$A34="So")</formula>
    </cfRule>
    <cfRule type="expression" dxfId="2427" priority="23">
      <formula>AND(J34&gt;0,INDIRECT("Basistabelle!G" &amp; ($A$1+K$1+J34))&lt;="",INDIRECT("Basistabelle!H" &amp; ($A$1+K$1+J34))&gt;"")</formula>
    </cfRule>
  </conditionalFormatting>
  <conditionalFormatting sqref="K35">
    <cfRule type="expression" dxfId="2426" priority="20">
      <formula>OR($A35="Sa",$A35="So")</formula>
    </cfRule>
    <cfRule type="expression" dxfId="2425" priority="21">
      <formula>AND(J35&gt;0,INDIRECT("Basistabelle!G" &amp; ($A$1+K$1+J35))&lt;="",INDIRECT("Basistabelle!H" &amp; ($A$1+K$1+J35))&gt;"")</formula>
    </cfRule>
  </conditionalFormatting>
  <conditionalFormatting sqref="K36">
    <cfRule type="expression" dxfId="2424" priority="18">
      <formula>OR($A36="Sa",$A36="So")</formula>
    </cfRule>
    <cfRule type="expression" dxfId="2423" priority="19">
      <formula>AND(J36&gt;0,INDIRECT("Basistabelle!G" &amp; ($A$1+K$1+J36))&lt;="",INDIRECT("Basistabelle!H" &amp; ($A$1+K$1+J36))&gt;"")</formula>
    </cfRule>
  </conditionalFormatting>
  <conditionalFormatting sqref="K37">
    <cfRule type="expression" dxfId="2422" priority="16">
      <formula>OR($A37="Sa",$A37="So")</formula>
    </cfRule>
    <cfRule type="expression" dxfId="2421" priority="17">
      <formula>AND(J37&gt;0,INDIRECT("Basistabelle!G" &amp; ($A$1+K$1+J37))&lt;="",INDIRECT("Basistabelle!H" &amp; ($A$1+K$1+J37))&gt;"")</formula>
    </cfRule>
  </conditionalFormatting>
  <conditionalFormatting sqref="K38">
    <cfRule type="expression" dxfId="2420" priority="14">
      <formula>OR($A38="Sa",$A38="So")</formula>
    </cfRule>
    <cfRule type="expression" dxfId="2419" priority="15">
      <formula>AND(J38&gt;0,INDIRECT("Basistabelle!G" &amp; ($A$1+K$1+J38))&lt;="",INDIRECT("Basistabelle!H" &amp; ($A$1+K$1+J38))&gt;"")</formula>
    </cfRule>
  </conditionalFormatting>
  <conditionalFormatting sqref="K39">
    <cfRule type="expression" dxfId="2418" priority="12">
      <formula>OR($A39="Sa",$A39="So")</formula>
    </cfRule>
    <cfRule type="expression" dxfId="2417" priority="13">
      <formula>AND(J39&gt;0,INDIRECT("Basistabelle!G" &amp; ($A$1+K$1+J39))&lt;="",INDIRECT("Basistabelle!H" &amp; ($A$1+K$1+J39))&gt;"")</formula>
    </cfRule>
  </conditionalFormatting>
  <conditionalFormatting sqref="K40">
    <cfRule type="expression" dxfId="2416" priority="10">
      <formula>OR($A40="Sa",$A40="So")</formula>
    </cfRule>
    <cfRule type="expression" dxfId="2415" priority="11">
      <formula>AND(J40&gt;0,INDIRECT("Basistabelle!G" &amp; ($A$1+K$1+J40))&lt;="",INDIRECT("Basistabelle!H" &amp; ($A$1+K$1+J40))&gt;"")</formula>
    </cfRule>
  </conditionalFormatting>
  <conditionalFormatting sqref="K41">
    <cfRule type="expression" dxfId="2414" priority="8">
      <formula>OR($A41="Sa",$A41="So")</formula>
    </cfRule>
    <cfRule type="expression" dxfId="2413" priority="9">
      <formula>AND(J41&gt;0,INDIRECT("Basistabelle!G" &amp; ($A$1+K$1+J41))&lt;="",INDIRECT("Basistabelle!H" &amp; ($A$1+K$1+J41))&gt;"")</formula>
    </cfRule>
  </conditionalFormatting>
  <conditionalFormatting sqref="C36">
    <cfRule type="expression" dxfId="2412" priority="6">
      <formula>OR($A36="Sa",$A36="So")</formula>
    </cfRule>
    <cfRule type="expression" dxfId="2411" priority="7">
      <formula>AND(B36&gt;0,INDIRECT("Basistabelle!G" &amp; ($A$1+C$1+B36))&lt;="",INDIRECT("Basistabelle!H" &amp; ($A$1+C$1+B36))&gt;"")</formula>
    </cfRule>
  </conditionalFormatting>
  <conditionalFormatting sqref="C27">
    <cfRule type="expression" dxfId="2410" priority="4">
      <formula>OR($A27="Sa",$A27="So")</formula>
    </cfRule>
    <cfRule type="expression" dxfId="2409" priority="5">
      <formula>AND(B27&gt;0,INDIRECT("Basistabelle!G" &amp; ($A$1+C$1+B27))&lt;="",INDIRECT("Basistabelle!H" &amp; ($A$1+C$1+B27))&gt;"")</formula>
    </cfRule>
  </conditionalFormatting>
  <conditionalFormatting sqref="N24">
    <cfRule type="cellIs" dxfId="2408" priority="3" operator="equal">
      <formula>"x"</formula>
    </cfRule>
  </conditionalFormatting>
  <conditionalFormatting sqref="L24">
    <cfRule type="cellIs" dxfId="2407" priority="2" operator="equal">
      <formula>"x"</formula>
    </cfRule>
  </conditionalFormatting>
  <conditionalFormatting sqref="P24">
    <cfRule type="cellIs" dxfId="2406" priority="1" operator="equal">
      <formula>"x"</formula>
    </cfRule>
  </conditionalFormatting>
  <pageMargins left="0.23622047244094491" right="0.23622047244094491" top="0.74803149606299213" bottom="0.74803149606299213" header="0.31496062992125984" footer="0.31496062992125984"/>
  <pageSetup paperSize="9" scale="76" orientation="landscape" errors="blank" r:id="rId1"/>
  <headerFooter>
    <oddHeader>&amp;CESG Jahresübersicht (V0.2 per 22.04.2014)</oddHeader>
    <oddFooter>&amp;CPS/JG 22.04.2014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 enableFormatConditionsCalculation="0">
    <pageSetUpPr fitToPage="1"/>
  </sheetPr>
  <dimension ref="A1:CS47"/>
  <sheetViews>
    <sheetView topLeftCell="A2" zoomScale="75" zoomScaleNormal="75" zoomScalePageLayoutView="75" workbookViewId="0">
      <selection activeCell="S22" sqref="S22"/>
    </sheetView>
  </sheetViews>
  <sheetFormatPr baseColWidth="10" defaultColWidth="11.5" defaultRowHeight="14" x14ac:dyDescent="0.2"/>
  <cols>
    <col min="1" max="1" width="4.83203125" style="1" bestFit="1" customWidth="1"/>
    <col min="2" max="2" width="3" style="1" bestFit="1" customWidth="1"/>
    <col min="3" max="3" width="9.83203125" style="75" customWidth="1"/>
    <col min="4" max="4" width="0.1640625" style="117" customWidth="1"/>
    <col min="5" max="5" width="0.1640625" style="118" customWidth="1"/>
    <col min="6" max="6" width="0.1640625" style="117" customWidth="1"/>
    <col min="7" max="7" width="0.1640625" style="118" customWidth="1"/>
    <col min="8" max="8" width="0.1640625" style="117" customWidth="1"/>
    <col min="9" max="9" width="0.1640625" style="118" customWidth="1"/>
    <col min="10" max="10" width="3" style="1" bestFit="1" customWidth="1"/>
    <col min="11" max="11" width="9.83203125" style="75" customWidth="1"/>
    <col min="12" max="12" width="0.1640625" style="117" customWidth="1"/>
    <col min="13" max="13" width="0.1640625" style="118" customWidth="1"/>
    <col min="14" max="14" width="0.1640625" style="117" customWidth="1"/>
    <col min="15" max="15" width="0.1640625" style="118" customWidth="1"/>
    <col min="16" max="16" width="0.1640625" style="117" customWidth="1"/>
    <col min="17" max="17" width="0.1640625" style="118" customWidth="1"/>
    <col min="18" max="18" width="3" style="1" bestFit="1" customWidth="1"/>
    <col min="19" max="19" width="9.83203125" style="75" customWidth="1"/>
    <col min="20" max="20" width="0.1640625" style="117" customWidth="1"/>
    <col min="21" max="21" width="0.1640625" style="118" customWidth="1"/>
    <col min="22" max="22" width="0.1640625" style="117" customWidth="1"/>
    <col min="23" max="23" width="0.1640625" style="118" customWidth="1"/>
    <col min="24" max="24" width="0.1640625" style="117" customWidth="1"/>
    <col min="25" max="25" width="0.1640625" style="118" customWidth="1"/>
    <col min="26" max="26" width="3" style="1" bestFit="1" customWidth="1"/>
    <col min="27" max="27" width="9.83203125" style="75" customWidth="1"/>
    <col min="28" max="28" width="0.1640625" style="117" customWidth="1"/>
    <col min="29" max="29" width="0.1640625" style="118" customWidth="1"/>
    <col min="30" max="30" width="0.1640625" style="117" customWidth="1"/>
    <col min="31" max="31" width="0.1640625" style="118" customWidth="1"/>
    <col min="32" max="32" width="0.1640625" style="117" customWidth="1"/>
    <col min="33" max="33" width="0.1640625" style="118" customWidth="1"/>
    <col min="34" max="34" width="3" style="1" bestFit="1" customWidth="1"/>
    <col min="35" max="35" width="9.83203125" style="75" customWidth="1"/>
    <col min="36" max="36" width="0.1640625" style="117" customWidth="1"/>
    <col min="37" max="37" width="0.1640625" style="118" customWidth="1"/>
    <col min="38" max="38" width="0.1640625" style="117" customWidth="1"/>
    <col min="39" max="39" width="0.1640625" style="118" customWidth="1"/>
    <col min="40" max="40" width="0.1640625" style="117" customWidth="1"/>
    <col min="41" max="41" width="0.1640625" style="118" customWidth="1"/>
    <col min="42" max="42" width="3" style="1" bestFit="1" customWidth="1"/>
    <col min="43" max="43" width="9.83203125" style="75" customWidth="1"/>
    <col min="44" max="44" width="0.1640625" style="117" customWidth="1"/>
    <col min="45" max="45" width="0.1640625" style="118" customWidth="1"/>
    <col min="46" max="46" width="0.1640625" style="117" customWidth="1"/>
    <col min="47" max="47" width="0.1640625" style="118" customWidth="1"/>
    <col min="48" max="48" width="0.1640625" style="117" customWidth="1"/>
    <col min="49" max="49" width="0.1640625" style="118" customWidth="1"/>
    <col min="50" max="50" width="3" style="1" bestFit="1" customWidth="1"/>
    <col min="51" max="51" width="9.83203125" style="75" customWidth="1"/>
    <col min="52" max="52" width="0.1640625" style="117" customWidth="1"/>
    <col min="53" max="53" width="0.1640625" style="118" customWidth="1"/>
    <col min="54" max="54" width="0.1640625" style="117" customWidth="1"/>
    <col min="55" max="55" width="0.1640625" style="118" customWidth="1"/>
    <col min="56" max="56" width="0.1640625" style="117" customWidth="1"/>
    <col min="57" max="57" width="0.1640625" style="118" customWidth="1"/>
    <col min="58" max="58" width="3.1640625" style="3" bestFit="1" customWidth="1"/>
    <col min="59" max="59" width="9.83203125" style="80" customWidth="1"/>
    <col min="60" max="60" width="0.1640625" style="117" customWidth="1"/>
    <col min="61" max="61" width="0.1640625" style="118" customWidth="1"/>
    <col min="62" max="62" width="0.1640625" style="117" customWidth="1"/>
    <col min="63" max="63" width="0.1640625" style="118" customWidth="1"/>
    <col min="64" max="64" width="0.1640625" style="117" customWidth="1"/>
    <col min="65" max="65" width="0.1640625" style="118" customWidth="1"/>
    <col min="66" max="66" width="3" style="1" bestFit="1" customWidth="1"/>
    <col min="67" max="67" width="9.83203125" style="75" customWidth="1"/>
    <col min="68" max="68" width="0.1640625" style="117" customWidth="1"/>
    <col min="69" max="69" width="0.1640625" style="118" customWidth="1"/>
    <col min="70" max="70" width="0.1640625" style="117" customWidth="1"/>
    <col min="71" max="71" width="0.1640625" style="118" customWidth="1"/>
    <col min="72" max="72" width="0.1640625" style="117" customWidth="1"/>
    <col min="73" max="73" width="0.1640625" style="118" customWidth="1"/>
    <col min="74" max="74" width="3.1640625" style="1" bestFit="1" customWidth="1"/>
    <col min="75" max="75" width="9.83203125" style="75" customWidth="1"/>
    <col min="76" max="76" width="0.1640625" style="117" customWidth="1"/>
    <col min="77" max="77" width="0.1640625" style="118" customWidth="1"/>
    <col min="78" max="78" width="0.1640625" style="117" customWidth="1"/>
    <col min="79" max="79" width="0.1640625" style="118" customWidth="1"/>
    <col min="80" max="80" width="0.1640625" style="117" customWidth="1"/>
    <col min="81" max="81" width="0.1640625" style="118" customWidth="1"/>
    <col min="82" max="82" width="3" style="1" bestFit="1" customWidth="1"/>
    <col min="83" max="83" width="9.83203125" style="75" customWidth="1"/>
    <col min="84" max="84" width="0.1640625" style="117" customWidth="1"/>
    <col min="85" max="85" width="0.1640625" style="118" customWidth="1"/>
    <col min="86" max="86" width="0.1640625" style="117" customWidth="1"/>
    <col min="87" max="87" width="0.1640625" style="118" customWidth="1"/>
    <col min="88" max="88" width="0.1640625" style="117" customWidth="1"/>
    <col min="89" max="89" width="0.1640625" style="118" customWidth="1"/>
    <col min="90" max="90" width="3" style="1" bestFit="1" customWidth="1"/>
    <col min="91" max="91" width="9.83203125" style="75" customWidth="1"/>
    <col min="92" max="92" width="0.1640625" style="117" customWidth="1"/>
    <col min="93" max="93" width="0.1640625" style="118" customWidth="1"/>
    <col min="94" max="94" width="0.1640625" style="117" customWidth="1"/>
    <col min="95" max="95" width="0.1640625" style="118" customWidth="1"/>
    <col min="96" max="96" width="0.1640625" style="117" customWidth="1"/>
    <col min="97" max="97" width="0.1640625" style="118" customWidth="1"/>
    <col min="98" max="16384" width="11.5" style="1"/>
  </cols>
  <sheetData>
    <row r="1" spans="1:97" hidden="1" x14ac:dyDescent="0.2">
      <c r="A1" s="1">
        <v>5</v>
      </c>
      <c r="C1" s="75">
        <v>0</v>
      </c>
      <c r="K1" s="75">
        <v>31</v>
      </c>
      <c r="S1" s="75">
        <v>59</v>
      </c>
      <c r="AA1" s="75">
        <v>90</v>
      </c>
      <c r="AI1" s="75">
        <v>120</v>
      </c>
      <c r="AQ1" s="75">
        <v>151</v>
      </c>
      <c r="AY1" s="75">
        <v>181</v>
      </c>
      <c r="BG1" s="80">
        <v>212</v>
      </c>
      <c r="BO1" s="75">
        <v>243</v>
      </c>
      <c r="BW1" s="75">
        <v>273</v>
      </c>
      <c r="CE1" s="75">
        <v>304</v>
      </c>
      <c r="CM1" s="75">
        <v>334</v>
      </c>
    </row>
    <row r="2" spans="1:97" ht="15" customHeight="1" x14ac:dyDescent="0.2">
      <c r="A2" s="5"/>
      <c r="B2" s="180" t="s">
        <v>0</v>
      </c>
      <c r="C2" s="179"/>
      <c r="D2" s="119"/>
      <c r="E2" s="120"/>
      <c r="F2" s="119"/>
      <c r="G2" s="120"/>
      <c r="H2" s="119"/>
      <c r="I2" s="120"/>
      <c r="J2" s="178" t="s">
        <v>9</v>
      </c>
      <c r="K2" s="179"/>
      <c r="L2" s="132"/>
      <c r="M2" s="133"/>
      <c r="N2" s="132"/>
      <c r="O2" s="133"/>
      <c r="P2" s="132"/>
      <c r="Q2" s="133"/>
      <c r="R2" s="181" t="s">
        <v>10</v>
      </c>
      <c r="S2" s="182"/>
      <c r="T2" s="132"/>
      <c r="U2" s="133"/>
      <c r="V2" s="132"/>
      <c r="W2" s="133"/>
      <c r="X2" s="132"/>
      <c r="Y2" s="133"/>
      <c r="Z2" s="181" t="s">
        <v>11</v>
      </c>
      <c r="AA2" s="182"/>
      <c r="AB2" s="132"/>
      <c r="AC2" s="133"/>
      <c r="AD2" s="132"/>
      <c r="AE2" s="133"/>
      <c r="AF2" s="132"/>
      <c r="AG2" s="133"/>
      <c r="AH2" s="178" t="s">
        <v>13</v>
      </c>
      <c r="AI2" s="179"/>
      <c r="AJ2" s="132"/>
      <c r="AK2" s="133"/>
      <c r="AL2" s="132"/>
      <c r="AM2" s="133"/>
      <c r="AN2" s="132"/>
      <c r="AO2" s="133"/>
      <c r="AP2" s="178" t="s">
        <v>15</v>
      </c>
      <c r="AQ2" s="179"/>
      <c r="AR2" s="132"/>
      <c r="AS2" s="133"/>
      <c r="AT2" s="132"/>
      <c r="AU2" s="133"/>
      <c r="AV2" s="132"/>
      <c r="AW2" s="133"/>
      <c r="AX2" s="181" t="s">
        <v>17</v>
      </c>
      <c r="AY2" s="182"/>
      <c r="AZ2" s="132"/>
      <c r="BA2" s="133"/>
      <c r="BB2" s="132"/>
      <c r="BC2" s="133"/>
      <c r="BD2" s="132"/>
      <c r="BE2" s="133"/>
      <c r="BF2" s="181" t="s">
        <v>18</v>
      </c>
      <c r="BG2" s="182"/>
      <c r="BH2" s="132"/>
      <c r="BI2" s="133"/>
      <c r="BJ2" s="132"/>
      <c r="BK2" s="133"/>
      <c r="BL2" s="132"/>
      <c r="BM2" s="133"/>
      <c r="BN2" s="178" t="s">
        <v>19</v>
      </c>
      <c r="BO2" s="179"/>
      <c r="BP2" s="132"/>
      <c r="BQ2" s="133"/>
      <c r="BR2" s="132"/>
      <c r="BS2" s="133"/>
      <c r="BT2" s="132"/>
      <c r="BU2" s="133"/>
      <c r="BV2" s="178" t="s">
        <v>20</v>
      </c>
      <c r="BW2" s="179"/>
      <c r="BX2" s="132"/>
      <c r="BY2" s="133"/>
      <c r="BZ2" s="132"/>
      <c r="CA2" s="133"/>
      <c r="CB2" s="132"/>
      <c r="CC2" s="133"/>
      <c r="CD2" s="178" t="s">
        <v>21</v>
      </c>
      <c r="CE2" s="179"/>
      <c r="CF2" s="132"/>
      <c r="CG2" s="133"/>
      <c r="CH2" s="132"/>
      <c r="CI2" s="133"/>
      <c r="CJ2" s="132"/>
      <c r="CK2" s="133"/>
      <c r="CL2" s="178" t="s">
        <v>22</v>
      </c>
      <c r="CM2" s="179"/>
      <c r="CN2" s="132"/>
      <c r="CO2" s="133"/>
      <c r="CP2" s="132"/>
      <c r="CQ2" s="133"/>
      <c r="CR2" s="132"/>
      <c r="CS2" s="138"/>
    </row>
    <row r="3" spans="1:97" s="2" customFormat="1" ht="14.5" customHeight="1" x14ac:dyDescent="0.2">
      <c r="A3" s="6" t="s">
        <v>25</v>
      </c>
      <c r="B3" s="7"/>
      <c r="C3" s="145" t="str">
        <f t="shared" ref="C3:C4" ca="1" si="0">IF(B3&gt;0,IF(INDIRECT("Basistabelle!G" &amp; $A$1+B3+C$1)&gt;"",INDIRECT("Basistabelle!G" &amp; $A$1+B3+C$1),IF(INDIRECT("Basistabelle!H" &amp; $A$1+B3+C$1)&gt;"",INDIRECT("Basistabelle!H" &amp; $A$1+B3+C$1),"")),"")</f>
        <v/>
      </c>
      <c r="D3" s="176">
        <v>1</v>
      </c>
      <c r="E3" s="176"/>
      <c r="F3" s="176"/>
      <c r="G3" s="176"/>
      <c r="H3" s="176"/>
      <c r="I3" s="177"/>
      <c r="J3" s="17"/>
      <c r="K3" s="145" t="str">
        <f t="shared" ref="K3:K41" ca="1" si="1">IF(J3&gt;0,IF(INDIRECT("Basistabelle!G" &amp; $A$1+J3+K$1)&gt;"",INDIRECT("Basistabelle!G" &amp; $A$1+J3+K$1),IF(INDIRECT("Basistabelle!H" &amp; $A$1+J3+K$1)&gt;"",INDIRECT("Basistabelle!H" &amp; $A$1+J3+K$1),"")),"")</f>
        <v/>
      </c>
      <c r="L3" s="134"/>
      <c r="M3" s="135"/>
      <c r="N3" s="134"/>
      <c r="O3" s="135"/>
      <c r="P3" s="134"/>
      <c r="Q3" s="136"/>
      <c r="R3" s="17"/>
      <c r="S3" s="145" t="str">
        <f t="shared" ref="S3:S41" ca="1" si="2">IF(R3&gt;0,IF(INDIRECT("Basistabelle!G" &amp; $A$1+R3+S$1)&gt;"",INDIRECT("Basistabelle!G" &amp; $A$1+R3+S$1),IF(INDIRECT("Basistabelle!H" &amp; $A$1+R3+S$1)&gt;"",INDIRECT("Basistabelle!H" &amp; $A$1+R3+S$1),"")),"")</f>
        <v/>
      </c>
      <c r="T3" s="134"/>
      <c r="U3" s="135"/>
      <c r="V3" s="134"/>
      <c r="W3" s="135"/>
      <c r="X3" s="134"/>
      <c r="Y3" s="136"/>
      <c r="Z3" s="17"/>
      <c r="AA3" s="145" t="str">
        <f t="shared" ref="AA3:AA41" ca="1" si="3">IF(Z3&gt;0,IF(INDIRECT("Basistabelle!G" &amp; $A$1+Z3+AA$1)&gt;"",INDIRECT("Basistabelle!G" &amp; $A$1+Z3+AA$1),IF(INDIRECT("Basistabelle!H" &amp; $A$1+Z3+AA$1)&gt;"",INDIRECT("Basistabelle!H" &amp; $A$1+Z3+AA$1),"")),"")</f>
        <v/>
      </c>
      <c r="AB3" s="134"/>
      <c r="AC3" s="135"/>
      <c r="AD3" s="121"/>
      <c r="AE3" s="135"/>
      <c r="AF3" s="134"/>
      <c r="AG3" s="136"/>
      <c r="AH3" s="17"/>
      <c r="AI3" s="145" t="str">
        <f t="shared" ref="AI3" ca="1" si="4">IF(AH3&gt;0,IF(INDIRECT("Basistabelle!G" &amp; $A$1+AH3+AI$1)&gt;"",INDIRECT("Basistabelle!G" &amp; $A$1+AH3+AI$1),IF(INDIRECT("Basistabelle!H" &amp; $A$1+AH3+AI$1)&gt;"",INDIRECT("Basistabelle!H" &amp; $A$1+AH3+AI$1),"")),"")</f>
        <v/>
      </c>
      <c r="AJ3" s="134"/>
      <c r="AK3" s="135"/>
      <c r="AL3" s="134"/>
      <c r="AM3" s="135"/>
      <c r="AN3" s="134"/>
      <c r="AO3" s="136"/>
      <c r="AP3" s="17"/>
      <c r="AQ3" s="145" t="str">
        <f t="shared" ref="AQ3:AQ39" ca="1" si="5">IF(AP3&gt;0,IF(INDIRECT("Basistabelle!G" &amp; $A$1+AP3+AQ$1)&gt;"",INDIRECT("Basistabelle!G" &amp; $A$1+AP3+AQ$1),IF(INDIRECT("Basistabelle!H" &amp; $A$1+AP3+AQ$1)&gt;"",INDIRECT("Basistabelle!H" &amp; $A$1+AP3+AQ$1),"")),"")</f>
        <v/>
      </c>
      <c r="AR3" s="134"/>
      <c r="AS3" s="135"/>
      <c r="AT3" s="134"/>
      <c r="AU3" s="135"/>
      <c r="AV3" s="134"/>
      <c r="AW3" s="136"/>
      <c r="AX3" s="17"/>
      <c r="AY3" s="145" t="str">
        <f t="shared" ref="AY3:AY41" ca="1" si="6">IF(AX3&gt;0,IF(INDIRECT("Basistabelle!G" &amp; $A$1+AX3+AY$1)&gt;"",INDIRECT("Basistabelle!G" &amp; $A$1+AX3+AY$1),IF(INDIRECT("Basistabelle!H" &amp; $A$1+AX3+AY$1)&gt;"",INDIRECT("Basistabelle!H" &amp; $A$1+AX3+AY$1),"")),"")</f>
        <v/>
      </c>
      <c r="AZ3" s="134"/>
      <c r="BA3" s="135"/>
      <c r="BB3" s="134"/>
      <c r="BC3" s="135"/>
      <c r="BD3" s="134"/>
      <c r="BE3" s="136"/>
      <c r="BF3" s="20"/>
      <c r="BG3" s="145" t="str">
        <f t="shared" ref="BG3:BG41" ca="1" si="7">IF(BF3&gt;0,IF(INDIRECT("Basistabelle!G" &amp; $A$1+BF3+BG$1)&gt;"",INDIRECT("Basistabelle!G" &amp; $A$1+BF3+BG$1),IF(INDIRECT("Basistabelle!H" &amp; $A$1+BF3+BG$1)&gt;"",INDIRECT("Basistabelle!H" &amp; $A$1+BF3+BG$1),"")),"")</f>
        <v/>
      </c>
      <c r="BH3" s="134"/>
      <c r="BI3" s="135"/>
      <c r="BJ3" s="134"/>
      <c r="BK3" s="135"/>
      <c r="BL3" s="134"/>
      <c r="BM3" s="136"/>
      <c r="BN3" s="6"/>
      <c r="BO3" s="145" t="str">
        <f t="shared" ref="BO3:BO41" ca="1" si="8">IF(BN3&gt;0,IF(INDIRECT("Basistabelle!G" &amp; $A$1+BN3+BO$1)&gt;"",INDIRECT("Basistabelle!G" &amp; $A$1+BN3+BO$1),IF(INDIRECT("Basistabelle!H" &amp; $A$1+BN3+BO$1)&gt;"",INDIRECT("Basistabelle!H" &amp; $A$1+BN3+BO$1),"")),"")</f>
        <v/>
      </c>
      <c r="BP3" s="134"/>
      <c r="BQ3" s="135"/>
      <c r="BR3" s="134"/>
      <c r="BS3" s="135"/>
      <c r="BT3" s="134"/>
      <c r="BU3" s="136"/>
      <c r="BV3" s="17"/>
      <c r="BW3" s="145" t="str">
        <f t="shared" ref="BW3:BW41" ca="1" si="9">IF(BV3&gt;0,IF(INDIRECT("Basistabelle!G" &amp; $A$1+BV3+BW$1)&gt;"",INDIRECT("Basistabelle!G" &amp; $A$1+BV3+BW$1),IF(INDIRECT("Basistabelle!H" &amp; $A$1+BV3+BW$1)&gt;"",INDIRECT("Basistabelle!H" &amp; $A$1+BV3+BW$1),"")),"")</f>
        <v/>
      </c>
      <c r="BX3" s="134"/>
      <c r="BY3" s="135"/>
      <c r="BZ3" s="134"/>
      <c r="CA3" s="135"/>
      <c r="CB3" s="134"/>
      <c r="CC3" s="136"/>
      <c r="CD3" s="17"/>
      <c r="CE3" s="145" t="str">
        <f t="shared" ref="CE3:CE41" ca="1" si="10">IF(CD3&gt;0,IF(INDIRECT("Basistabelle!G" &amp; $A$1+CD3+CE$1)&gt;"",INDIRECT("Basistabelle!G" &amp; $A$1+CD3+CE$1),IF(INDIRECT("Basistabelle!H" &amp; $A$1+CD3+CE$1)&gt;"",INDIRECT("Basistabelle!H" &amp; $A$1+CD3+CE$1),"")),"")</f>
        <v/>
      </c>
      <c r="CF3" s="134"/>
      <c r="CG3" s="135"/>
      <c r="CH3" s="134"/>
      <c r="CI3" s="135"/>
      <c r="CJ3" s="134"/>
      <c r="CK3" s="136"/>
      <c r="CL3" s="6"/>
      <c r="CM3" s="145" t="str">
        <f t="shared" ref="CM3:CM41" ca="1" si="11">IF(CL3&gt;0,IF(INDIRECT("Basistabelle!G" &amp; $A$1+CL3+CM$1)&gt;"",INDIRECT("Basistabelle!G" &amp; $A$1+CL3+CM$1),IF(INDIRECT("Basistabelle!H" &amp; $A$1+CL3+CM$1)&gt;"",INDIRECT("Basistabelle!H" &amp; $A$1+CL3+CM$1),"")),"")</f>
        <v/>
      </c>
      <c r="CN3" s="134"/>
      <c r="CO3" s="135"/>
      <c r="CP3" s="134"/>
      <c r="CQ3" s="135"/>
      <c r="CR3" s="134"/>
      <c r="CS3" s="136"/>
    </row>
    <row r="4" spans="1:97" s="2" customFormat="1" x14ac:dyDescent="0.2">
      <c r="A4" s="6" t="s">
        <v>6</v>
      </c>
      <c r="B4" s="7"/>
      <c r="C4" s="145" t="str">
        <f t="shared" ca="1" si="0"/>
        <v/>
      </c>
      <c r="D4" s="121"/>
      <c r="E4" s="122"/>
      <c r="F4" s="123"/>
      <c r="G4" s="122"/>
      <c r="H4" s="123"/>
      <c r="I4" s="122"/>
      <c r="J4" s="17"/>
      <c r="K4" s="145" t="str">
        <f t="shared" ca="1" si="1"/>
        <v/>
      </c>
      <c r="L4" s="121"/>
      <c r="M4" s="122"/>
      <c r="N4" s="123"/>
      <c r="O4" s="122"/>
      <c r="P4" s="123"/>
      <c r="Q4" s="122"/>
      <c r="R4" s="17"/>
      <c r="S4" s="145" t="str">
        <f t="shared" ca="1" si="2"/>
        <v/>
      </c>
      <c r="T4" s="121"/>
      <c r="U4" s="122"/>
      <c r="V4" s="123"/>
      <c r="W4" s="122"/>
      <c r="X4" s="123"/>
      <c r="Y4" s="122"/>
      <c r="Z4" s="6"/>
      <c r="AA4" s="145" t="str">
        <f t="shared" ca="1" si="3"/>
        <v/>
      </c>
      <c r="AB4" s="121"/>
      <c r="AC4" s="122"/>
      <c r="AD4" s="121"/>
      <c r="AE4" s="122"/>
      <c r="AF4" s="123"/>
      <c r="AG4" s="122"/>
      <c r="AH4" s="17"/>
      <c r="AI4" s="19" t="s">
        <v>31</v>
      </c>
      <c r="AJ4" s="121"/>
      <c r="AK4" s="122"/>
      <c r="AL4" s="123"/>
      <c r="AM4" s="122"/>
      <c r="AN4" s="123"/>
      <c r="AO4" s="122"/>
      <c r="AP4" s="17"/>
      <c r="AQ4" s="145" t="str">
        <f t="shared" ca="1" si="5"/>
        <v/>
      </c>
      <c r="AR4" s="121"/>
      <c r="AS4" s="122"/>
      <c r="AT4" s="123"/>
      <c r="AU4" s="122"/>
      <c r="AV4" s="123"/>
      <c r="AW4" s="122"/>
      <c r="AX4" s="6"/>
      <c r="AY4" s="145" t="str">
        <f t="shared" ca="1" si="6"/>
        <v/>
      </c>
      <c r="AZ4" s="121"/>
      <c r="BA4" s="122"/>
      <c r="BB4" s="123"/>
      <c r="BC4" s="122"/>
      <c r="BD4" s="123"/>
      <c r="BE4" s="122"/>
      <c r="BF4" s="20"/>
      <c r="BG4" s="145" t="str">
        <f t="shared" ca="1" si="7"/>
        <v/>
      </c>
      <c r="BH4" s="121"/>
      <c r="BI4" s="122"/>
      <c r="BJ4" s="123"/>
      <c r="BK4" s="122"/>
      <c r="BL4" s="123"/>
      <c r="BM4" s="122"/>
      <c r="BN4" s="6">
        <v>1</v>
      </c>
      <c r="BO4" s="145" t="str">
        <f t="shared" ca="1" si="8"/>
        <v/>
      </c>
      <c r="BP4" s="125">
        <f>Basistabelle!D249</f>
        <v>0</v>
      </c>
      <c r="BQ4" s="122"/>
      <c r="BR4" s="121">
        <f>Basistabelle!E249</f>
        <v>0</v>
      </c>
      <c r="BS4" s="122"/>
      <c r="BT4" s="125">
        <f>Basistabelle!F249</f>
        <v>0</v>
      </c>
      <c r="BU4" s="122"/>
      <c r="BV4" s="17"/>
      <c r="BW4" s="145" t="str">
        <f t="shared" ca="1" si="9"/>
        <v/>
      </c>
      <c r="BX4" s="125"/>
      <c r="BY4" s="122"/>
      <c r="BZ4" s="121"/>
      <c r="CA4" s="122"/>
      <c r="CB4" s="125"/>
      <c r="CC4" s="122"/>
      <c r="CD4" s="17"/>
      <c r="CE4" s="145" t="str">
        <f t="shared" ca="1" si="10"/>
        <v/>
      </c>
      <c r="CF4" s="125"/>
      <c r="CG4" s="122"/>
      <c r="CH4" s="121"/>
      <c r="CI4" s="122"/>
      <c r="CJ4" s="125"/>
      <c r="CK4" s="122"/>
      <c r="CL4" s="6">
        <v>1</v>
      </c>
      <c r="CM4" s="145" t="str">
        <f t="shared" ca="1" si="11"/>
        <v/>
      </c>
      <c r="CN4" s="125">
        <f>Basistabelle!D340</f>
        <v>0</v>
      </c>
      <c r="CO4" s="124"/>
      <c r="CP4" s="121">
        <f>Basistabelle!E340</f>
        <v>0</v>
      </c>
      <c r="CQ4" s="124"/>
      <c r="CR4" s="125">
        <f>Basistabelle!F340</f>
        <v>0</v>
      </c>
      <c r="CS4" s="139"/>
    </row>
    <row r="5" spans="1:97" s="2" customFormat="1" x14ac:dyDescent="0.2">
      <c r="A5" s="6" t="s">
        <v>7</v>
      </c>
      <c r="B5" s="8"/>
      <c r="C5" s="145" t="str">
        <f ca="1">IF(B5&gt;0,IF(INDIRECT("Basistabelle!G" &amp; $A$1+B5+C$1)&gt;"",INDIRECT("Basistabelle!G" &amp; $A$1+B5+C$1),IF(INDIRECT("Basistabelle!H" &amp; $A$1+B5+C$1)&gt;"",INDIRECT("Basistabelle!H" &amp; $A$1+B5+C$1),"")),"")</f>
        <v/>
      </c>
      <c r="D5" s="121"/>
      <c r="E5" s="124"/>
      <c r="F5" s="121"/>
      <c r="G5" s="124"/>
      <c r="H5" s="121"/>
      <c r="I5" s="124"/>
      <c r="J5" s="6"/>
      <c r="K5" s="145" t="str">
        <f t="shared" ca="1" si="1"/>
        <v/>
      </c>
      <c r="L5" s="121"/>
      <c r="M5" s="124"/>
      <c r="N5" s="121"/>
      <c r="O5" s="124"/>
      <c r="P5" s="121"/>
      <c r="Q5" s="124"/>
      <c r="R5" s="6"/>
      <c r="S5" s="145" t="str">
        <f t="shared" ca="1" si="2"/>
        <v/>
      </c>
      <c r="T5" s="121"/>
      <c r="U5" s="124"/>
      <c r="V5" s="121"/>
      <c r="W5" s="124"/>
      <c r="X5" s="121"/>
      <c r="Y5" s="124"/>
      <c r="Z5" s="6">
        <v>1</v>
      </c>
      <c r="AA5" s="145" t="str">
        <f t="shared" ca="1" si="3"/>
        <v/>
      </c>
      <c r="AB5" s="121">
        <f>Basistabelle!D96</f>
        <v>0</v>
      </c>
      <c r="AC5" s="124"/>
      <c r="AD5" s="121">
        <f>Basistabelle!E96</f>
        <v>0</v>
      </c>
      <c r="AE5" s="124"/>
      <c r="AF5" s="121">
        <f>Basistabelle!F96</f>
        <v>0</v>
      </c>
      <c r="AG5" s="124"/>
      <c r="AH5" s="6"/>
      <c r="AI5" s="19" t="s">
        <v>33</v>
      </c>
      <c r="AJ5" s="121"/>
      <c r="AK5" s="124"/>
      <c r="AL5" s="121"/>
      <c r="AM5" s="124"/>
      <c r="AN5" s="121"/>
      <c r="AO5" s="124"/>
      <c r="AP5" s="6"/>
      <c r="AQ5" s="145" t="str">
        <f t="shared" ca="1" si="5"/>
        <v/>
      </c>
      <c r="AR5" s="121"/>
      <c r="AS5" s="124"/>
      <c r="AT5" s="121"/>
      <c r="AU5" s="124"/>
      <c r="AV5" s="121"/>
      <c r="AW5" s="124"/>
      <c r="AX5" s="6">
        <v>1</v>
      </c>
      <c r="AY5" s="145" t="str">
        <f t="shared" ca="1" si="6"/>
        <v/>
      </c>
      <c r="AZ5" s="125">
        <f>Basistabelle!D187</f>
        <v>0</v>
      </c>
      <c r="BA5" s="124"/>
      <c r="BB5" s="121">
        <f>Basistabelle!E187</f>
        <v>0</v>
      </c>
      <c r="BC5" s="124"/>
      <c r="BD5" s="125">
        <f>Basistabelle!F187</f>
        <v>0</v>
      </c>
      <c r="BE5" s="124"/>
      <c r="BF5" s="21"/>
      <c r="BG5" s="145" t="str">
        <f t="shared" ca="1" si="7"/>
        <v/>
      </c>
      <c r="BH5" s="125"/>
      <c r="BI5" s="124"/>
      <c r="BJ5" s="121"/>
      <c r="BK5" s="124"/>
      <c r="BL5" s="125"/>
      <c r="BM5" s="124"/>
      <c r="BN5" s="6">
        <f>BN4+1</f>
        <v>2</v>
      </c>
      <c r="BO5" s="145" t="str">
        <f t="shared" ca="1" si="8"/>
        <v/>
      </c>
      <c r="BP5" s="125">
        <f>Basistabelle!D250</f>
        <v>0</v>
      </c>
      <c r="BQ5" s="124"/>
      <c r="BR5" s="121">
        <f>Basistabelle!E250</f>
        <v>0</v>
      </c>
      <c r="BS5" s="124"/>
      <c r="BT5" s="125">
        <f>Basistabelle!F250</f>
        <v>0</v>
      </c>
      <c r="BU5" s="124"/>
      <c r="BV5" s="6"/>
      <c r="BW5" s="145" t="str">
        <f t="shared" ca="1" si="9"/>
        <v/>
      </c>
      <c r="BX5" s="125"/>
      <c r="BY5" s="124"/>
      <c r="BZ5" s="121"/>
      <c r="CA5" s="124"/>
      <c r="CB5" s="125"/>
      <c r="CC5" s="124"/>
      <c r="CD5" s="6"/>
      <c r="CE5" s="145" t="str">
        <f t="shared" ca="1" si="10"/>
        <v/>
      </c>
      <c r="CF5" s="125"/>
      <c r="CG5" s="124"/>
      <c r="CH5" s="121"/>
      <c r="CI5" s="124"/>
      <c r="CJ5" s="125"/>
      <c r="CK5" s="124"/>
      <c r="CL5" s="6">
        <f>CL4+1</f>
        <v>2</v>
      </c>
      <c r="CM5" s="145" t="str">
        <f t="shared" ca="1" si="11"/>
        <v/>
      </c>
      <c r="CN5" s="125">
        <f>Basistabelle!D341</f>
        <v>0</v>
      </c>
      <c r="CO5" s="124"/>
      <c r="CP5" s="121">
        <f>Basistabelle!E341</f>
        <v>0</v>
      </c>
      <c r="CQ5" s="124"/>
      <c r="CR5" s="125">
        <f>Basistabelle!F341</f>
        <v>0</v>
      </c>
      <c r="CS5" s="139"/>
    </row>
    <row r="6" spans="1:97" s="2" customFormat="1" x14ac:dyDescent="0.2">
      <c r="A6" s="6" t="s">
        <v>8</v>
      </c>
      <c r="B6" s="8">
        <v>1</v>
      </c>
      <c r="C6" s="145" t="str">
        <f t="shared" ref="C6:C41" ca="1" si="12">IF(B6&gt;0,IF(INDIRECT("Basistabelle!G" &amp; $A$1+B6+C$1)&gt;"",INDIRECT("Basistabelle!G" &amp; $A$1+B6+C$1),IF(INDIRECT("Basistabelle!H" &amp; $A$1+B6+C$1)&gt;"",INDIRECT("Basistabelle!H" &amp; $A$1+B6+C$1),"")),"")</f>
        <v/>
      </c>
      <c r="D6" s="125">
        <f>Basistabelle!D6</f>
        <v>0</v>
      </c>
      <c r="E6" s="124"/>
      <c r="F6" s="121">
        <f>Basistabelle!E6</f>
        <v>0</v>
      </c>
      <c r="G6" s="124"/>
      <c r="H6" s="121">
        <f>Basistabelle!F6</f>
        <v>0</v>
      </c>
      <c r="I6" s="124"/>
      <c r="J6" s="6"/>
      <c r="K6" s="145" t="str">
        <f t="shared" ca="1" si="1"/>
        <v/>
      </c>
      <c r="L6" s="125"/>
      <c r="M6" s="124"/>
      <c r="N6" s="121"/>
      <c r="O6" s="124"/>
      <c r="P6" s="121"/>
      <c r="Q6" s="124"/>
      <c r="R6" s="6"/>
      <c r="S6" s="145" t="str">
        <f t="shared" ca="1" si="2"/>
        <v/>
      </c>
      <c r="T6" s="125"/>
      <c r="U6" s="124"/>
      <c r="V6" s="121"/>
      <c r="W6" s="124"/>
      <c r="X6" s="121"/>
      <c r="Y6" s="124"/>
      <c r="Z6" s="6">
        <f>Z5+1</f>
        <v>2</v>
      </c>
      <c r="AA6" s="145" t="str">
        <f t="shared" ca="1" si="3"/>
        <v/>
      </c>
      <c r="AB6" s="125">
        <f>Basistabelle!D97</f>
        <v>0</v>
      </c>
      <c r="AC6" s="124"/>
      <c r="AD6" s="121">
        <f>Basistabelle!E97</f>
        <v>0</v>
      </c>
      <c r="AE6" s="124"/>
      <c r="AF6" s="121">
        <f>Basistabelle!F97</f>
        <v>0</v>
      </c>
      <c r="AG6" s="124"/>
      <c r="AH6" s="6"/>
      <c r="AI6" s="145" t="str">
        <f t="shared" ref="AI6:AI41" ca="1" si="13">IF(AH6&gt;0,IF(INDIRECT("Basistabelle!G" &amp; $A$1+AH6+AI$1)&gt;"",INDIRECT("Basistabelle!G" &amp; $A$1+AH6+AI$1),IF(INDIRECT("Basistabelle!H" &amp; $A$1+AH6+AI$1)&gt;"",INDIRECT("Basistabelle!H" &amp; $A$1+AH6+AI$1),"")),"")</f>
        <v/>
      </c>
      <c r="AJ6" s="125"/>
      <c r="AK6" s="124"/>
      <c r="AL6" s="121"/>
      <c r="AM6" s="124"/>
      <c r="AN6" s="125"/>
      <c r="AO6" s="144"/>
      <c r="AP6" s="6"/>
      <c r="AQ6" s="145" t="str">
        <f t="shared" ca="1" si="5"/>
        <v/>
      </c>
      <c r="AR6" s="125"/>
      <c r="AS6" s="124"/>
      <c r="AT6" s="121"/>
      <c r="AU6" s="124"/>
      <c r="AV6" s="125"/>
      <c r="AW6" s="144"/>
      <c r="AX6" s="6">
        <f>AX5+1</f>
        <v>2</v>
      </c>
      <c r="AY6" s="145" t="str">
        <f t="shared" ca="1" si="6"/>
        <v/>
      </c>
      <c r="AZ6" s="125">
        <f>Basistabelle!D188</f>
        <v>0</v>
      </c>
      <c r="BA6" s="124"/>
      <c r="BB6" s="121">
        <f>Basistabelle!E188</f>
        <v>0</v>
      </c>
      <c r="BC6" s="124"/>
      <c r="BD6" s="125">
        <f>Basistabelle!F188</f>
        <v>0</v>
      </c>
      <c r="BE6" s="144"/>
      <c r="BF6" s="21"/>
      <c r="BG6" s="145" t="str">
        <f t="shared" ca="1" si="7"/>
        <v/>
      </c>
      <c r="BH6" s="125"/>
      <c r="BI6" s="124"/>
      <c r="BJ6" s="121"/>
      <c r="BK6" s="124"/>
      <c r="BL6" s="125"/>
      <c r="BM6" s="144"/>
      <c r="BN6" s="6">
        <f t="shared" ref="BN6:BN33" si="14">BN5+1</f>
        <v>3</v>
      </c>
      <c r="BO6" s="145" t="str">
        <f t="shared" ca="1" si="8"/>
        <v/>
      </c>
      <c r="BP6" s="125">
        <f>Basistabelle!D251</f>
        <v>0</v>
      </c>
      <c r="BQ6" s="124"/>
      <c r="BR6" s="121">
        <f>Basistabelle!E251</f>
        <v>0</v>
      </c>
      <c r="BS6" s="124"/>
      <c r="BT6" s="125">
        <f>Basistabelle!F251</f>
        <v>0</v>
      </c>
      <c r="BU6" s="144"/>
      <c r="BV6" s="6">
        <v>1</v>
      </c>
      <c r="BW6" s="145" t="str">
        <f t="shared" ca="1" si="9"/>
        <v/>
      </c>
      <c r="BX6" s="125">
        <f>Basistabelle!D279</f>
        <v>0</v>
      </c>
      <c r="BY6" s="124"/>
      <c r="BZ6" s="121">
        <f>Basistabelle!E278</f>
        <v>0</v>
      </c>
      <c r="CA6" s="124"/>
      <c r="CB6" s="125">
        <f>Basistabelle!F279</f>
        <v>0</v>
      </c>
      <c r="CC6" s="144"/>
      <c r="CD6" s="6"/>
      <c r="CE6" s="145" t="str">
        <f t="shared" ca="1" si="10"/>
        <v/>
      </c>
      <c r="CF6" s="125"/>
      <c r="CG6" s="124"/>
      <c r="CH6" s="121"/>
      <c r="CI6" s="124"/>
      <c r="CJ6" s="125"/>
      <c r="CK6" s="144"/>
      <c r="CL6" s="6">
        <f t="shared" ref="CL6:CL34" si="15">CL5+1</f>
        <v>3</v>
      </c>
      <c r="CM6" s="145" t="str">
        <f t="shared" ca="1" si="11"/>
        <v/>
      </c>
      <c r="CN6" s="125">
        <f>Basistabelle!D342</f>
        <v>0</v>
      </c>
      <c r="CO6" s="124"/>
      <c r="CP6" s="121">
        <f>Basistabelle!E342</f>
        <v>0</v>
      </c>
      <c r="CQ6" s="124"/>
      <c r="CR6" s="125">
        <f>Basistabelle!F342</f>
        <v>0</v>
      </c>
      <c r="CS6" s="144"/>
    </row>
    <row r="7" spans="1:97" s="2" customFormat="1" x14ac:dyDescent="0.2">
      <c r="A7" s="6" t="s">
        <v>3</v>
      </c>
      <c r="B7" s="8">
        <f>B6+1</f>
        <v>2</v>
      </c>
      <c r="C7" s="145" t="str">
        <f t="shared" ca="1" si="12"/>
        <v/>
      </c>
      <c r="D7" s="125">
        <f>Basistabelle!D7</f>
        <v>0</v>
      </c>
      <c r="E7" s="124"/>
      <c r="F7" s="121">
        <f>Basistabelle!E7</f>
        <v>0</v>
      </c>
      <c r="G7" s="124"/>
      <c r="H7" s="121">
        <f>Basistabelle!F7</f>
        <v>0</v>
      </c>
      <c r="I7" s="124"/>
      <c r="J7" s="6"/>
      <c r="K7" s="145" t="str">
        <f t="shared" ca="1" si="1"/>
        <v/>
      </c>
      <c r="L7" s="125"/>
      <c r="M7" s="124"/>
      <c r="N7" s="121"/>
      <c r="O7" s="124"/>
      <c r="P7" s="121"/>
      <c r="Q7" s="124"/>
      <c r="R7" s="6"/>
      <c r="S7" s="145" t="str">
        <f t="shared" ca="1" si="2"/>
        <v/>
      </c>
      <c r="T7" s="125"/>
      <c r="U7" s="124"/>
      <c r="V7" s="121"/>
      <c r="W7" s="124"/>
      <c r="X7" s="121"/>
      <c r="Y7" s="124"/>
      <c r="Z7" s="6">
        <f t="shared" ref="Z7:Z34" si="16">Z6+1</f>
        <v>3</v>
      </c>
      <c r="AA7" s="145" t="str">
        <f t="shared" ca="1" si="3"/>
        <v/>
      </c>
      <c r="AB7" s="125">
        <f>Basistabelle!D98</f>
        <v>0</v>
      </c>
      <c r="AC7" s="124"/>
      <c r="AD7" s="121">
        <f>Basistabelle!E98</f>
        <v>0</v>
      </c>
      <c r="AE7" s="124"/>
      <c r="AF7" s="121">
        <f>Basistabelle!F98</f>
        <v>0</v>
      </c>
      <c r="AG7" s="124"/>
      <c r="AH7" s="6">
        <v>1</v>
      </c>
      <c r="AI7" s="145" t="str">
        <f t="shared" ca="1" si="13"/>
        <v/>
      </c>
      <c r="AJ7" s="125">
        <f>Basistabelle!D125</f>
        <v>0</v>
      </c>
      <c r="AK7" s="124"/>
      <c r="AL7" s="121">
        <f>Basistabelle!E126</f>
        <v>0</v>
      </c>
      <c r="AM7" s="124"/>
      <c r="AN7" s="125">
        <f>Basistabelle!F126</f>
        <v>0</v>
      </c>
      <c r="AO7" s="144"/>
      <c r="AP7" s="6"/>
      <c r="AQ7" s="145" t="str">
        <f ca="1">IF(AP7&gt;0,IF(INDIRECT("Basistabelle!G" &amp; $A$1+AP7+AQ$1)&gt;"",INDIRECT("Basistabelle!G" &amp; $A$1+AP7+AQ$1),IF(INDIRECT("Basistabelle!H" &amp; $A$1+AP7+AQ$1)&gt;"",INDIRECT("Basistabelle!H" &amp; $A$1+AP7+AQ$1),"")),"")</f>
        <v/>
      </c>
      <c r="AR7" s="125"/>
      <c r="AS7" s="124"/>
      <c r="AT7" s="121"/>
      <c r="AU7" s="124"/>
      <c r="AV7" s="125"/>
      <c r="AW7" s="144"/>
      <c r="AX7" s="6">
        <f t="shared" ref="AX7:AX35" si="17">AX6+1</f>
        <v>3</v>
      </c>
      <c r="AY7" s="145" t="str">
        <f t="shared" ca="1" si="6"/>
        <v/>
      </c>
      <c r="AZ7" s="125">
        <f>Basistabelle!D189</f>
        <v>0</v>
      </c>
      <c r="BA7" s="124"/>
      <c r="BB7" s="121">
        <f>Basistabelle!E189</f>
        <v>0</v>
      </c>
      <c r="BC7" s="124"/>
      <c r="BD7" s="125">
        <f>Basistabelle!F189</f>
        <v>0</v>
      </c>
      <c r="BE7" s="144"/>
      <c r="BF7" s="21"/>
      <c r="BG7" s="145" t="str">
        <f t="shared" ca="1" si="7"/>
        <v/>
      </c>
      <c r="BH7" s="125"/>
      <c r="BI7" s="124"/>
      <c r="BJ7" s="121"/>
      <c r="BK7" s="124"/>
      <c r="BL7" s="125"/>
      <c r="BM7" s="144"/>
      <c r="BN7" s="6">
        <f t="shared" si="14"/>
        <v>4</v>
      </c>
      <c r="BO7" s="145" t="str">
        <f t="shared" ca="1" si="8"/>
        <v/>
      </c>
      <c r="BP7" s="125">
        <f>Basistabelle!D252</f>
        <v>0</v>
      </c>
      <c r="BQ7" s="124"/>
      <c r="BR7" s="121">
        <f>Basistabelle!E252</f>
        <v>0</v>
      </c>
      <c r="BS7" s="124"/>
      <c r="BT7" s="125">
        <f>Basistabelle!F252</f>
        <v>0</v>
      </c>
      <c r="BU7" s="144"/>
      <c r="BV7" s="6">
        <f>BV6+1</f>
        <v>2</v>
      </c>
      <c r="BW7" s="145" t="str">
        <f t="shared" ca="1" si="9"/>
        <v/>
      </c>
      <c r="BX7" s="125">
        <f>Basistabelle!D280</f>
        <v>0</v>
      </c>
      <c r="BY7" s="124"/>
      <c r="BZ7" s="121">
        <f>Basistabelle!E279</f>
        <v>0</v>
      </c>
      <c r="CA7" s="124"/>
      <c r="CB7" s="125">
        <f>Basistabelle!F280</f>
        <v>0</v>
      </c>
      <c r="CC7" s="144"/>
      <c r="CD7" s="6"/>
      <c r="CE7" s="145" t="str">
        <f t="shared" ca="1" si="10"/>
        <v/>
      </c>
      <c r="CF7" s="125"/>
      <c r="CG7" s="124"/>
      <c r="CH7" s="121"/>
      <c r="CI7" s="124"/>
      <c r="CJ7" s="125"/>
      <c r="CK7" s="144"/>
      <c r="CL7" s="6">
        <f t="shared" si="15"/>
        <v>4</v>
      </c>
      <c r="CM7" s="145" t="str">
        <f t="shared" ca="1" si="11"/>
        <v/>
      </c>
      <c r="CN7" s="125">
        <f>Basistabelle!D343</f>
        <v>0</v>
      </c>
      <c r="CO7" s="124"/>
      <c r="CP7" s="121">
        <f>Basistabelle!E343</f>
        <v>0</v>
      </c>
      <c r="CQ7" s="124"/>
      <c r="CR7" s="125">
        <f>Basistabelle!F343</f>
        <v>0</v>
      </c>
      <c r="CS7" s="144"/>
    </row>
    <row r="8" spans="1:97" s="2" customFormat="1" ht="12.75" customHeight="1" x14ac:dyDescent="0.2">
      <c r="A8" s="9" t="s">
        <v>4</v>
      </c>
      <c r="B8" s="10">
        <f t="shared" ref="B8:B36" si="18">B7+1</f>
        <v>3</v>
      </c>
      <c r="C8" s="145" t="str">
        <f t="shared" ca="1" si="12"/>
        <v/>
      </c>
      <c r="D8" s="126">
        <f>Basistabelle!D8</f>
        <v>0</v>
      </c>
      <c r="E8" s="126"/>
      <c r="F8" s="126">
        <f>Basistabelle!E8</f>
        <v>0</v>
      </c>
      <c r="G8" s="126"/>
      <c r="H8" s="126">
        <f>Basistabelle!F8</f>
        <v>0</v>
      </c>
      <c r="I8" s="126"/>
      <c r="J8" s="51"/>
      <c r="K8" s="145" t="str">
        <f t="shared" ca="1" si="1"/>
        <v/>
      </c>
      <c r="L8" s="126"/>
      <c r="M8" s="126"/>
      <c r="N8" s="126"/>
      <c r="O8" s="126"/>
      <c r="P8" s="126"/>
      <c r="Q8" s="126"/>
      <c r="R8" s="9"/>
      <c r="S8" s="145" t="str">
        <f t="shared" ca="1" si="2"/>
        <v/>
      </c>
      <c r="T8" s="126"/>
      <c r="U8" s="126"/>
      <c r="V8" s="126"/>
      <c r="W8" s="126"/>
      <c r="X8" s="126"/>
      <c r="Y8" s="126"/>
      <c r="Z8" s="9">
        <f t="shared" si="16"/>
        <v>4</v>
      </c>
      <c r="AA8" s="145" t="str">
        <f t="shared" ca="1" si="3"/>
        <v/>
      </c>
      <c r="AB8" s="126">
        <f>Basistabelle!D99</f>
        <v>0</v>
      </c>
      <c r="AC8" s="126"/>
      <c r="AD8" s="126">
        <f>Basistabelle!E99</f>
        <v>0</v>
      </c>
      <c r="AE8" s="126"/>
      <c r="AF8" s="126">
        <f>Basistabelle!F99</f>
        <v>0</v>
      </c>
      <c r="AG8" s="126"/>
      <c r="AH8" s="9">
        <f>AH7+1</f>
        <v>2</v>
      </c>
      <c r="AI8" s="145" t="str">
        <f t="shared" ca="1" si="13"/>
        <v/>
      </c>
      <c r="AJ8" s="126">
        <f>Basistabelle!D126</f>
        <v>0</v>
      </c>
      <c r="AK8" s="126"/>
      <c r="AL8" s="126">
        <f>Basistabelle!E127</f>
        <v>0</v>
      </c>
      <c r="AM8" s="126"/>
      <c r="AN8" s="126">
        <f>Basistabelle!F127</f>
        <v>0</v>
      </c>
      <c r="AO8" s="126"/>
      <c r="AP8" s="9"/>
      <c r="AQ8" s="145" t="str">
        <f t="shared" ca="1" si="5"/>
        <v/>
      </c>
      <c r="AR8" s="126"/>
      <c r="AS8" s="126"/>
      <c r="AT8" s="126">
        <f>Basistabelle!Q127</f>
        <v>0</v>
      </c>
      <c r="AU8" s="126"/>
      <c r="AV8" s="126">
        <f>Basistabelle!R127</f>
        <v>0</v>
      </c>
      <c r="AW8" s="126"/>
      <c r="AX8" s="9">
        <f t="shared" si="17"/>
        <v>4</v>
      </c>
      <c r="AY8" s="145" t="str">
        <f t="shared" ca="1" si="6"/>
        <v/>
      </c>
      <c r="AZ8" s="126">
        <f>Basistabelle!D190</f>
        <v>0</v>
      </c>
      <c r="BA8" s="126"/>
      <c r="BB8" s="126">
        <f>Basistabelle!E190</f>
        <v>0</v>
      </c>
      <c r="BC8" s="126"/>
      <c r="BD8" s="126">
        <f>Basistabelle!F190</f>
        <v>0</v>
      </c>
      <c r="BE8" s="126"/>
      <c r="BF8" s="22">
        <v>1</v>
      </c>
      <c r="BG8" s="145" t="str">
        <f t="shared" ca="1" si="7"/>
        <v/>
      </c>
      <c r="BH8" s="126">
        <f>Basistabelle!D217</f>
        <v>0</v>
      </c>
      <c r="BI8" s="126"/>
      <c r="BJ8" s="126">
        <f>Basistabelle!E217</f>
        <v>0</v>
      </c>
      <c r="BK8" s="126"/>
      <c r="BL8" s="126">
        <f>Basistabelle!F217</f>
        <v>0</v>
      </c>
      <c r="BM8" s="126"/>
      <c r="BN8" s="9">
        <f t="shared" si="14"/>
        <v>5</v>
      </c>
      <c r="BO8" s="145" t="str">
        <f t="shared" ca="1" si="8"/>
        <v/>
      </c>
      <c r="BP8" s="126">
        <f>Basistabelle!D253</f>
        <v>0</v>
      </c>
      <c r="BQ8" s="126"/>
      <c r="BR8" s="126">
        <f>Basistabelle!E253</f>
        <v>0</v>
      </c>
      <c r="BS8" s="126"/>
      <c r="BT8" s="126">
        <f>Basistabelle!F253</f>
        <v>0</v>
      </c>
      <c r="BU8" s="126"/>
      <c r="BV8" s="9">
        <f t="shared" ref="BV8:BV36" si="19">BV7+1</f>
        <v>3</v>
      </c>
      <c r="BW8" s="145" t="str">
        <f t="shared" ca="1" si="9"/>
        <v/>
      </c>
      <c r="BX8" s="126">
        <f>Basistabelle!D281</f>
        <v>0</v>
      </c>
      <c r="BY8" s="126"/>
      <c r="BZ8" s="126">
        <f>Basistabelle!E280</f>
        <v>0</v>
      </c>
      <c r="CA8" s="126"/>
      <c r="CB8" s="126">
        <f>Basistabelle!F281</f>
        <v>0</v>
      </c>
      <c r="CC8" s="126"/>
      <c r="CD8" s="9"/>
      <c r="CE8" s="145" t="str">
        <f t="shared" ca="1" si="10"/>
        <v/>
      </c>
      <c r="CF8" s="126"/>
      <c r="CG8" s="126"/>
      <c r="CH8" s="126"/>
      <c r="CI8" s="126"/>
      <c r="CJ8" s="126"/>
      <c r="CK8" s="126"/>
      <c r="CL8" s="9">
        <f t="shared" si="15"/>
        <v>5</v>
      </c>
      <c r="CM8" s="145" t="str">
        <f t="shared" ca="1" si="11"/>
        <v/>
      </c>
      <c r="CN8" s="126">
        <f>Basistabelle!D344</f>
        <v>0</v>
      </c>
      <c r="CO8" s="126"/>
      <c r="CP8" s="126">
        <f>Basistabelle!E344</f>
        <v>0</v>
      </c>
      <c r="CQ8" s="126"/>
      <c r="CR8" s="126">
        <f>Basistabelle!F344</f>
        <v>0</v>
      </c>
      <c r="CS8" s="140"/>
    </row>
    <row r="9" spans="1:97" s="2" customFormat="1" x14ac:dyDescent="0.2">
      <c r="A9" s="9" t="s">
        <v>5</v>
      </c>
      <c r="B9" s="10">
        <f t="shared" si="18"/>
        <v>4</v>
      </c>
      <c r="C9" s="145" t="str">
        <f t="shared" ca="1" si="12"/>
        <v/>
      </c>
      <c r="D9" s="126">
        <f>Basistabelle!D9</f>
        <v>0</v>
      </c>
      <c r="E9" s="126"/>
      <c r="F9" s="126">
        <f>Basistabelle!E9</f>
        <v>0</v>
      </c>
      <c r="G9" s="126"/>
      <c r="H9" s="126">
        <f>Basistabelle!F9</f>
        <v>0</v>
      </c>
      <c r="I9" s="126"/>
      <c r="J9" s="51">
        <v>1</v>
      </c>
      <c r="K9" s="145" t="str">
        <f t="shared" ca="1" si="1"/>
        <v/>
      </c>
      <c r="L9" s="126">
        <f>Basistabelle!D37</f>
        <v>0</v>
      </c>
      <c r="M9" s="127"/>
      <c r="N9" s="126">
        <f>Basistabelle!E37</f>
        <v>0</v>
      </c>
      <c r="O9" s="127"/>
      <c r="P9" s="127">
        <f>Basistabelle!F37</f>
        <v>0</v>
      </c>
      <c r="Q9" s="126"/>
      <c r="R9" s="9">
        <v>1</v>
      </c>
      <c r="S9" s="145" t="str">
        <f t="shared" ca="1" si="2"/>
        <v/>
      </c>
      <c r="T9" s="126">
        <f>Basistabelle!D65</f>
        <v>0</v>
      </c>
      <c r="U9" s="127"/>
      <c r="V9" s="126">
        <f>Basistabelle!E65</f>
        <v>0</v>
      </c>
      <c r="W9" s="127"/>
      <c r="X9" s="127">
        <f>Basistabelle!F65</f>
        <v>0</v>
      </c>
      <c r="Y9" s="126"/>
      <c r="Z9" s="9">
        <f t="shared" si="16"/>
        <v>5</v>
      </c>
      <c r="AA9" s="145" t="str">
        <f t="shared" ca="1" si="3"/>
        <v/>
      </c>
      <c r="AB9" s="126">
        <f>Basistabelle!D100</f>
        <v>0</v>
      </c>
      <c r="AC9" s="127"/>
      <c r="AD9" s="126">
        <f>Basistabelle!E100</f>
        <v>0</v>
      </c>
      <c r="AE9" s="127"/>
      <c r="AF9" s="127">
        <f>Basistabelle!F100</f>
        <v>0</v>
      </c>
      <c r="AG9" s="126"/>
      <c r="AH9" s="9">
        <f t="shared" ref="AH9:AH37" si="20">AH8+1</f>
        <v>3</v>
      </c>
      <c r="AI9" s="145" t="str">
        <f t="shared" ca="1" si="13"/>
        <v/>
      </c>
      <c r="AJ9" s="126">
        <f>Basistabelle!D127</f>
        <v>0</v>
      </c>
      <c r="AK9" s="127"/>
      <c r="AL9" s="126">
        <f>Basistabelle!E128</f>
        <v>0</v>
      </c>
      <c r="AM9" s="127"/>
      <c r="AN9" s="127">
        <f>Basistabelle!F128</f>
        <v>0</v>
      </c>
      <c r="AO9" s="126"/>
      <c r="AP9" s="9"/>
      <c r="AQ9" s="145" t="str">
        <f t="shared" ca="1" si="5"/>
        <v/>
      </c>
      <c r="AR9" s="126"/>
      <c r="AS9" s="127"/>
      <c r="AT9" s="126">
        <f>Basistabelle!Q128</f>
        <v>0</v>
      </c>
      <c r="AU9" s="127"/>
      <c r="AV9" s="127">
        <f>Basistabelle!R128</f>
        <v>0</v>
      </c>
      <c r="AW9" s="126"/>
      <c r="AX9" s="9">
        <f t="shared" si="17"/>
        <v>5</v>
      </c>
      <c r="AY9" s="145" t="str">
        <f t="shared" ca="1" si="6"/>
        <v/>
      </c>
      <c r="AZ9" s="126">
        <f>Basistabelle!D191</f>
        <v>0</v>
      </c>
      <c r="BA9" s="127"/>
      <c r="BB9" s="126">
        <f>Basistabelle!E191</f>
        <v>0</v>
      </c>
      <c r="BC9" s="127"/>
      <c r="BD9" s="127">
        <f>Basistabelle!F191</f>
        <v>0</v>
      </c>
      <c r="BE9" s="126"/>
      <c r="BF9" s="9">
        <f>BF8+1</f>
        <v>2</v>
      </c>
      <c r="BG9" s="145" t="str">
        <f t="shared" ca="1" si="7"/>
        <v/>
      </c>
      <c r="BH9" s="126">
        <f>Basistabelle!D218</f>
        <v>0</v>
      </c>
      <c r="BI9" s="127"/>
      <c r="BJ9" s="126">
        <f>Basistabelle!E218</f>
        <v>0</v>
      </c>
      <c r="BK9" s="127"/>
      <c r="BL9" s="127">
        <f>Basistabelle!F218</f>
        <v>0</v>
      </c>
      <c r="BM9" s="126"/>
      <c r="BN9" s="9">
        <f t="shared" si="14"/>
        <v>6</v>
      </c>
      <c r="BO9" s="145" t="str">
        <f t="shared" ca="1" si="8"/>
        <v/>
      </c>
      <c r="BP9" s="126">
        <f>Basistabelle!D254</f>
        <v>0</v>
      </c>
      <c r="BQ9" s="127"/>
      <c r="BR9" s="126">
        <f>Basistabelle!E254</f>
        <v>0</v>
      </c>
      <c r="BS9" s="127"/>
      <c r="BT9" s="127">
        <f>Basistabelle!F254</f>
        <v>0</v>
      </c>
      <c r="BU9" s="126"/>
      <c r="BV9" s="9">
        <f t="shared" si="19"/>
        <v>4</v>
      </c>
      <c r="BW9" s="145" t="str">
        <f t="shared" ca="1" si="9"/>
        <v/>
      </c>
      <c r="BX9" s="126">
        <f>Basistabelle!D282</f>
        <v>0</v>
      </c>
      <c r="BY9" s="127"/>
      <c r="BZ9" s="126">
        <f>Basistabelle!E281</f>
        <v>0</v>
      </c>
      <c r="CA9" s="127"/>
      <c r="CB9" s="127">
        <f>Basistabelle!F282</f>
        <v>0</v>
      </c>
      <c r="CC9" s="126"/>
      <c r="CD9" s="9">
        <v>1</v>
      </c>
      <c r="CE9" s="145" t="str">
        <f t="shared" ca="1" si="10"/>
        <v/>
      </c>
      <c r="CF9" s="126">
        <f>Basistabelle!D310</f>
        <v>0</v>
      </c>
      <c r="CG9" s="127"/>
      <c r="CH9" s="126">
        <f>Basistabelle!E310</f>
        <v>0</v>
      </c>
      <c r="CI9" s="127"/>
      <c r="CJ9" s="127">
        <f>Basistabelle!F310</f>
        <v>0</v>
      </c>
      <c r="CK9" s="126"/>
      <c r="CL9" s="9">
        <f t="shared" si="15"/>
        <v>6</v>
      </c>
      <c r="CM9" s="145" t="str">
        <f t="shared" ca="1" si="11"/>
        <v/>
      </c>
      <c r="CN9" s="126">
        <f>Basistabelle!D345</f>
        <v>0</v>
      </c>
      <c r="CO9" s="127"/>
      <c r="CP9" s="126">
        <f>Basistabelle!E345</f>
        <v>0</v>
      </c>
      <c r="CQ9" s="127"/>
      <c r="CR9" s="127">
        <f>Basistabelle!F345</f>
        <v>0</v>
      </c>
      <c r="CS9" s="140"/>
    </row>
    <row r="10" spans="1:97" s="2" customFormat="1" ht="14.5" customHeight="1" x14ac:dyDescent="0.2">
      <c r="A10" s="6" t="s">
        <v>25</v>
      </c>
      <c r="B10" s="8">
        <f t="shared" si="18"/>
        <v>5</v>
      </c>
      <c r="C10" s="145" t="str">
        <f t="shared" ca="1" si="12"/>
        <v/>
      </c>
      <c r="D10" s="169">
        <v>2</v>
      </c>
      <c r="E10" s="169"/>
      <c r="F10" s="169"/>
      <c r="G10" s="169"/>
      <c r="H10" s="169"/>
      <c r="I10" s="170"/>
      <c r="J10" s="6">
        <f>J9+1</f>
        <v>2</v>
      </c>
      <c r="K10" s="145" t="str">
        <f t="shared" ca="1" si="1"/>
        <v/>
      </c>
      <c r="L10" s="125">
        <f>Basistabelle!D38</f>
        <v>0</v>
      </c>
      <c r="M10" s="124"/>
      <c r="N10" s="126" t="e">
        <f>Basistabelle!#REF!</f>
        <v>#REF!</v>
      </c>
      <c r="O10" s="124"/>
      <c r="P10" s="125">
        <f>Basistabelle!F38</f>
        <v>0</v>
      </c>
      <c r="Q10" s="124"/>
      <c r="R10" s="18">
        <f>R9+1</f>
        <v>2</v>
      </c>
      <c r="S10" s="145" t="str">
        <f t="shared" ca="1" si="2"/>
        <v/>
      </c>
      <c r="T10" s="167">
        <v>10</v>
      </c>
      <c r="U10" s="167"/>
      <c r="V10" s="167"/>
      <c r="W10" s="167"/>
      <c r="X10" s="167"/>
      <c r="Y10" s="168"/>
      <c r="Z10" s="18">
        <f t="shared" si="16"/>
        <v>6</v>
      </c>
      <c r="AA10" s="145" t="str">
        <f t="shared" ca="1" si="3"/>
        <v/>
      </c>
      <c r="AB10" s="125">
        <f>Basistabelle!D101</f>
        <v>0</v>
      </c>
      <c r="AC10" s="124"/>
      <c r="AD10" s="121" t="e">
        <f>Basistabelle!#REF!</f>
        <v>#REF!</v>
      </c>
      <c r="AE10" s="124"/>
      <c r="AF10" s="125">
        <f>Basistabelle!F101</f>
        <v>0</v>
      </c>
      <c r="AG10" s="144"/>
      <c r="AH10" s="18">
        <f t="shared" si="20"/>
        <v>4</v>
      </c>
      <c r="AI10" s="145" t="str">
        <f t="shared" ca="1" si="13"/>
        <v/>
      </c>
      <c r="AJ10" s="167">
        <v>19</v>
      </c>
      <c r="AK10" s="167"/>
      <c r="AL10" s="167"/>
      <c r="AM10" s="167"/>
      <c r="AN10" s="167"/>
      <c r="AO10" s="168"/>
      <c r="AP10" s="18">
        <v>1</v>
      </c>
      <c r="AQ10" s="145" t="str">
        <f ca="1">IF(AP10&gt;0,IF(INDIRECT("Basistabelle!G" &amp; $A$1+AP10+AQ$1)&gt;"",INDIRECT("Basistabelle!G" &amp; $A$1+AP10+AQ$1),IF(INDIRECT("Basistabelle!H" &amp; $A$1+AP10+AQ$1)&gt;"",INDIRECT("Basistabelle!H" &amp; $A$1+AP10+AQ$1),"")),"")</f>
        <v/>
      </c>
      <c r="AR10" s="167">
        <v>23</v>
      </c>
      <c r="AS10" s="167"/>
      <c r="AT10" s="167"/>
      <c r="AU10" s="167"/>
      <c r="AV10" s="167"/>
      <c r="AW10" s="168"/>
      <c r="AX10" s="18">
        <f t="shared" si="17"/>
        <v>6</v>
      </c>
      <c r="AY10" s="145" t="str">
        <f t="shared" ca="1" si="6"/>
        <v/>
      </c>
      <c r="AZ10" s="125">
        <f>Basistabelle!D192</f>
        <v>0</v>
      </c>
      <c r="BA10" s="124"/>
      <c r="BB10" s="121" t="e">
        <f>Basistabelle!#REF!</f>
        <v>#REF!</v>
      </c>
      <c r="BC10" s="124"/>
      <c r="BD10" s="125" t="e">
        <f>Basistabelle!#REF!</f>
        <v>#REF!</v>
      </c>
      <c r="BE10" s="144"/>
      <c r="BF10" s="21">
        <f t="shared" ref="BF10:BF38" si="21">BF9+1</f>
        <v>3</v>
      </c>
      <c r="BG10" s="145" t="str">
        <f t="shared" ca="1" si="7"/>
        <v/>
      </c>
      <c r="BH10" s="125">
        <f>Basistabelle!D219</f>
        <v>0</v>
      </c>
      <c r="BI10" s="124"/>
      <c r="BJ10" s="121">
        <f>Basistabelle!E219</f>
        <v>0</v>
      </c>
      <c r="BK10" s="124"/>
      <c r="BL10" s="125">
        <f>Basistabelle!F219</f>
        <v>0</v>
      </c>
      <c r="BM10" s="144"/>
      <c r="BN10" s="18">
        <f t="shared" si="14"/>
        <v>7</v>
      </c>
      <c r="BO10" s="145" t="str">
        <f t="shared" ca="1" si="8"/>
        <v/>
      </c>
      <c r="BP10" s="167">
        <v>37</v>
      </c>
      <c r="BQ10" s="167"/>
      <c r="BR10" s="167"/>
      <c r="BS10" s="167"/>
      <c r="BT10" s="167"/>
      <c r="BU10" s="168"/>
      <c r="BV10" s="18">
        <f t="shared" si="19"/>
        <v>5</v>
      </c>
      <c r="BW10" s="145" t="str">
        <f t="shared" ca="1" si="9"/>
        <v/>
      </c>
      <c r="BX10" s="125" t="e">
        <f>Basistabelle!#REF!</f>
        <v>#REF!</v>
      </c>
      <c r="BY10" s="124"/>
      <c r="BZ10" s="121">
        <f>Basistabelle!E282</f>
        <v>0</v>
      </c>
      <c r="CA10" s="124"/>
      <c r="CB10" s="125">
        <f>Basistabelle!F283</f>
        <v>0</v>
      </c>
      <c r="CC10" s="144"/>
      <c r="CD10" s="18">
        <f>CD9+1</f>
        <v>2</v>
      </c>
      <c r="CE10" s="145" t="str">
        <f t="shared" ca="1" si="10"/>
        <v/>
      </c>
      <c r="CF10" s="167">
        <v>45</v>
      </c>
      <c r="CG10" s="167"/>
      <c r="CH10" s="167"/>
      <c r="CI10" s="167"/>
      <c r="CJ10" s="167"/>
      <c r="CK10" s="168"/>
      <c r="CL10" s="6">
        <f t="shared" si="15"/>
        <v>7</v>
      </c>
      <c r="CM10" s="145" t="str">
        <f t="shared" ca="1" si="11"/>
        <v/>
      </c>
      <c r="CN10" s="167">
        <v>50</v>
      </c>
      <c r="CO10" s="167"/>
      <c r="CP10" s="167"/>
      <c r="CQ10" s="167"/>
      <c r="CR10" s="167"/>
      <c r="CS10" s="168"/>
    </row>
    <row r="11" spans="1:97" s="2" customFormat="1" x14ac:dyDescent="0.2">
      <c r="A11" s="6" t="s">
        <v>6</v>
      </c>
      <c r="B11" s="8">
        <f t="shared" si="18"/>
        <v>6</v>
      </c>
      <c r="C11" s="145" t="str">
        <f t="shared" ca="1" si="12"/>
        <v/>
      </c>
      <c r="D11" s="125">
        <f>Basistabelle!D11</f>
        <v>0</v>
      </c>
      <c r="E11" s="124"/>
      <c r="F11" s="121">
        <f>Basistabelle!E11</f>
        <v>0</v>
      </c>
      <c r="G11" s="124"/>
      <c r="H11" s="125">
        <f>Basistabelle!F11</f>
        <v>0</v>
      </c>
      <c r="I11" s="124"/>
      <c r="J11" s="6">
        <f t="shared" ref="J11:J36" si="22">J10+1</f>
        <v>3</v>
      </c>
      <c r="K11" s="145" t="str">
        <f t="shared" ca="1" si="1"/>
        <v/>
      </c>
      <c r="L11" s="125">
        <f>Basistabelle!D39</f>
        <v>0</v>
      </c>
      <c r="M11" s="124"/>
      <c r="N11" s="126">
        <f>Basistabelle!E38</f>
        <v>0</v>
      </c>
      <c r="O11" s="124"/>
      <c r="P11" s="125">
        <f>Basistabelle!F39</f>
        <v>0</v>
      </c>
      <c r="Q11" s="124"/>
      <c r="R11" s="6">
        <f t="shared" ref="R11:R39" si="23">R10+1</f>
        <v>3</v>
      </c>
      <c r="S11" s="145" t="str">
        <f t="shared" ca="1" si="2"/>
        <v/>
      </c>
      <c r="T11" s="125">
        <f>Basistabelle!D67</f>
        <v>0</v>
      </c>
      <c r="U11" s="124"/>
      <c r="V11" s="121">
        <f>Basistabelle!E67</f>
        <v>0</v>
      </c>
      <c r="W11" s="124"/>
      <c r="X11" s="125">
        <f>Basistabelle!F67</f>
        <v>0</v>
      </c>
      <c r="Y11" s="124"/>
      <c r="Z11" s="6">
        <f t="shared" si="16"/>
        <v>7</v>
      </c>
      <c r="AA11" s="145" t="str">
        <f t="shared" ca="1" si="3"/>
        <v/>
      </c>
      <c r="AB11" s="125">
        <f>Basistabelle!D102</f>
        <v>0</v>
      </c>
      <c r="AC11" s="124"/>
      <c r="AD11" s="121">
        <f>Basistabelle!E101</f>
        <v>0</v>
      </c>
      <c r="AE11" s="124"/>
      <c r="AF11" s="125">
        <f>Basistabelle!F102</f>
        <v>0</v>
      </c>
      <c r="AG11" s="124"/>
      <c r="AH11" s="6">
        <f t="shared" si="20"/>
        <v>5</v>
      </c>
      <c r="AI11" s="145" t="str">
        <f t="shared" ca="1" si="13"/>
        <v/>
      </c>
      <c r="AJ11" s="125">
        <f>Basistabelle!D129</f>
        <v>0</v>
      </c>
      <c r="AK11" s="124"/>
      <c r="AL11" s="121">
        <f>Basistabelle!E130</f>
        <v>0</v>
      </c>
      <c r="AM11" s="124"/>
      <c r="AN11" s="125">
        <f>Basistabelle!F130</f>
        <v>0</v>
      </c>
      <c r="AO11" s="124"/>
      <c r="AP11" s="6">
        <f>AP10+1</f>
        <v>2</v>
      </c>
      <c r="AQ11" s="145" t="str">
        <f t="shared" ca="1" si="5"/>
        <v/>
      </c>
      <c r="AR11" s="125">
        <f>Basistabelle!D158</f>
        <v>0</v>
      </c>
      <c r="AS11" s="124"/>
      <c r="AT11" s="121">
        <f>Basistabelle!E158</f>
        <v>0</v>
      </c>
      <c r="AU11" s="124"/>
      <c r="AV11" s="125">
        <f>Basistabelle!F158</f>
        <v>0</v>
      </c>
      <c r="AW11" s="124"/>
      <c r="AX11" s="6">
        <f t="shared" si="17"/>
        <v>7</v>
      </c>
      <c r="AY11" s="145" t="str">
        <f t="shared" ca="1" si="6"/>
        <v/>
      </c>
      <c r="AZ11" s="125">
        <f>Basistabelle!D193</f>
        <v>0</v>
      </c>
      <c r="BA11" s="124"/>
      <c r="BB11" s="121">
        <f>Basistabelle!E192</f>
        <v>0</v>
      </c>
      <c r="BC11" s="124"/>
      <c r="BD11" s="125">
        <f>Basistabelle!F192</f>
        <v>0</v>
      </c>
      <c r="BE11" s="124"/>
      <c r="BF11" s="21">
        <f t="shared" si="21"/>
        <v>4</v>
      </c>
      <c r="BG11" s="145" t="str">
        <f t="shared" ca="1" si="7"/>
        <v/>
      </c>
      <c r="BH11" s="125">
        <f>Basistabelle!D220</f>
        <v>0</v>
      </c>
      <c r="BI11" s="124"/>
      <c r="BJ11" s="121">
        <f>Basistabelle!E220</f>
        <v>0</v>
      </c>
      <c r="BK11" s="124"/>
      <c r="BL11" s="125">
        <f>Basistabelle!F220</f>
        <v>0</v>
      </c>
      <c r="BM11" s="124"/>
      <c r="BN11" s="6">
        <f t="shared" si="14"/>
        <v>8</v>
      </c>
      <c r="BO11" s="145" t="str">
        <f t="shared" ca="1" si="8"/>
        <v/>
      </c>
      <c r="BP11" s="125">
        <f>Basistabelle!D256</f>
        <v>0</v>
      </c>
      <c r="BQ11" s="124"/>
      <c r="BR11" s="121">
        <f>Basistabelle!E256</f>
        <v>0</v>
      </c>
      <c r="BS11" s="124"/>
      <c r="BT11" s="125">
        <f>Basistabelle!F256</f>
        <v>0</v>
      </c>
      <c r="BU11" s="124"/>
      <c r="BV11" s="6">
        <f t="shared" si="19"/>
        <v>6</v>
      </c>
      <c r="BW11" s="145" t="str">
        <f t="shared" ca="1" si="9"/>
        <v/>
      </c>
      <c r="BX11" s="125">
        <f>Basistabelle!D283</f>
        <v>0</v>
      </c>
      <c r="BY11" s="124"/>
      <c r="BZ11" s="121">
        <f>Basistabelle!E283</f>
        <v>0</v>
      </c>
      <c r="CA11" s="124"/>
      <c r="CB11" s="125">
        <f>Basistabelle!F284</f>
        <v>0</v>
      </c>
      <c r="CC11" s="124"/>
      <c r="CD11" s="6">
        <f t="shared" ref="CD11:CD38" si="24">CD10+1</f>
        <v>3</v>
      </c>
      <c r="CE11" s="145" t="str">
        <f t="shared" ca="1" si="10"/>
        <v/>
      </c>
      <c r="CF11" s="125">
        <f>Basistabelle!D312</f>
        <v>0</v>
      </c>
      <c r="CG11" s="124"/>
      <c r="CH11" s="121">
        <f>Basistabelle!E312</f>
        <v>0</v>
      </c>
      <c r="CI11" s="124"/>
      <c r="CJ11" s="125">
        <f>Basistabelle!F312</f>
        <v>0</v>
      </c>
      <c r="CK11" s="124"/>
      <c r="CL11" s="6">
        <f t="shared" si="15"/>
        <v>8</v>
      </c>
      <c r="CM11" s="145" t="str">
        <f t="shared" ca="1" si="11"/>
        <v/>
      </c>
      <c r="CN11" s="125">
        <f>Basistabelle!D347</f>
        <v>0</v>
      </c>
      <c r="CO11" s="124"/>
      <c r="CP11" s="121">
        <f>Basistabelle!E347</f>
        <v>0</v>
      </c>
      <c r="CQ11" s="124"/>
      <c r="CR11" s="125">
        <f>Basistabelle!F347</f>
        <v>0</v>
      </c>
      <c r="CS11" s="139"/>
    </row>
    <row r="12" spans="1:97" s="2" customFormat="1" x14ac:dyDescent="0.2">
      <c r="A12" s="6" t="s">
        <v>7</v>
      </c>
      <c r="B12" s="8">
        <f t="shared" si="18"/>
        <v>7</v>
      </c>
      <c r="C12" s="145" t="str">
        <f t="shared" ca="1" si="12"/>
        <v/>
      </c>
      <c r="D12" s="125">
        <f>Basistabelle!D12</f>
        <v>0</v>
      </c>
      <c r="E12" s="124"/>
      <c r="F12" s="121">
        <f>Basistabelle!E12</f>
        <v>0</v>
      </c>
      <c r="G12" s="124"/>
      <c r="H12" s="125">
        <f>Basistabelle!F12</f>
        <v>0</v>
      </c>
      <c r="I12" s="124"/>
      <c r="J12" s="6">
        <f t="shared" si="22"/>
        <v>4</v>
      </c>
      <c r="K12" s="145" t="str">
        <f t="shared" ca="1" si="1"/>
        <v/>
      </c>
      <c r="L12" s="125">
        <f>Basistabelle!D40</f>
        <v>0</v>
      </c>
      <c r="M12" s="124"/>
      <c r="N12" s="126">
        <f>Basistabelle!E39</f>
        <v>0</v>
      </c>
      <c r="O12" s="124"/>
      <c r="P12" s="125">
        <f>Basistabelle!F40</f>
        <v>0</v>
      </c>
      <c r="Q12" s="124"/>
      <c r="R12" s="6">
        <f t="shared" si="23"/>
        <v>4</v>
      </c>
      <c r="S12" s="145" t="str">
        <f t="shared" ca="1" si="2"/>
        <v/>
      </c>
      <c r="T12" s="125">
        <f>Basistabelle!D68</f>
        <v>0</v>
      </c>
      <c r="U12" s="124"/>
      <c r="V12" s="121">
        <f>Basistabelle!E68</f>
        <v>0</v>
      </c>
      <c r="W12" s="124"/>
      <c r="X12" s="125">
        <f>Basistabelle!F68</f>
        <v>0</v>
      </c>
      <c r="Y12" s="124"/>
      <c r="Z12" s="6">
        <f t="shared" si="16"/>
        <v>8</v>
      </c>
      <c r="AA12" s="145" t="str">
        <f t="shared" ca="1" si="3"/>
        <v/>
      </c>
      <c r="AB12" s="125">
        <f>Basistabelle!D103</f>
        <v>0</v>
      </c>
      <c r="AC12" s="124"/>
      <c r="AD12" s="121">
        <f>Basistabelle!E102</f>
        <v>0</v>
      </c>
      <c r="AE12" s="124"/>
      <c r="AF12" s="125">
        <f>Basistabelle!F103</f>
        <v>0</v>
      </c>
      <c r="AG12" s="124"/>
      <c r="AH12" s="6">
        <f t="shared" si="20"/>
        <v>6</v>
      </c>
      <c r="AI12" s="145" t="str">
        <f t="shared" ca="1" si="13"/>
        <v/>
      </c>
      <c r="AJ12" s="125">
        <f>Basistabelle!D130</f>
        <v>0</v>
      </c>
      <c r="AK12" s="124"/>
      <c r="AL12" s="121">
        <f>Basistabelle!E131</f>
        <v>0</v>
      </c>
      <c r="AM12" s="124"/>
      <c r="AN12" s="125">
        <f>Basistabelle!F131</f>
        <v>0</v>
      </c>
      <c r="AO12" s="124"/>
      <c r="AP12" s="6">
        <f t="shared" ref="AP12:AP39" si="25">AP11+1</f>
        <v>3</v>
      </c>
      <c r="AQ12" s="145" t="str">
        <f t="shared" ca="1" si="5"/>
        <v/>
      </c>
      <c r="AR12" s="125">
        <f>Basistabelle!D159</f>
        <v>0</v>
      </c>
      <c r="AS12" s="124"/>
      <c r="AT12" s="121">
        <f>Basistabelle!E159</f>
        <v>0</v>
      </c>
      <c r="AU12" s="124"/>
      <c r="AV12" s="125">
        <f>Basistabelle!F159</f>
        <v>0</v>
      </c>
      <c r="AW12" s="124"/>
      <c r="AX12" s="6">
        <f t="shared" si="17"/>
        <v>8</v>
      </c>
      <c r="AY12" s="145" t="str">
        <f ca="1">IF(AX12&gt;0,IF(INDIRECT("Basistabelle!G" &amp; $A$1+AX12+AY$1)&gt;"",INDIRECT("Basistabelle!G" &amp; $A$1+AX12+AY$1),IF(INDIRECT("Basistabelle!H" &amp; $A$1+AX12+AY$1)&gt;"",INDIRECT("Basistabelle!H" &amp; $A$1+AX12+AY$1),"")),"")</f>
        <v/>
      </c>
      <c r="AZ12" s="125">
        <f>Basistabelle!D194</f>
        <v>0</v>
      </c>
      <c r="BA12" s="124"/>
      <c r="BB12" s="121">
        <f>Basistabelle!E193</f>
        <v>0</v>
      </c>
      <c r="BC12" s="124"/>
      <c r="BD12" s="125">
        <f>Basistabelle!F193</f>
        <v>0</v>
      </c>
      <c r="BE12" s="124"/>
      <c r="BF12" s="21">
        <f t="shared" si="21"/>
        <v>5</v>
      </c>
      <c r="BG12" s="145" t="str">
        <f t="shared" ca="1" si="7"/>
        <v/>
      </c>
      <c r="BH12" s="125">
        <f>Basistabelle!D221</f>
        <v>0</v>
      </c>
      <c r="BI12" s="124"/>
      <c r="BJ12" s="121">
        <f>Basistabelle!E221</f>
        <v>0</v>
      </c>
      <c r="BK12" s="124"/>
      <c r="BL12" s="125">
        <f>Basistabelle!F221</f>
        <v>0</v>
      </c>
      <c r="BM12" s="124"/>
      <c r="BN12" s="6">
        <f t="shared" si="14"/>
        <v>9</v>
      </c>
      <c r="BO12" s="145" t="str">
        <f t="shared" ca="1" si="8"/>
        <v/>
      </c>
      <c r="BP12" s="125">
        <f>Basistabelle!D257</f>
        <v>0</v>
      </c>
      <c r="BQ12" s="124"/>
      <c r="BR12" s="121">
        <f>Basistabelle!E257</f>
        <v>0</v>
      </c>
      <c r="BS12" s="124"/>
      <c r="BT12" s="125">
        <f>Basistabelle!F257</f>
        <v>0</v>
      </c>
      <c r="BU12" s="124"/>
      <c r="BV12" s="6">
        <f t="shared" si="19"/>
        <v>7</v>
      </c>
      <c r="BW12" s="145" t="str">
        <f t="shared" ca="1" si="9"/>
        <v/>
      </c>
      <c r="BX12" s="125">
        <f>Basistabelle!D284</f>
        <v>0</v>
      </c>
      <c r="BY12" s="124"/>
      <c r="BZ12" s="121">
        <f>Basistabelle!E284</f>
        <v>0</v>
      </c>
      <c r="CA12" s="124"/>
      <c r="CB12" s="125">
        <f>Basistabelle!F285</f>
        <v>0</v>
      </c>
      <c r="CC12" s="124"/>
      <c r="CD12" s="6">
        <f t="shared" si="24"/>
        <v>4</v>
      </c>
      <c r="CE12" s="145" t="str">
        <f t="shared" ca="1" si="10"/>
        <v/>
      </c>
      <c r="CF12" s="125">
        <f>Basistabelle!D313</f>
        <v>0</v>
      </c>
      <c r="CG12" s="124"/>
      <c r="CH12" s="121">
        <f>Basistabelle!E313</f>
        <v>0</v>
      </c>
      <c r="CI12" s="124"/>
      <c r="CJ12" s="125">
        <f>Basistabelle!F313</f>
        <v>0</v>
      </c>
      <c r="CK12" s="124"/>
      <c r="CL12" s="6">
        <f t="shared" si="15"/>
        <v>9</v>
      </c>
      <c r="CM12" s="145" t="str">
        <f t="shared" ca="1" si="11"/>
        <v/>
      </c>
      <c r="CN12" s="125">
        <f>Basistabelle!D348</f>
        <v>0</v>
      </c>
      <c r="CO12" s="124"/>
      <c r="CP12" s="121">
        <f>Basistabelle!E348</f>
        <v>0</v>
      </c>
      <c r="CQ12" s="124"/>
      <c r="CR12" s="125">
        <f>Basistabelle!F348</f>
        <v>0</v>
      </c>
      <c r="CS12" s="139"/>
    </row>
    <row r="13" spans="1:97" s="2" customFormat="1" x14ac:dyDescent="0.2">
      <c r="A13" s="6" t="s">
        <v>8</v>
      </c>
      <c r="B13" s="8">
        <f t="shared" si="18"/>
        <v>8</v>
      </c>
      <c r="C13" s="145" t="str">
        <f t="shared" ca="1" si="12"/>
        <v/>
      </c>
      <c r="D13" s="125">
        <f>Basistabelle!D13</f>
        <v>0</v>
      </c>
      <c r="E13" s="124"/>
      <c r="F13" s="121">
        <f>Basistabelle!E13</f>
        <v>0</v>
      </c>
      <c r="G13" s="124"/>
      <c r="H13" s="125">
        <f>Basistabelle!F13</f>
        <v>0</v>
      </c>
      <c r="I13" s="124"/>
      <c r="J13" s="6">
        <f t="shared" si="22"/>
        <v>5</v>
      </c>
      <c r="K13" s="145" t="str">
        <f t="shared" ca="1" si="1"/>
        <v/>
      </c>
      <c r="L13" s="125">
        <f>Basistabelle!D41</f>
        <v>0</v>
      </c>
      <c r="M13" s="124"/>
      <c r="N13" s="126">
        <f>Basistabelle!E40</f>
        <v>0</v>
      </c>
      <c r="O13" s="124"/>
      <c r="P13" s="125">
        <f>Basistabelle!F41</f>
        <v>0</v>
      </c>
      <c r="Q13" s="124"/>
      <c r="R13" s="6">
        <f t="shared" si="23"/>
        <v>5</v>
      </c>
      <c r="S13" s="145" t="str">
        <f t="shared" ca="1" si="2"/>
        <v/>
      </c>
      <c r="T13" s="125">
        <f>Basistabelle!D69</f>
        <v>0</v>
      </c>
      <c r="U13" s="124"/>
      <c r="V13" s="121">
        <f>Basistabelle!E69</f>
        <v>0</v>
      </c>
      <c r="W13" s="124"/>
      <c r="X13" s="125">
        <f>Basistabelle!F69</f>
        <v>0</v>
      </c>
      <c r="Y13" s="124"/>
      <c r="Z13" s="6">
        <f t="shared" si="16"/>
        <v>9</v>
      </c>
      <c r="AA13" s="145" t="str">
        <f t="shared" ca="1" si="3"/>
        <v/>
      </c>
      <c r="AB13" s="125">
        <f>Basistabelle!D104</f>
        <v>0</v>
      </c>
      <c r="AC13" s="124"/>
      <c r="AD13" s="121">
        <f>Basistabelle!E103</f>
        <v>0</v>
      </c>
      <c r="AE13" s="124"/>
      <c r="AF13" s="125">
        <f>Basistabelle!F104</f>
        <v>0</v>
      </c>
      <c r="AG13" s="124"/>
      <c r="AH13" s="6">
        <f t="shared" si="20"/>
        <v>7</v>
      </c>
      <c r="AI13" s="145" t="str">
        <f t="shared" ca="1" si="13"/>
        <v/>
      </c>
      <c r="AJ13" s="125">
        <f>Basistabelle!D132</f>
        <v>0</v>
      </c>
      <c r="AK13" s="124"/>
      <c r="AL13" s="121">
        <f>Basistabelle!E132</f>
        <v>0</v>
      </c>
      <c r="AM13" s="124"/>
      <c r="AN13" s="125">
        <f>Basistabelle!F132</f>
        <v>0</v>
      </c>
      <c r="AO13" s="124"/>
      <c r="AP13" s="6">
        <f t="shared" si="25"/>
        <v>4</v>
      </c>
      <c r="AQ13" s="145" t="str">
        <f t="shared" ca="1" si="5"/>
        <v/>
      </c>
      <c r="AR13" s="125">
        <f>Basistabelle!D160</f>
        <v>0</v>
      </c>
      <c r="AS13" s="124"/>
      <c r="AT13" s="121">
        <f>Basistabelle!E160</f>
        <v>0</v>
      </c>
      <c r="AU13" s="124"/>
      <c r="AV13" s="125">
        <f>Basistabelle!F160</f>
        <v>0</v>
      </c>
      <c r="AW13" s="124"/>
      <c r="AX13" s="6">
        <f t="shared" si="17"/>
        <v>9</v>
      </c>
      <c r="AY13" s="145" t="str">
        <f ca="1">IF(AX13&gt;0,IF(INDIRECT("Basistabelle!G" &amp; $A$1+AX13+AY$1)&gt;"",INDIRECT("Basistabelle!G" &amp; $A$1+AX13+AY$1),IF(INDIRECT("Basistabelle!H" &amp; $A$1+AX13+AY$1)&gt;"",INDIRECT("Basistabelle!H" &amp; $A$1+AX13+AY$1),"")),"")</f>
        <v/>
      </c>
      <c r="AZ13" s="125">
        <f>Basistabelle!D195</f>
        <v>0</v>
      </c>
      <c r="BA13" s="124"/>
      <c r="BB13" s="121">
        <f>Basistabelle!E194</f>
        <v>0</v>
      </c>
      <c r="BC13" s="124"/>
      <c r="BD13" s="125">
        <f>Basistabelle!F194</f>
        <v>0</v>
      </c>
      <c r="BE13" s="124"/>
      <c r="BF13" s="21">
        <f t="shared" si="21"/>
        <v>6</v>
      </c>
      <c r="BG13" s="145" t="str">
        <f t="shared" ca="1" si="7"/>
        <v/>
      </c>
      <c r="BH13" s="125">
        <f>Basistabelle!D222</f>
        <v>0</v>
      </c>
      <c r="BI13" s="124"/>
      <c r="BJ13" s="121">
        <f>Basistabelle!E222</f>
        <v>0</v>
      </c>
      <c r="BK13" s="124"/>
      <c r="BL13" s="125">
        <f>Basistabelle!F222</f>
        <v>0</v>
      </c>
      <c r="BM13" s="124"/>
      <c r="BN13" s="6">
        <f t="shared" si="14"/>
        <v>10</v>
      </c>
      <c r="BO13" s="145" t="str">
        <f t="shared" ca="1" si="8"/>
        <v/>
      </c>
      <c r="BP13" s="125">
        <f>Basistabelle!D258</f>
        <v>0</v>
      </c>
      <c r="BQ13" s="124"/>
      <c r="BR13" s="121">
        <f>Basistabelle!E258</f>
        <v>0</v>
      </c>
      <c r="BS13" s="124"/>
      <c r="BT13" s="125">
        <f>Basistabelle!F258</f>
        <v>0</v>
      </c>
      <c r="BU13" s="124"/>
      <c r="BV13" s="6">
        <f t="shared" si="19"/>
        <v>8</v>
      </c>
      <c r="BW13" s="145" t="str">
        <f t="shared" ca="1" si="9"/>
        <v/>
      </c>
      <c r="BX13" s="125">
        <f>Basistabelle!D285</f>
        <v>0</v>
      </c>
      <c r="BY13" s="124"/>
      <c r="BZ13" s="121">
        <f>Basistabelle!E285</f>
        <v>0</v>
      </c>
      <c r="CA13" s="124"/>
      <c r="CB13" s="125">
        <f>Basistabelle!F286</f>
        <v>0</v>
      </c>
      <c r="CC13" s="124"/>
      <c r="CD13" s="6">
        <f t="shared" si="24"/>
        <v>5</v>
      </c>
      <c r="CE13" s="145" t="str">
        <f t="shared" ca="1" si="10"/>
        <v/>
      </c>
      <c r="CF13" s="125">
        <f>Basistabelle!D314</f>
        <v>0</v>
      </c>
      <c r="CG13" s="124"/>
      <c r="CH13" s="121">
        <f>Basistabelle!E314</f>
        <v>0</v>
      </c>
      <c r="CI13" s="124"/>
      <c r="CJ13" s="125">
        <f>Basistabelle!F314</f>
        <v>0</v>
      </c>
      <c r="CK13" s="124"/>
      <c r="CL13" s="6">
        <f t="shared" si="15"/>
        <v>10</v>
      </c>
      <c r="CM13" s="145" t="str">
        <f t="shared" ca="1" si="11"/>
        <v/>
      </c>
      <c r="CN13" s="125">
        <f>Basistabelle!D349</f>
        <v>0</v>
      </c>
      <c r="CO13" s="124"/>
      <c r="CP13" s="121">
        <f>Basistabelle!E349</f>
        <v>0</v>
      </c>
      <c r="CQ13" s="124"/>
      <c r="CR13" s="125">
        <f>Basistabelle!F349</f>
        <v>0</v>
      </c>
      <c r="CS13" s="139"/>
    </row>
    <row r="14" spans="1:97" s="2" customFormat="1" x14ac:dyDescent="0.2">
      <c r="A14" s="6" t="s">
        <v>3</v>
      </c>
      <c r="B14" s="8">
        <f t="shared" si="18"/>
        <v>9</v>
      </c>
      <c r="C14" s="145" t="str">
        <f t="shared" ca="1" si="12"/>
        <v/>
      </c>
      <c r="D14" s="125">
        <f>Basistabelle!D14</f>
        <v>0</v>
      </c>
      <c r="E14" s="124"/>
      <c r="F14" s="121">
        <f>Basistabelle!E14</f>
        <v>0</v>
      </c>
      <c r="G14" s="124"/>
      <c r="H14" s="125">
        <f>Basistabelle!F14</f>
        <v>0</v>
      </c>
      <c r="I14" s="124"/>
      <c r="J14" s="6">
        <f t="shared" si="22"/>
        <v>6</v>
      </c>
      <c r="K14" s="145" t="str">
        <f t="shared" ca="1" si="1"/>
        <v/>
      </c>
      <c r="L14" s="125">
        <f>Basistabelle!D42</f>
        <v>0</v>
      </c>
      <c r="M14" s="124"/>
      <c r="N14" s="126">
        <f>Basistabelle!E41</f>
        <v>0</v>
      </c>
      <c r="O14" s="124"/>
      <c r="P14" s="125">
        <f>Basistabelle!F42</f>
        <v>0</v>
      </c>
      <c r="Q14" s="124"/>
      <c r="R14" s="6">
        <f t="shared" si="23"/>
        <v>6</v>
      </c>
      <c r="S14" s="145" t="str">
        <f t="shared" ca="1" si="2"/>
        <v/>
      </c>
      <c r="T14" s="125">
        <f>Basistabelle!D70</f>
        <v>0</v>
      </c>
      <c r="U14" s="124"/>
      <c r="V14" s="121">
        <f>Basistabelle!E70</f>
        <v>0</v>
      </c>
      <c r="W14" s="124"/>
      <c r="X14" s="125">
        <f>Basistabelle!F70</f>
        <v>0</v>
      </c>
      <c r="Y14" s="124"/>
      <c r="Z14" s="6">
        <f t="shared" si="16"/>
        <v>10</v>
      </c>
      <c r="AA14" s="145" t="str">
        <f t="shared" ca="1" si="3"/>
        <v/>
      </c>
      <c r="AB14" s="125">
        <f>Basistabelle!D105</f>
        <v>0</v>
      </c>
      <c r="AC14" s="124"/>
      <c r="AD14" s="121">
        <f>Basistabelle!E104</f>
        <v>0</v>
      </c>
      <c r="AE14" s="124"/>
      <c r="AF14" s="125">
        <f>Basistabelle!F105</f>
        <v>0</v>
      </c>
      <c r="AG14" s="124"/>
      <c r="AH14" s="6">
        <f t="shared" si="20"/>
        <v>8</v>
      </c>
      <c r="AI14" s="145" t="str">
        <f t="shared" ca="1" si="13"/>
        <v/>
      </c>
      <c r="AJ14" s="125">
        <f>Basistabelle!D133</f>
        <v>0</v>
      </c>
      <c r="AK14" s="124"/>
      <c r="AL14" s="121">
        <f>Basistabelle!E133</f>
        <v>0</v>
      </c>
      <c r="AM14" s="124"/>
      <c r="AN14" s="125">
        <f>Basistabelle!F133</f>
        <v>0</v>
      </c>
      <c r="AO14" s="124"/>
      <c r="AP14" s="6">
        <f t="shared" si="25"/>
        <v>5</v>
      </c>
      <c r="AQ14" s="145" t="str">
        <f t="shared" ca="1" si="5"/>
        <v/>
      </c>
      <c r="AR14" s="125">
        <f>Basistabelle!D161</f>
        <v>0</v>
      </c>
      <c r="AS14" s="124"/>
      <c r="AT14" s="121">
        <f>Basistabelle!E161</f>
        <v>0</v>
      </c>
      <c r="AU14" s="124"/>
      <c r="AV14" s="125">
        <f>Basistabelle!F161</f>
        <v>0</v>
      </c>
      <c r="AW14" s="124"/>
      <c r="AX14" s="6">
        <f t="shared" si="17"/>
        <v>10</v>
      </c>
      <c r="AY14" s="145" t="str">
        <f t="shared" ca="1" si="6"/>
        <v/>
      </c>
      <c r="AZ14" s="125">
        <f>Basistabelle!D196</f>
        <v>0</v>
      </c>
      <c r="BA14" s="124"/>
      <c r="BB14" s="121">
        <f>Basistabelle!E195</f>
        <v>0</v>
      </c>
      <c r="BC14" s="124"/>
      <c r="BD14" s="125">
        <f>Basistabelle!F195</f>
        <v>0</v>
      </c>
      <c r="BE14" s="124"/>
      <c r="BF14" s="21">
        <f t="shared" si="21"/>
        <v>7</v>
      </c>
      <c r="BG14" s="145" t="str">
        <f t="shared" ca="1" si="7"/>
        <v/>
      </c>
      <c r="BH14" s="125">
        <f>Basistabelle!D223</f>
        <v>0</v>
      </c>
      <c r="BI14" s="124"/>
      <c r="BJ14" s="121">
        <f>Basistabelle!E223</f>
        <v>0</v>
      </c>
      <c r="BK14" s="124"/>
      <c r="BL14" s="125">
        <f>Basistabelle!F223</f>
        <v>0</v>
      </c>
      <c r="BM14" s="124"/>
      <c r="BN14" s="6">
        <f t="shared" si="14"/>
        <v>11</v>
      </c>
      <c r="BO14" s="145" t="str">
        <f t="shared" ca="1" si="8"/>
        <v/>
      </c>
      <c r="BP14" s="125">
        <f>Basistabelle!D259</f>
        <v>0</v>
      </c>
      <c r="BQ14" s="124"/>
      <c r="BR14" s="121">
        <f>Basistabelle!E259</f>
        <v>0</v>
      </c>
      <c r="BS14" s="124"/>
      <c r="BT14" s="125">
        <f>Basistabelle!F259</f>
        <v>0</v>
      </c>
      <c r="BU14" s="124"/>
      <c r="BV14" s="6">
        <f t="shared" si="19"/>
        <v>9</v>
      </c>
      <c r="BW14" s="145" t="str">
        <f t="shared" ca="1" si="9"/>
        <v/>
      </c>
      <c r="BX14" s="125">
        <f>Basistabelle!D286</f>
        <v>0</v>
      </c>
      <c r="BY14" s="124"/>
      <c r="BZ14" s="121">
        <f>Basistabelle!E286</f>
        <v>0</v>
      </c>
      <c r="CA14" s="124"/>
      <c r="CB14" s="125">
        <f>Basistabelle!F287</f>
        <v>0</v>
      </c>
      <c r="CC14" s="124"/>
      <c r="CD14" s="6">
        <f t="shared" si="24"/>
        <v>6</v>
      </c>
      <c r="CE14" s="145" t="str">
        <f t="shared" ca="1" si="10"/>
        <v/>
      </c>
      <c r="CF14" s="125">
        <f>Basistabelle!D315</f>
        <v>0</v>
      </c>
      <c r="CG14" s="124"/>
      <c r="CH14" s="121">
        <f>Basistabelle!E315</f>
        <v>0</v>
      </c>
      <c r="CI14" s="124"/>
      <c r="CJ14" s="125">
        <f>Basistabelle!F315</f>
        <v>0</v>
      </c>
      <c r="CK14" s="124"/>
      <c r="CL14" s="6">
        <f t="shared" si="15"/>
        <v>11</v>
      </c>
      <c r="CM14" s="145" t="str">
        <f t="shared" ca="1" si="11"/>
        <v/>
      </c>
      <c r="CN14" s="125">
        <f>Basistabelle!D350</f>
        <v>0</v>
      </c>
      <c r="CO14" s="124"/>
      <c r="CP14" s="121">
        <f>Basistabelle!E350</f>
        <v>0</v>
      </c>
      <c r="CQ14" s="124"/>
      <c r="CR14" s="125">
        <f>Basistabelle!F350</f>
        <v>0</v>
      </c>
      <c r="CS14" s="139"/>
    </row>
    <row r="15" spans="1:97" s="2" customFormat="1" x14ac:dyDescent="0.2">
      <c r="A15" s="51" t="s">
        <v>4</v>
      </c>
      <c r="B15" s="52">
        <f t="shared" si="18"/>
        <v>10</v>
      </c>
      <c r="C15" s="145" t="str">
        <f t="shared" ca="1" si="12"/>
        <v/>
      </c>
      <c r="D15" s="126">
        <f>Basistabelle!D15</f>
        <v>0</v>
      </c>
      <c r="E15" s="127"/>
      <c r="F15" s="126">
        <f>Basistabelle!E15</f>
        <v>0</v>
      </c>
      <c r="G15" s="127"/>
      <c r="H15" s="127">
        <f>Basistabelle!F15</f>
        <v>0</v>
      </c>
      <c r="I15" s="127"/>
      <c r="J15" s="51">
        <f t="shared" si="22"/>
        <v>7</v>
      </c>
      <c r="K15" s="145" t="str">
        <f t="shared" ca="1" si="1"/>
        <v/>
      </c>
      <c r="L15" s="126">
        <f>Basistabelle!D43</f>
        <v>0</v>
      </c>
      <c r="M15" s="127"/>
      <c r="N15" s="126">
        <f>Basistabelle!E42</f>
        <v>0</v>
      </c>
      <c r="O15" s="127"/>
      <c r="P15" s="127">
        <f>Basistabelle!F43</f>
        <v>0</v>
      </c>
      <c r="Q15" s="127"/>
      <c r="R15" s="9">
        <f t="shared" si="23"/>
        <v>7</v>
      </c>
      <c r="S15" s="145" t="str">
        <f t="shared" ca="1" si="2"/>
        <v/>
      </c>
      <c r="T15" s="126">
        <f>Basistabelle!D71</f>
        <v>0</v>
      </c>
      <c r="U15" s="127"/>
      <c r="V15" s="126">
        <f>Basistabelle!E71</f>
        <v>0</v>
      </c>
      <c r="W15" s="127"/>
      <c r="X15" s="127">
        <f>Basistabelle!F71</f>
        <v>0</v>
      </c>
      <c r="Y15" s="127"/>
      <c r="Z15" s="9">
        <f t="shared" si="16"/>
        <v>11</v>
      </c>
      <c r="AA15" s="145" t="str">
        <f t="shared" ca="1" si="3"/>
        <v/>
      </c>
      <c r="AB15" s="126">
        <f>Basistabelle!D106</f>
        <v>0</v>
      </c>
      <c r="AC15" s="127"/>
      <c r="AD15" s="126">
        <f>Basistabelle!E105</f>
        <v>0</v>
      </c>
      <c r="AE15" s="127"/>
      <c r="AF15" s="127">
        <f>Basistabelle!F106</f>
        <v>0</v>
      </c>
      <c r="AG15" s="127"/>
      <c r="AH15" s="9">
        <f t="shared" si="20"/>
        <v>9</v>
      </c>
      <c r="AI15" s="145" t="str">
        <f t="shared" ca="1" si="13"/>
        <v/>
      </c>
      <c r="AJ15" s="126">
        <f>Basistabelle!D134</f>
        <v>0</v>
      </c>
      <c r="AK15" s="127"/>
      <c r="AL15" s="126">
        <f>Basistabelle!E134</f>
        <v>0</v>
      </c>
      <c r="AM15" s="127"/>
      <c r="AN15" s="127">
        <f>Basistabelle!F134</f>
        <v>0</v>
      </c>
      <c r="AO15" s="127"/>
      <c r="AP15" s="9">
        <f t="shared" si="25"/>
        <v>6</v>
      </c>
      <c r="AQ15" s="145" t="str">
        <f t="shared" ca="1" si="5"/>
        <v/>
      </c>
      <c r="AR15" s="126">
        <f>Basistabelle!D162</f>
        <v>0</v>
      </c>
      <c r="AS15" s="127"/>
      <c r="AT15" s="126">
        <f>Basistabelle!E162</f>
        <v>0</v>
      </c>
      <c r="AU15" s="127"/>
      <c r="AV15" s="127">
        <f>Basistabelle!F162</f>
        <v>0</v>
      </c>
      <c r="AW15" s="127"/>
      <c r="AX15" s="9">
        <f t="shared" si="17"/>
        <v>11</v>
      </c>
      <c r="AY15" s="145" t="str">
        <f t="shared" ca="1" si="6"/>
        <v/>
      </c>
      <c r="AZ15" s="126">
        <f>Basistabelle!D197</f>
        <v>0</v>
      </c>
      <c r="BA15" s="127"/>
      <c r="BB15" s="126">
        <f>Basistabelle!E196</f>
        <v>0</v>
      </c>
      <c r="BC15" s="127"/>
      <c r="BD15" s="127">
        <f>Basistabelle!F196</f>
        <v>0</v>
      </c>
      <c r="BE15" s="127"/>
      <c r="BF15" s="22">
        <f t="shared" si="21"/>
        <v>8</v>
      </c>
      <c r="BG15" s="145" t="str">
        <f t="shared" ca="1" si="7"/>
        <v/>
      </c>
      <c r="BH15" s="126">
        <f>Basistabelle!D224</f>
        <v>0</v>
      </c>
      <c r="BI15" s="127"/>
      <c r="BJ15" s="126">
        <f>Basistabelle!E224</f>
        <v>0</v>
      </c>
      <c r="BK15" s="127"/>
      <c r="BL15" s="127">
        <f>Basistabelle!F224</f>
        <v>0</v>
      </c>
      <c r="BM15" s="127"/>
      <c r="BN15" s="9">
        <f t="shared" si="14"/>
        <v>12</v>
      </c>
      <c r="BO15" s="145" t="str">
        <f t="shared" ca="1" si="8"/>
        <v/>
      </c>
      <c r="BP15" s="126">
        <f>Basistabelle!D260</f>
        <v>0</v>
      </c>
      <c r="BQ15" s="127"/>
      <c r="BR15" s="126">
        <f>Basistabelle!E260</f>
        <v>0</v>
      </c>
      <c r="BS15" s="127"/>
      <c r="BT15" s="127">
        <f>Basistabelle!F260</f>
        <v>0</v>
      </c>
      <c r="BU15" s="127"/>
      <c r="BV15" s="9">
        <f t="shared" si="19"/>
        <v>10</v>
      </c>
      <c r="BW15" s="145" t="str">
        <f t="shared" ca="1" si="9"/>
        <v/>
      </c>
      <c r="BX15" s="126">
        <f>Basistabelle!D287</f>
        <v>0</v>
      </c>
      <c r="BY15" s="127"/>
      <c r="BZ15" s="126">
        <f>Basistabelle!E287</f>
        <v>0</v>
      </c>
      <c r="CA15" s="127"/>
      <c r="CB15" s="127">
        <f>Basistabelle!F288</f>
        <v>0</v>
      </c>
      <c r="CC15" s="127"/>
      <c r="CD15" s="9">
        <f t="shared" si="24"/>
        <v>7</v>
      </c>
      <c r="CE15" s="145" t="str">
        <f ca="1">IF(CD15&gt;0,IF(INDIRECT("Basistabelle!G" &amp; $A$1+CD15+CE$1)&gt;"",INDIRECT("Basistabelle!G" &amp; $A$1+CD15+CE$1),IF(INDIRECT("Basistabelle!H" &amp; $A$1+CD15+CE$1)&gt;"",INDIRECT("Basistabelle!H" &amp; $A$1+CD15+CE$1),"")),"")</f>
        <v/>
      </c>
      <c r="CF15" s="126">
        <f>Basistabelle!D316</f>
        <v>0</v>
      </c>
      <c r="CG15" s="127"/>
      <c r="CH15" s="126">
        <f>Basistabelle!E316</f>
        <v>0</v>
      </c>
      <c r="CI15" s="127"/>
      <c r="CJ15" s="127">
        <f>Basistabelle!F316</f>
        <v>0</v>
      </c>
      <c r="CK15" s="127"/>
      <c r="CL15" s="9">
        <f t="shared" si="15"/>
        <v>12</v>
      </c>
      <c r="CM15" s="145" t="str">
        <f t="shared" ca="1" si="11"/>
        <v/>
      </c>
      <c r="CN15" s="126">
        <f>Basistabelle!D351</f>
        <v>0</v>
      </c>
      <c r="CO15" s="127"/>
      <c r="CP15" s="126">
        <f>Basistabelle!E351</f>
        <v>0</v>
      </c>
      <c r="CQ15" s="127"/>
      <c r="CR15" s="127">
        <f>Basistabelle!F351</f>
        <v>0</v>
      </c>
      <c r="CS15" s="141"/>
    </row>
    <row r="16" spans="1:97" s="2" customFormat="1" x14ac:dyDescent="0.2">
      <c r="A16" s="9" t="s">
        <v>5</v>
      </c>
      <c r="B16" s="10">
        <f t="shared" si="18"/>
        <v>11</v>
      </c>
      <c r="C16" s="145" t="str">
        <f t="shared" ca="1" si="12"/>
        <v/>
      </c>
      <c r="D16" s="126">
        <f>Basistabelle!D16</f>
        <v>0</v>
      </c>
      <c r="E16" s="127"/>
      <c r="F16" s="126">
        <f>Basistabelle!E16</f>
        <v>0</v>
      </c>
      <c r="G16" s="127"/>
      <c r="H16" s="127">
        <f>Basistabelle!F16</f>
        <v>0</v>
      </c>
      <c r="I16" s="127"/>
      <c r="J16" s="51">
        <f t="shared" si="22"/>
        <v>8</v>
      </c>
      <c r="K16" s="145" t="str">
        <f t="shared" ca="1" si="1"/>
        <v/>
      </c>
      <c r="L16" s="126">
        <f>Basistabelle!D44</f>
        <v>0</v>
      </c>
      <c r="M16" s="127"/>
      <c r="N16" s="126">
        <f>Basistabelle!E43</f>
        <v>0</v>
      </c>
      <c r="O16" s="127"/>
      <c r="P16" s="127">
        <f>Basistabelle!F44</f>
        <v>0</v>
      </c>
      <c r="Q16" s="127"/>
      <c r="R16" s="9">
        <f t="shared" si="23"/>
        <v>8</v>
      </c>
      <c r="S16" s="145" t="str">
        <f t="shared" ca="1" si="2"/>
        <v/>
      </c>
      <c r="T16" s="126">
        <f>Basistabelle!D72</f>
        <v>0</v>
      </c>
      <c r="U16" s="127"/>
      <c r="V16" s="126">
        <f>Basistabelle!E72</f>
        <v>0</v>
      </c>
      <c r="W16" s="127"/>
      <c r="X16" s="127">
        <f>Basistabelle!F72</f>
        <v>0</v>
      </c>
      <c r="Y16" s="127"/>
      <c r="Z16" s="9">
        <f t="shared" si="16"/>
        <v>12</v>
      </c>
      <c r="AA16" s="145" t="str">
        <f t="shared" ca="1" si="3"/>
        <v/>
      </c>
      <c r="AB16" s="126">
        <f>Basistabelle!D107</f>
        <v>0</v>
      </c>
      <c r="AC16" s="127"/>
      <c r="AD16" s="126">
        <f>Basistabelle!E106</f>
        <v>0</v>
      </c>
      <c r="AE16" s="127"/>
      <c r="AF16" s="127">
        <f>Basistabelle!F107</f>
        <v>0</v>
      </c>
      <c r="AG16" s="127"/>
      <c r="AH16" s="9">
        <f t="shared" si="20"/>
        <v>10</v>
      </c>
      <c r="AI16" s="145" t="str">
        <f t="shared" ca="1" si="13"/>
        <v/>
      </c>
      <c r="AJ16" s="126">
        <f>Basistabelle!D135</f>
        <v>0</v>
      </c>
      <c r="AK16" s="127"/>
      <c r="AL16" s="126">
        <f>Basistabelle!E135</f>
        <v>0</v>
      </c>
      <c r="AM16" s="127"/>
      <c r="AN16" s="127">
        <f>Basistabelle!F135</f>
        <v>0</v>
      </c>
      <c r="AO16" s="127"/>
      <c r="AP16" s="9">
        <f t="shared" si="25"/>
        <v>7</v>
      </c>
      <c r="AQ16" s="145" t="str">
        <f t="shared" ca="1" si="5"/>
        <v/>
      </c>
      <c r="AR16" s="126">
        <f>Basistabelle!D163</f>
        <v>0</v>
      </c>
      <c r="AS16" s="127"/>
      <c r="AT16" s="126">
        <f>Basistabelle!E163</f>
        <v>0</v>
      </c>
      <c r="AU16" s="127"/>
      <c r="AV16" s="127">
        <f>Basistabelle!F163</f>
        <v>0</v>
      </c>
      <c r="AW16" s="127"/>
      <c r="AX16" s="9">
        <f t="shared" si="17"/>
        <v>12</v>
      </c>
      <c r="AY16" s="145" t="str">
        <f t="shared" ca="1" si="6"/>
        <v/>
      </c>
      <c r="AZ16" s="126">
        <f>Basistabelle!D198</f>
        <v>0</v>
      </c>
      <c r="BA16" s="127"/>
      <c r="BB16" s="126">
        <f>Basistabelle!E197</f>
        <v>0</v>
      </c>
      <c r="BC16" s="127"/>
      <c r="BD16" s="127">
        <f>Basistabelle!F197</f>
        <v>0</v>
      </c>
      <c r="BE16" s="127"/>
      <c r="BF16" s="9">
        <f t="shared" si="21"/>
        <v>9</v>
      </c>
      <c r="BG16" s="145" t="str">
        <f t="shared" ca="1" si="7"/>
        <v/>
      </c>
      <c r="BH16" s="126">
        <f>Basistabelle!D225</f>
        <v>0</v>
      </c>
      <c r="BI16" s="127"/>
      <c r="BJ16" s="126">
        <f>Basistabelle!E225</f>
        <v>0</v>
      </c>
      <c r="BK16" s="127"/>
      <c r="BL16" s="127">
        <f>Basistabelle!F225</f>
        <v>0</v>
      </c>
      <c r="BM16" s="127"/>
      <c r="BN16" s="9">
        <f t="shared" si="14"/>
        <v>13</v>
      </c>
      <c r="BO16" s="145" t="str">
        <f t="shared" ca="1" si="8"/>
        <v/>
      </c>
      <c r="BP16" s="126">
        <f>Basistabelle!D261</f>
        <v>0</v>
      </c>
      <c r="BQ16" s="127"/>
      <c r="BR16" s="126">
        <f>Basistabelle!E261</f>
        <v>0</v>
      </c>
      <c r="BS16" s="127"/>
      <c r="BT16" s="127">
        <f>Basistabelle!F261</f>
        <v>0</v>
      </c>
      <c r="BU16" s="127"/>
      <c r="BV16" s="9">
        <f t="shared" si="19"/>
        <v>11</v>
      </c>
      <c r="BW16" s="145" t="str">
        <f t="shared" ca="1" si="9"/>
        <v/>
      </c>
      <c r="BX16" s="126">
        <f>Basistabelle!D288</f>
        <v>0</v>
      </c>
      <c r="BY16" s="127"/>
      <c r="BZ16" s="126">
        <f>Basistabelle!E288</f>
        <v>0</v>
      </c>
      <c r="CA16" s="127"/>
      <c r="CB16" s="127">
        <f>Basistabelle!F289</f>
        <v>0</v>
      </c>
      <c r="CC16" s="127"/>
      <c r="CD16" s="9">
        <f t="shared" si="24"/>
        <v>8</v>
      </c>
      <c r="CE16" s="145" t="str">
        <f t="shared" ca="1" si="10"/>
        <v/>
      </c>
      <c r="CF16" s="126">
        <f>Basistabelle!D317</f>
        <v>0</v>
      </c>
      <c r="CG16" s="127"/>
      <c r="CH16" s="126">
        <f>Basistabelle!E317</f>
        <v>0</v>
      </c>
      <c r="CI16" s="127"/>
      <c r="CJ16" s="127">
        <f>Basistabelle!F317</f>
        <v>0</v>
      </c>
      <c r="CK16" s="127"/>
      <c r="CL16" s="9">
        <f t="shared" si="15"/>
        <v>13</v>
      </c>
      <c r="CM16" s="145" t="str">
        <f t="shared" ca="1" si="11"/>
        <v/>
      </c>
      <c r="CN16" s="126">
        <f>Basistabelle!D352</f>
        <v>0</v>
      </c>
      <c r="CO16" s="127"/>
      <c r="CP16" s="126">
        <f>Basistabelle!E352</f>
        <v>0</v>
      </c>
      <c r="CQ16" s="127"/>
      <c r="CR16" s="127">
        <f>Basistabelle!F352</f>
        <v>0</v>
      </c>
      <c r="CS16" s="141"/>
    </row>
    <row r="17" spans="1:97" s="2" customFormat="1" ht="15" customHeight="1" x14ac:dyDescent="0.2">
      <c r="A17" s="6" t="s">
        <v>25</v>
      </c>
      <c r="B17" s="8">
        <f t="shared" si="18"/>
        <v>12</v>
      </c>
      <c r="C17" s="145" t="str">
        <f t="shared" ca="1" si="12"/>
        <v/>
      </c>
      <c r="D17" s="169">
        <v>3</v>
      </c>
      <c r="E17" s="169"/>
      <c r="F17" s="169"/>
      <c r="G17" s="169"/>
      <c r="H17" s="169"/>
      <c r="I17" s="170"/>
      <c r="J17" s="6">
        <f t="shared" si="22"/>
        <v>9</v>
      </c>
      <c r="K17" s="145" t="str">
        <f t="shared" ca="1" si="1"/>
        <v/>
      </c>
      <c r="L17" s="125">
        <f>Basistabelle!D45</f>
        <v>0</v>
      </c>
      <c r="M17" s="171">
        <v>7</v>
      </c>
      <c r="N17" s="171"/>
      <c r="O17" s="171"/>
      <c r="P17" s="171"/>
      <c r="Q17" s="172"/>
      <c r="R17" s="18">
        <f t="shared" si="23"/>
        <v>9</v>
      </c>
      <c r="S17" s="145" t="str">
        <f t="shared" ca="1" si="2"/>
        <v/>
      </c>
      <c r="T17" s="167">
        <v>11</v>
      </c>
      <c r="U17" s="167"/>
      <c r="V17" s="167"/>
      <c r="W17" s="167"/>
      <c r="X17" s="167"/>
      <c r="Y17" s="168"/>
      <c r="Z17" s="18">
        <f t="shared" si="16"/>
        <v>13</v>
      </c>
      <c r="AA17" s="145" t="str">
        <f t="shared" ca="1" si="3"/>
        <v/>
      </c>
      <c r="AB17" s="125">
        <f>Basistabelle!D108</f>
        <v>0</v>
      </c>
      <c r="AC17" s="124"/>
      <c r="AD17" s="121">
        <f>Basistabelle!E107</f>
        <v>0</v>
      </c>
      <c r="AE17" s="124"/>
      <c r="AF17" s="125">
        <f>Basistabelle!F108</f>
        <v>0</v>
      </c>
      <c r="AG17" s="144"/>
      <c r="AH17" s="18">
        <f t="shared" si="20"/>
        <v>11</v>
      </c>
      <c r="AI17" s="145" t="str">
        <f t="shared" ca="1" si="13"/>
        <v/>
      </c>
      <c r="AJ17" s="167">
        <v>20</v>
      </c>
      <c r="AK17" s="167"/>
      <c r="AL17" s="167"/>
      <c r="AM17" s="167"/>
      <c r="AN17" s="167"/>
      <c r="AO17" s="168"/>
      <c r="AP17" s="18">
        <f t="shared" si="25"/>
        <v>8</v>
      </c>
      <c r="AQ17" s="145" t="str">
        <f t="shared" ca="1" si="5"/>
        <v/>
      </c>
      <c r="AR17" s="167">
        <v>24</v>
      </c>
      <c r="AS17" s="167"/>
      <c r="AT17" s="167"/>
      <c r="AU17" s="167"/>
      <c r="AV17" s="167"/>
      <c r="AW17" s="168"/>
      <c r="AX17" s="18">
        <f t="shared" si="17"/>
        <v>13</v>
      </c>
      <c r="AY17" s="145" t="str">
        <f t="shared" ca="1" si="6"/>
        <v/>
      </c>
      <c r="AZ17" s="125" t="e">
        <f>Basistabelle!#REF!</f>
        <v>#REF!</v>
      </c>
      <c r="BA17" s="124"/>
      <c r="BB17" s="121">
        <f>Basistabelle!E198</f>
        <v>0</v>
      </c>
      <c r="BC17" s="124"/>
      <c r="BD17" s="125">
        <f>Basistabelle!F198</f>
        <v>0</v>
      </c>
      <c r="BE17" s="144"/>
      <c r="BF17" s="21">
        <f t="shared" si="21"/>
        <v>10</v>
      </c>
      <c r="BG17" s="145" t="str">
        <f t="shared" ca="1" si="7"/>
        <v/>
      </c>
      <c r="BH17" s="125">
        <f>Basistabelle!D226</f>
        <v>0</v>
      </c>
      <c r="BI17" s="171">
        <v>33</v>
      </c>
      <c r="BJ17" s="171"/>
      <c r="BK17" s="171"/>
      <c r="BL17" s="171"/>
      <c r="BM17" s="172"/>
      <c r="BN17" s="18">
        <f t="shared" si="14"/>
        <v>14</v>
      </c>
      <c r="BO17" s="145" t="str">
        <f t="shared" ca="1" si="8"/>
        <v/>
      </c>
      <c r="BP17" s="167">
        <v>38</v>
      </c>
      <c r="BQ17" s="167"/>
      <c r="BR17" s="167"/>
      <c r="BS17" s="167"/>
      <c r="BT17" s="167"/>
      <c r="BU17" s="168"/>
      <c r="BV17" s="18">
        <f t="shared" si="19"/>
        <v>12</v>
      </c>
      <c r="BW17" s="145" t="str">
        <f t="shared" ca="1" si="9"/>
        <v/>
      </c>
      <c r="BX17" s="125">
        <f>Basistabelle!D289</f>
        <v>0</v>
      </c>
      <c r="BY17" s="171">
        <v>42</v>
      </c>
      <c r="BZ17" s="171"/>
      <c r="CA17" s="171"/>
      <c r="CB17" s="171"/>
      <c r="CC17" s="172"/>
      <c r="CD17" s="18">
        <f t="shared" si="24"/>
        <v>9</v>
      </c>
      <c r="CE17" s="145" t="str">
        <f t="shared" ca="1" si="10"/>
        <v/>
      </c>
      <c r="CF17" s="167">
        <v>46</v>
      </c>
      <c r="CG17" s="167"/>
      <c r="CH17" s="167"/>
      <c r="CI17" s="167"/>
      <c r="CJ17" s="167"/>
      <c r="CK17" s="168"/>
      <c r="CL17" s="18">
        <f t="shared" si="15"/>
        <v>14</v>
      </c>
      <c r="CM17" s="145" t="str">
        <f t="shared" ca="1" si="11"/>
        <v/>
      </c>
      <c r="CN17" s="167">
        <v>51</v>
      </c>
      <c r="CO17" s="167"/>
      <c r="CP17" s="167"/>
      <c r="CQ17" s="167"/>
      <c r="CR17" s="167"/>
      <c r="CS17" s="168"/>
    </row>
    <row r="18" spans="1:97" s="2" customFormat="1" x14ac:dyDescent="0.2">
      <c r="A18" s="6" t="s">
        <v>6</v>
      </c>
      <c r="B18" s="8">
        <f t="shared" si="18"/>
        <v>13</v>
      </c>
      <c r="C18" s="145" t="str">
        <f t="shared" ca="1" si="12"/>
        <v/>
      </c>
      <c r="D18" s="125">
        <f>Basistabelle!D18</f>
        <v>0</v>
      </c>
      <c r="E18" s="124"/>
      <c r="F18" s="121">
        <f>Basistabelle!E18</f>
        <v>0</v>
      </c>
      <c r="G18" s="124"/>
      <c r="H18" s="125">
        <f>Basistabelle!F18</f>
        <v>0</v>
      </c>
      <c r="I18" s="124"/>
      <c r="J18" s="6">
        <f t="shared" si="22"/>
        <v>10</v>
      </c>
      <c r="K18" s="145" t="str">
        <f t="shared" ca="1" si="1"/>
        <v/>
      </c>
      <c r="L18" s="125">
        <f>Basistabelle!D46</f>
        <v>0</v>
      </c>
      <c r="M18" s="124"/>
      <c r="N18" s="121">
        <f>Basistabelle!E45</f>
        <v>0</v>
      </c>
      <c r="O18" s="124"/>
      <c r="P18" s="125">
        <f>Basistabelle!F46</f>
        <v>0</v>
      </c>
      <c r="Q18" s="124"/>
      <c r="R18" s="6">
        <f t="shared" si="23"/>
        <v>10</v>
      </c>
      <c r="S18" s="145" t="str">
        <f t="shared" ca="1" si="2"/>
        <v/>
      </c>
      <c r="T18" s="125">
        <f>Basistabelle!D74</f>
        <v>0</v>
      </c>
      <c r="U18" s="124"/>
      <c r="V18" s="121">
        <f>Basistabelle!E74</f>
        <v>0</v>
      </c>
      <c r="W18" s="124"/>
      <c r="X18" s="125">
        <f>Basistabelle!F74</f>
        <v>0</v>
      </c>
      <c r="Y18" s="124"/>
      <c r="Z18" s="6">
        <f t="shared" si="16"/>
        <v>14</v>
      </c>
      <c r="AA18" s="145" t="str">
        <f t="shared" ca="1" si="3"/>
        <v/>
      </c>
      <c r="AB18" s="125">
        <f>Basistabelle!D109</f>
        <v>0</v>
      </c>
      <c r="AC18" s="124"/>
      <c r="AD18" s="121">
        <f>Basistabelle!E108</f>
        <v>0</v>
      </c>
      <c r="AE18" s="124"/>
      <c r="AF18" s="125">
        <f>Basistabelle!F109</f>
        <v>0</v>
      </c>
      <c r="AG18" s="124"/>
      <c r="AH18" s="6">
        <f t="shared" si="20"/>
        <v>12</v>
      </c>
      <c r="AI18" s="145" t="str">
        <f t="shared" ca="1" si="13"/>
        <v/>
      </c>
      <c r="AJ18" s="125">
        <f>Basistabelle!D137</f>
        <v>0</v>
      </c>
      <c r="AK18" s="124"/>
      <c r="AL18" s="121">
        <f>Basistabelle!E137</f>
        <v>0</v>
      </c>
      <c r="AM18" s="124"/>
      <c r="AN18" s="125">
        <f>Basistabelle!F137</f>
        <v>0</v>
      </c>
      <c r="AO18" s="124"/>
      <c r="AP18" s="6">
        <f t="shared" si="25"/>
        <v>9</v>
      </c>
      <c r="AQ18" s="145" t="str">
        <f t="shared" ca="1" si="5"/>
        <v/>
      </c>
      <c r="AR18" s="125">
        <f>Basistabelle!D165</f>
        <v>0</v>
      </c>
      <c r="AS18" s="124"/>
      <c r="AT18" s="121">
        <f>Basistabelle!E165</f>
        <v>0</v>
      </c>
      <c r="AU18" s="124"/>
      <c r="AV18" s="125">
        <f>Basistabelle!F165</f>
        <v>0</v>
      </c>
      <c r="AW18" s="124"/>
      <c r="AX18" s="6">
        <f t="shared" si="17"/>
        <v>14</v>
      </c>
      <c r="AY18" s="145" t="str">
        <f ca="1">IF(AX18&gt;0,IF(INDIRECT("Basistabelle!G" &amp; $A$1+AX18+AY$1)&gt;"",INDIRECT("Basistabelle!G" &amp; $A$1+AX18+AY$1),IF(INDIRECT("Basistabelle!H" &amp; $A$1+AX18+AY$1)&gt;"",INDIRECT("Basistabelle!H" &amp; $A$1+AX18+AY$1),"")),"")</f>
        <v/>
      </c>
      <c r="AZ18" s="125">
        <f>Basistabelle!D199</f>
        <v>0</v>
      </c>
      <c r="BA18" s="124"/>
      <c r="BB18" s="121">
        <f>Basistabelle!E199</f>
        <v>0</v>
      </c>
      <c r="BC18" s="124"/>
      <c r="BD18" s="125">
        <f>Basistabelle!F199</f>
        <v>0</v>
      </c>
      <c r="BE18" s="124"/>
      <c r="BF18" s="21">
        <f t="shared" si="21"/>
        <v>11</v>
      </c>
      <c r="BG18" s="145" t="str">
        <f t="shared" ca="1" si="7"/>
        <v/>
      </c>
      <c r="BH18" s="125">
        <f>Basistabelle!D227</f>
        <v>0</v>
      </c>
      <c r="BI18" s="124"/>
      <c r="BJ18" s="121">
        <f>Basistabelle!E227</f>
        <v>0</v>
      </c>
      <c r="BK18" s="124"/>
      <c r="BL18" s="125">
        <f>Basistabelle!F227</f>
        <v>0</v>
      </c>
      <c r="BM18" s="124"/>
      <c r="BN18" s="6">
        <f t="shared" si="14"/>
        <v>15</v>
      </c>
      <c r="BO18" s="145" t="str">
        <f t="shared" ca="1" si="8"/>
        <v/>
      </c>
      <c r="BP18" s="125">
        <f>Basistabelle!D263</f>
        <v>0</v>
      </c>
      <c r="BQ18" s="124"/>
      <c r="BR18" s="121">
        <f>Basistabelle!E263</f>
        <v>0</v>
      </c>
      <c r="BS18" s="124"/>
      <c r="BT18" s="125">
        <f>Basistabelle!F263</f>
        <v>0</v>
      </c>
      <c r="BU18" s="124"/>
      <c r="BV18" s="6">
        <f t="shared" si="19"/>
        <v>13</v>
      </c>
      <c r="BW18" s="145" t="str">
        <f t="shared" ca="1" si="9"/>
        <v/>
      </c>
      <c r="BX18" s="125">
        <f>Basistabelle!D290</f>
        <v>0</v>
      </c>
      <c r="BY18" s="124"/>
      <c r="BZ18" s="121">
        <f>Basistabelle!E290</f>
        <v>0</v>
      </c>
      <c r="CA18" s="124"/>
      <c r="CB18" s="125">
        <f>Basistabelle!F291</f>
        <v>0</v>
      </c>
      <c r="CC18" s="124"/>
      <c r="CD18" s="6">
        <f t="shared" si="24"/>
        <v>10</v>
      </c>
      <c r="CE18" s="145" t="str">
        <f t="shared" ca="1" si="10"/>
        <v/>
      </c>
      <c r="CF18" s="125">
        <f>Basistabelle!D319</f>
        <v>0</v>
      </c>
      <c r="CG18" s="124"/>
      <c r="CH18" s="121">
        <f>Basistabelle!E319</f>
        <v>0</v>
      </c>
      <c r="CI18" s="124"/>
      <c r="CJ18" s="125">
        <f>Basistabelle!F319</f>
        <v>0</v>
      </c>
      <c r="CK18" s="124"/>
      <c r="CL18" s="6">
        <f t="shared" si="15"/>
        <v>15</v>
      </c>
      <c r="CM18" s="145" t="str">
        <f t="shared" ca="1" si="11"/>
        <v/>
      </c>
      <c r="CN18" s="125">
        <f>Basistabelle!D354</f>
        <v>0</v>
      </c>
      <c r="CO18" s="124"/>
      <c r="CP18" s="121">
        <f>Basistabelle!E354</f>
        <v>0</v>
      </c>
      <c r="CQ18" s="124"/>
      <c r="CR18" s="125">
        <f>Basistabelle!F354</f>
        <v>0</v>
      </c>
      <c r="CS18" s="139"/>
    </row>
    <row r="19" spans="1:97" s="2" customFormat="1" x14ac:dyDescent="0.2">
      <c r="A19" s="6" t="s">
        <v>7</v>
      </c>
      <c r="B19" s="8">
        <f t="shared" si="18"/>
        <v>14</v>
      </c>
      <c r="C19" s="145" t="str">
        <f t="shared" ca="1" si="12"/>
        <v/>
      </c>
      <c r="D19" s="125">
        <f>Basistabelle!D19</f>
        <v>0</v>
      </c>
      <c r="E19" s="124"/>
      <c r="F19" s="121">
        <f>Basistabelle!E19</f>
        <v>0</v>
      </c>
      <c r="G19" s="124"/>
      <c r="H19" s="125">
        <f>Basistabelle!F19</f>
        <v>0</v>
      </c>
      <c r="I19" s="124"/>
      <c r="J19" s="6">
        <f t="shared" si="22"/>
        <v>11</v>
      </c>
      <c r="K19" s="145" t="str">
        <f t="shared" ca="1" si="1"/>
        <v/>
      </c>
      <c r="L19" s="125" t="e">
        <f>Basistabelle!#REF!</f>
        <v>#REF!</v>
      </c>
      <c r="M19" s="124"/>
      <c r="N19" s="121">
        <f>Basistabelle!E46</f>
        <v>0</v>
      </c>
      <c r="O19" s="124"/>
      <c r="P19" s="125">
        <f>Basistabelle!F47</f>
        <v>0</v>
      </c>
      <c r="Q19" s="124"/>
      <c r="R19" s="6">
        <f t="shared" si="23"/>
        <v>11</v>
      </c>
      <c r="S19" s="145" t="str">
        <f t="shared" ca="1" si="2"/>
        <v/>
      </c>
      <c r="T19" s="125">
        <f>Basistabelle!D75</f>
        <v>0</v>
      </c>
      <c r="U19" s="124"/>
      <c r="V19" s="121">
        <f>Basistabelle!E75</f>
        <v>0</v>
      </c>
      <c r="W19" s="124"/>
      <c r="X19" s="125">
        <f>Basistabelle!F75</f>
        <v>0</v>
      </c>
      <c r="Y19" s="124"/>
      <c r="Z19" s="6">
        <f t="shared" si="16"/>
        <v>15</v>
      </c>
      <c r="AA19" s="145" t="str">
        <f t="shared" ca="1" si="3"/>
        <v/>
      </c>
      <c r="AB19" s="125">
        <f>Basistabelle!D110</f>
        <v>0</v>
      </c>
      <c r="AC19" s="124"/>
      <c r="AD19" s="121">
        <f>Basistabelle!E109</f>
        <v>0</v>
      </c>
      <c r="AE19" s="124"/>
      <c r="AF19" s="125">
        <f>Basistabelle!F110</f>
        <v>0</v>
      </c>
      <c r="AG19" s="124"/>
      <c r="AH19" s="6">
        <f t="shared" si="20"/>
        <v>13</v>
      </c>
      <c r="AI19" s="145" t="str">
        <f t="shared" ca="1" si="13"/>
        <v/>
      </c>
      <c r="AJ19" s="125">
        <f>Basistabelle!D138</f>
        <v>0</v>
      </c>
      <c r="AK19" s="124"/>
      <c r="AL19" s="121">
        <f>Basistabelle!E138</f>
        <v>0</v>
      </c>
      <c r="AM19" s="124"/>
      <c r="AN19" s="125">
        <f>Basistabelle!F138</f>
        <v>0</v>
      </c>
      <c r="AO19" s="124"/>
      <c r="AP19" s="6">
        <f t="shared" si="25"/>
        <v>10</v>
      </c>
      <c r="AQ19" s="145" t="str">
        <f ca="1">IF(AP19&gt;0,IF(INDIRECT("Basistabelle!G" &amp; $A$1+AP19+AQ$1)&gt;"",INDIRECT("Basistabelle!G" &amp; $A$1+AP19+AQ$1),IF(INDIRECT("Basistabelle!H" &amp; $A$1+AP19+AQ$1)&gt;"",INDIRECT("Basistabelle!H" &amp; $A$1+AP19+AQ$1),"")),"")</f>
        <v/>
      </c>
      <c r="AR19" s="125">
        <f>Basistabelle!D166</f>
        <v>0</v>
      </c>
      <c r="AS19" s="124"/>
      <c r="AT19" s="121">
        <f>Basistabelle!E166</f>
        <v>0</v>
      </c>
      <c r="AU19" s="124"/>
      <c r="AV19" s="125">
        <f>Basistabelle!F166</f>
        <v>0</v>
      </c>
      <c r="AW19" s="124"/>
      <c r="AX19" s="6">
        <f t="shared" si="17"/>
        <v>15</v>
      </c>
      <c r="AY19" s="145" t="str">
        <f t="shared" ca="1" si="6"/>
        <v/>
      </c>
      <c r="AZ19" s="125">
        <f>Basistabelle!D200</f>
        <v>0</v>
      </c>
      <c r="BA19" s="124"/>
      <c r="BB19" s="121">
        <f>Basistabelle!E200</f>
        <v>0</v>
      </c>
      <c r="BC19" s="124"/>
      <c r="BD19" s="125">
        <f>Basistabelle!F200</f>
        <v>0</v>
      </c>
      <c r="BE19" s="124"/>
      <c r="BF19" s="21">
        <f t="shared" si="21"/>
        <v>12</v>
      </c>
      <c r="BG19" s="145" t="str">
        <f t="shared" ca="1" si="7"/>
        <v/>
      </c>
      <c r="BH19" s="125">
        <f>Basistabelle!D228</f>
        <v>0</v>
      </c>
      <c r="BI19" s="124"/>
      <c r="BJ19" s="121">
        <f>Basistabelle!E228</f>
        <v>0</v>
      </c>
      <c r="BK19" s="124"/>
      <c r="BL19" s="125">
        <f>Basistabelle!F228</f>
        <v>0</v>
      </c>
      <c r="BM19" s="124"/>
      <c r="BN19" s="6">
        <f t="shared" si="14"/>
        <v>16</v>
      </c>
      <c r="BO19" s="145" t="str">
        <f t="shared" ca="1" si="8"/>
        <v/>
      </c>
      <c r="BP19" s="125">
        <f>Basistabelle!D264</f>
        <v>0</v>
      </c>
      <c r="BQ19" s="124"/>
      <c r="BR19" s="121">
        <f>Basistabelle!E264</f>
        <v>0</v>
      </c>
      <c r="BS19" s="124"/>
      <c r="BT19" s="125">
        <f>Basistabelle!F264</f>
        <v>0</v>
      </c>
      <c r="BU19" s="124"/>
      <c r="BV19" s="6">
        <f t="shared" si="19"/>
        <v>14</v>
      </c>
      <c r="BW19" s="145" t="str">
        <f t="shared" ca="1" si="9"/>
        <v/>
      </c>
      <c r="BX19" s="125">
        <f>Basistabelle!D291</f>
        <v>0</v>
      </c>
      <c r="BY19" s="124"/>
      <c r="BZ19" s="121">
        <f>Basistabelle!E291</f>
        <v>0</v>
      </c>
      <c r="CA19" s="124"/>
      <c r="CB19" s="125">
        <f>Basistabelle!F292</f>
        <v>0</v>
      </c>
      <c r="CC19" s="124"/>
      <c r="CD19" s="6">
        <f t="shared" si="24"/>
        <v>11</v>
      </c>
      <c r="CE19" s="145" t="str">
        <f t="shared" ca="1" si="10"/>
        <v/>
      </c>
      <c r="CF19" s="125">
        <f>Basistabelle!D320</f>
        <v>0</v>
      </c>
      <c r="CG19" s="124"/>
      <c r="CH19" s="121">
        <f>Basistabelle!E320</f>
        <v>0</v>
      </c>
      <c r="CI19" s="124"/>
      <c r="CJ19" s="125">
        <f>Basistabelle!F320</f>
        <v>0</v>
      </c>
      <c r="CK19" s="124"/>
      <c r="CL19" s="6">
        <f t="shared" si="15"/>
        <v>16</v>
      </c>
      <c r="CM19" s="145" t="str">
        <f t="shared" ca="1" si="11"/>
        <v/>
      </c>
      <c r="CN19" s="125">
        <f>Basistabelle!D355</f>
        <v>0</v>
      </c>
      <c r="CO19" s="124"/>
      <c r="CP19" s="121">
        <f>Basistabelle!E355</f>
        <v>0</v>
      </c>
      <c r="CQ19" s="124"/>
      <c r="CR19" s="125">
        <f>Basistabelle!F355</f>
        <v>0</v>
      </c>
      <c r="CS19" s="139"/>
    </row>
    <row r="20" spans="1:97" s="2" customFormat="1" ht="12.75" customHeight="1" x14ac:dyDescent="0.2">
      <c r="A20" s="6" t="s">
        <v>8</v>
      </c>
      <c r="B20" s="8">
        <f t="shared" si="18"/>
        <v>15</v>
      </c>
      <c r="C20" s="145" t="str">
        <f t="shared" ca="1" si="12"/>
        <v/>
      </c>
      <c r="D20" s="125">
        <f>Basistabelle!D20</f>
        <v>0</v>
      </c>
      <c r="E20" s="124"/>
      <c r="F20" s="121">
        <f>Basistabelle!E20</f>
        <v>0</v>
      </c>
      <c r="G20" s="124"/>
      <c r="H20" s="125">
        <f>Basistabelle!F20</f>
        <v>0</v>
      </c>
      <c r="I20" s="124"/>
      <c r="J20" s="6">
        <f t="shared" si="22"/>
        <v>12</v>
      </c>
      <c r="K20" s="145" t="str">
        <f t="shared" ca="1" si="1"/>
        <v/>
      </c>
      <c r="L20" s="125">
        <f>Basistabelle!D47</f>
        <v>0</v>
      </c>
      <c r="M20" s="124"/>
      <c r="N20" s="121">
        <f>Basistabelle!E48</f>
        <v>0</v>
      </c>
      <c r="O20" s="124"/>
      <c r="P20" s="125">
        <f>Basistabelle!F48</f>
        <v>0</v>
      </c>
      <c r="Q20" s="124"/>
      <c r="R20" s="6">
        <f t="shared" si="23"/>
        <v>12</v>
      </c>
      <c r="S20" s="145" t="str">
        <f t="shared" ca="1" si="2"/>
        <v/>
      </c>
      <c r="T20" s="125">
        <f>Basistabelle!D76</f>
        <v>0</v>
      </c>
      <c r="U20" s="124"/>
      <c r="V20" s="121">
        <f>Basistabelle!E76</f>
        <v>0</v>
      </c>
      <c r="W20" s="124"/>
      <c r="X20" s="125">
        <f>Basistabelle!F76</f>
        <v>0</v>
      </c>
      <c r="Y20" s="124"/>
      <c r="Z20" s="6">
        <f t="shared" si="16"/>
        <v>16</v>
      </c>
      <c r="AA20" s="145" t="str">
        <f t="shared" ca="1" si="3"/>
        <v/>
      </c>
      <c r="AB20" s="125">
        <f>Basistabelle!D111</f>
        <v>0</v>
      </c>
      <c r="AC20" s="124"/>
      <c r="AD20" s="121">
        <f>Basistabelle!E110</f>
        <v>0</v>
      </c>
      <c r="AE20" s="124"/>
      <c r="AF20" s="125">
        <f>Basistabelle!F111</f>
        <v>0</v>
      </c>
      <c r="AG20" s="124"/>
      <c r="AH20" s="6">
        <f t="shared" si="20"/>
        <v>14</v>
      </c>
      <c r="AI20" s="145" t="str">
        <f t="shared" ca="1" si="13"/>
        <v/>
      </c>
      <c r="AJ20" s="125">
        <f>Basistabelle!D139</f>
        <v>0</v>
      </c>
      <c r="AK20" s="124"/>
      <c r="AL20" s="121">
        <f>Basistabelle!E139</f>
        <v>0</v>
      </c>
      <c r="AM20" s="124"/>
      <c r="AN20" s="125">
        <f>Basistabelle!F139</f>
        <v>0</v>
      </c>
      <c r="AO20" s="124"/>
      <c r="AP20" s="6">
        <f t="shared" si="25"/>
        <v>11</v>
      </c>
      <c r="AQ20" s="145" t="str">
        <f t="shared" ca="1" si="5"/>
        <v/>
      </c>
      <c r="AR20" s="125">
        <f>Basistabelle!D167</f>
        <v>0</v>
      </c>
      <c r="AS20" s="124"/>
      <c r="AT20" s="121">
        <f>Basistabelle!E167</f>
        <v>0</v>
      </c>
      <c r="AU20" s="124"/>
      <c r="AV20" s="125">
        <f>Basistabelle!F167</f>
        <v>0</v>
      </c>
      <c r="AW20" s="124"/>
      <c r="AX20" s="6">
        <f t="shared" si="17"/>
        <v>16</v>
      </c>
      <c r="AY20" s="145" t="str">
        <f t="shared" ca="1" si="6"/>
        <v/>
      </c>
      <c r="AZ20" s="125">
        <f>Basistabelle!D201</f>
        <v>0</v>
      </c>
      <c r="BA20" s="124"/>
      <c r="BB20" s="121">
        <f>Basistabelle!E201</f>
        <v>0</v>
      </c>
      <c r="BC20" s="124"/>
      <c r="BD20" s="125">
        <f>Basistabelle!F201</f>
        <v>0</v>
      </c>
      <c r="BE20" s="124"/>
      <c r="BF20" s="21">
        <f t="shared" si="21"/>
        <v>13</v>
      </c>
      <c r="BG20" s="145" t="str">
        <f t="shared" ca="1" si="7"/>
        <v/>
      </c>
      <c r="BH20" s="125">
        <f>Basistabelle!D229</f>
        <v>0</v>
      </c>
      <c r="BI20" s="124"/>
      <c r="BJ20" s="121">
        <f>Basistabelle!E230</f>
        <v>0</v>
      </c>
      <c r="BK20" s="124"/>
      <c r="BL20" s="125">
        <f>Basistabelle!F230</f>
        <v>0</v>
      </c>
      <c r="BM20" s="124"/>
      <c r="BN20" s="6">
        <f t="shared" si="14"/>
        <v>17</v>
      </c>
      <c r="BO20" s="145" t="str">
        <f t="shared" ca="1" si="8"/>
        <v/>
      </c>
      <c r="BP20" s="125">
        <f>Basistabelle!D265</f>
        <v>0</v>
      </c>
      <c r="BQ20" s="124"/>
      <c r="BR20" s="121">
        <f>Basistabelle!E265</f>
        <v>0</v>
      </c>
      <c r="BS20" s="124"/>
      <c r="BT20" s="125">
        <f>Basistabelle!F265</f>
        <v>0</v>
      </c>
      <c r="BU20" s="124"/>
      <c r="BV20" s="6">
        <f t="shared" si="19"/>
        <v>15</v>
      </c>
      <c r="BW20" s="145" t="str">
        <f t="shared" ca="1" si="9"/>
        <v/>
      </c>
      <c r="BX20" s="125">
        <f>Basistabelle!D292</f>
        <v>0</v>
      </c>
      <c r="BY20" s="124"/>
      <c r="BZ20" s="121">
        <f>Basistabelle!E293</f>
        <v>0</v>
      </c>
      <c r="CA20" s="124"/>
      <c r="CB20" s="125">
        <f>Basistabelle!F293</f>
        <v>0</v>
      </c>
      <c r="CC20" s="124"/>
      <c r="CD20" s="6">
        <f t="shared" si="24"/>
        <v>12</v>
      </c>
      <c r="CE20" s="145" t="str">
        <f t="shared" ca="1" si="10"/>
        <v/>
      </c>
      <c r="CF20" s="125">
        <f>Basistabelle!D321</f>
        <v>0</v>
      </c>
      <c r="CG20" s="124"/>
      <c r="CH20" s="121">
        <f>Basistabelle!E321</f>
        <v>0</v>
      </c>
      <c r="CI20" s="124"/>
      <c r="CJ20" s="125">
        <f>Basistabelle!F321</f>
        <v>0</v>
      </c>
      <c r="CK20" s="124"/>
      <c r="CL20" s="6">
        <f t="shared" si="15"/>
        <v>17</v>
      </c>
      <c r="CM20" s="145" t="str">
        <f t="shared" ca="1" si="11"/>
        <v/>
      </c>
      <c r="CN20" s="125">
        <f>Basistabelle!D356</f>
        <v>0</v>
      </c>
      <c r="CO20" s="124"/>
      <c r="CP20" s="121">
        <f>Basistabelle!E356</f>
        <v>0</v>
      </c>
      <c r="CQ20" s="124"/>
      <c r="CR20" s="125">
        <f>Basistabelle!F356</f>
        <v>0</v>
      </c>
      <c r="CS20" s="139"/>
    </row>
    <row r="21" spans="1:97" s="2" customFormat="1" ht="12.75" customHeight="1" x14ac:dyDescent="0.2">
      <c r="A21" s="6" t="s">
        <v>3</v>
      </c>
      <c r="B21" s="8">
        <f t="shared" si="18"/>
        <v>16</v>
      </c>
      <c r="C21" s="145" t="str">
        <f t="shared" ca="1" si="12"/>
        <v/>
      </c>
      <c r="D21" s="125">
        <f>Basistabelle!D21</f>
        <v>0</v>
      </c>
      <c r="E21" s="124"/>
      <c r="F21" s="121">
        <f>Basistabelle!E21</f>
        <v>0</v>
      </c>
      <c r="G21" s="124"/>
      <c r="H21" s="125">
        <f>Basistabelle!F21</f>
        <v>0</v>
      </c>
      <c r="I21" s="124"/>
      <c r="J21" s="6">
        <f t="shared" si="22"/>
        <v>13</v>
      </c>
      <c r="K21" s="145" t="str">
        <f t="shared" ca="1" si="1"/>
        <v/>
      </c>
      <c r="L21" s="125">
        <f>Basistabelle!D48</f>
        <v>0</v>
      </c>
      <c r="M21" s="124"/>
      <c r="N21" s="121">
        <f>Basistabelle!E49</f>
        <v>0</v>
      </c>
      <c r="O21" s="124"/>
      <c r="P21" s="125">
        <f>Basistabelle!F49</f>
        <v>0</v>
      </c>
      <c r="Q21" s="124"/>
      <c r="R21" s="6">
        <f t="shared" si="23"/>
        <v>13</v>
      </c>
      <c r="S21" s="145" t="str">
        <f t="shared" ca="1" si="2"/>
        <v/>
      </c>
      <c r="T21" s="125">
        <f>Basistabelle!D77</f>
        <v>0</v>
      </c>
      <c r="U21" s="124"/>
      <c r="V21" s="121">
        <f>Basistabelle!E77</f>
        <v>0</v>
      </c>
      <c r="W21" s="124"/>
      <c r="X21" s="125">
        <f>Basistabelle!F77</f>
        <v>0</v>
      </c>
      <c r="Y21" s="124"/>
      <c r="Z21" s="6">
        <f t="shared" si="16"/>
        <v>17</v>
      </c>
      <c r="AA21" s="145" t="str">
        <f t="shared" ca="1" si="3"/>
        <v/>
      </c>
      <c r="AB21" s="125">
        <f>Basistabelle!D112</f>
        <v>0</v>
      </c>
      <c r="AC21" s="124"/>
      <c r="AD21" s="121">
        <f>Basistabelle!E111</f>
        <v>0</v>
      </c>
      <c r="AE21" s="124"/>
      <c r="AF21" s="125">
        <f>Basistabelle!F112</f>
        <v>0</v>
      </c>
      <c r="AG21" s="124"/>
      <c r="AH21" s="6">
        <f t="shared" si="20"/>
        <v>15</v>
      </c>
      <c r="AI21" s="145" t="str">
        <f t="shared" ca="1" si="13"/>
        <v/>
      </c>
      <c r="AJ21" s="125">
        <f>Basistabelle!D140</f>
        <v>0</v>
      </c>
      <c r="AK21" s="124"/>
      <c r="AL21" s="121">
        <f>Basistabelle!E140</f>
        <v>0</v>
      </c>
      <c r="AM21" s="124"/>
      <c r="AN21" s="125">
        <f>Basistabelle!F140</f>
        <v>0</v>
      </c>
      <c r="AO21" s="124"/>
      <c r="AP21" s="6">
        <f t="shared" si="25"/>
        <v>12</v>
      </c>
      <c r="AQ21" s="145" t="str">
        <f t="shared" ca="1" si="5"/>
        <v/>
      </c>
      <c r="AR21" s="125">
        <f>Basistabelle!D168</f>
        <v>0</v>
      </c>
      <c r="AS21" s="124"/>
      <c r="AT21" s="121">
        <f>Basistabelle!E168</f>
        <v>0</v>
      </c>
      <c r="AU21" s="124"/>
      <c r="AV21" s="125">
        <f>Basistabelle!F168</f>
        <v>0</v>
      </c>
      <c r="AW21" s="124"/>
      <c r="AX21" s="6">
        <f t="shared" si="17"/>
        <v>17</v>
      </c>
      <c r="AY21" s="145" t="str">
        <f t="shared" ca="1" si="6"/>
        <v/>
      </c>
      <c r="AZ21" s="125">
        <f>Basistabelle!D202</f>
        <v>0</v>
      </c>
      <c r="BA21" s="124"/>
      <c r="BB21" s="121">
        <f>Basistabelle!E202</f>
        <v>0</v>
      </c>
      <c r="BC21" s="124"/>
      <c r="BD21" s="125">
        <f>Basistabelle!F202</f>
        <v>0</v>
      </c>
      <c r="BE21" s="124"/>
      <c r="BF21" s="21">
        <f t="shared" si="21"/>
        <v>14</v>
      </c>
      <c r="BG21" s="145" t="str">
        <f t="shared" ca="1" si="7"/>
        <v/>
      </c>
      <c r="BH21" s="125">
        <f>Basistabelle!D230</f>
        <v>0</v>
      </c>
      <c r="BI21" s="124"/>
      <c r="BJ21" s="121">
        <f>Basistabelle!E231</f>
        <v>0</v>
      </c>
      <c r="BK21" s="124"/>
      <c r="BL21" s="125">
        <f>Basistabelle!F231</f>
        <v>0</v>
      </c>
      <c r="BM21" s="124"/>
      <c r="BN21" s="6">
        <f t="shared" si="14"/>
        <v>18</v>
      </c>
      <c r="BO21" s="145" t="str">
        <f t="shared" ca="1" si="8"/>
        <v/>
      </c>
      <c r="BP21" s="125">
        <f>Basistabelle!D266</f>
        <v>0</v>
      </c>
      <c r="BQ21" s="124"/>
      <c r="BR21" s="121">
        <f>Basistabelle!E266</f>
        <v>0</v>
      </c>
      <c r="BS21" s="124"/>
      <c r="BT21" s="125">
        <f>Basistabelle!F266</f>
        <v>0</v>
      </c>
      <c r="BU21" s="124"/>
      <c r="BV21" s="6">
        <f t="shared" si="19"/>
        <v>16</v>
      </c>
      <c r="BW21" s="145" t="str">
        <f t="shared" ca="1" si="9"/>
        <v/>
      </c>
      <c r="BX21" s="125">
        <f>Basistabelle!D293</f>
        <v>0</v>
      </c>
      <c r="BY21" s="124"/>
      <c r="BZ21" s="121">
        <f>Basistabelle!E294</f>
        <v>0</v>
      </c>
      <c r="CA21" s="124"/>
      <c r="CB21" s="125">
        <f>Basistabelle!F294</f>
        <v>0</v>
      </c>
      <c r="CC21" s="124"/>
      <c r="CD21" s="6">
        <f t="shared" si="24"/>
        <v>13</v>
      </c>
      <c r="CE21" s="145" t="str">
        <f t="shared" ca="1" si="10"/>
        <v/>
      </c>
      <c r="CF21" s="125">
        <f>Basistabelle!D322</f>
        <v>0</v>
      </c>
      <c r="CG21" s="124"/>
      <c r="CH21" s="121">
        <f>Basistabelle!E322</f>
        <v>0</v>
      </c>
      <c r="CI21" s="124"/>
      <c r="CJ21" s="125">
        <f>Basistabelle!F322</f>
        <v>0</v>
      </c>
      <c r="CK21" s="124"/>
      <c r="CL21" s="6">
        <f t="shared" si="15"/>
        <v>18</v>
      </c>
      <c r="CM21" s="145" t="str">
        <f t="shared" ca="1" si="11"/>
        <v/>
      </c>
      <c r="CN21" s="125">
        <f>Basistabelle!D357</f>
        <v>0</v>
      </c>
      <c r="CO21" s="124"/>
      <c r="CP21" s="121">
        <f>Basistabelle!E357</f>
        <v>0</v>
      </c>
      <c r="CQ21" s="124"/>
      <c r="CR21" s="125">
        <f>Basistabelle!F357</f>
        <v>0</v>
      </c>
      <c r="CS21" s="139"/>
    </row>
    <row r="22" spans="1:97" s="2" customFormat="1" ht="12.75" customHeight="1" x14ac:dyDescent="0.2">
      <c r="A22" s="9" t="s">
        <v>4</v>
      </c>
      <c r="B22" s="10">
        <f t="shared" si="18"/>
        <v>17</v>
      </c>
      <c r="C22" s="145" t="str">
        <f t="shared" ca="1" si="12"/>
        <v/>
      </c>
      <c r="D22" s="126">
        <f>Basistabelle!D22</f>
        <v>0</v>
      </c>
      <c r="E22" s="126"/>
      <c r="F22" s="126">
        <f>Basistabelle!E22</f>
        <v>0</v>
      </c>
      <c r="G22" s="126"/>
      <c r="H22" s="126">
        <f>Basistabelle!F22</f>
        <v>0</v>
      </c>
      <c r="I22" s="126"/>
      <c r="J22" s="51">
        <f t="shared" si="22"/>
        <v>14</v>
      </c>
      <c r="K22" s="145" t="str">
        <f t="shared" ca="1" si="1"/>
        <v/>
      </c>
      <c r="L22" s="126">
        <f>Basistabelle!D49</f>
        <v>0</v>
      </c>
      <c r="M22" s="126"/>
      <c r="N22" s="126">
        <f>Basistabelle!E50</f>
        <v>0</v>
      </c>
      <c r="O22" s="126"/>
      <c r="P22" s="126">
        <f>Basistabelle!F50</f>
        <v>0</v>
      </c>
      <c r="Q22" s="126"/>
      <c r="R22" s="9">
        <f t="shared" si="23"/>
        <v>14</v>
      </c>
      <c r="S22" s="145" t="str">
        <f t="shared" ca="1" si="2"/>
        <v/>
      </c>
      <c r="T22" s="126">
        <f>Basistabelle!D78</f>
        <v>0</v>
      </c>
      <c r="U22" s="126"/>
      <c r="V22" s="126">
        <f>Basistabelle!E78</f>
        <v>0</v>
      </c>
      <c r="W22" s="126"/>
      <c r="X22" s="126">
        <f>Basistabelle!F78</f>
        <v>0</v>
      </c>
      <c r="Y22" s="126"/>
      <c r="Z22" s="9">
        <f t="shared" si="16"/>
        <v>18</v>
      </c>
      <c r="AA22" s="145" t="str">
        <f t="shared" ca="1" si="3"/>
        <v/>
      </c>
      <c r="AB22" s="126">
        <f>Basistabelle!D113</f>
        <v>0</v>
      </c>
      <c r="AC22" s="126"/>
      <c r="AD22" s="126">
        <f>Basistabelle!E112</f>
        <v>0</v>
      </c>
      <c r="AE22" s="126"/>
      <c r="AF22" s="126">
        <f>Basistabelle!F113</f>
        <v>0</v>
      </c>
      <c r="AG22" s="126"/>
      <c r="AH22" s="9">
        <f t="shared" si="20"/>
        <v>16</v>
      </c>
      <c r="AI22" s="145" t="str">
        <f t="shared" ca="1" si="13"/>
        <v/>
      </c>
      <c r="AJ22" s="126">
        <f>Basistabelle!D141</f>
        <v>0</v>
      </c>
      <c r="AK22" s="126"/>
      <c r="AL22" s="126">
        <f>Basistabelle!E141</f>
        <v>0</v>
      </c>
      <c r="AM22" s="126"/>
      <c r="AN22" s="126">
        <f>Basistabelle!F141</f>
        <v>0</v>
      </c>
      <c r="AO22" s="126"/>
      <c r="AP22" s="9">
        <f t="shared" si="25"/>
        <v>13</v>
      </c>
      <c r="AQ22" s="145" t="str">
        <f t="shared" ca="1" si="5"/>
        <v/>
      </c>
      <c r="AR22" s="126">
        <f>Basistabelle!D169</f>
        <v>0</v>
      </c>
      <c r="AS22" s="126"/>
      <c r="AT22" s="126">
        <f>Basistabelle!E169</f>
        <v>0</v>
      </c>
      <c r="AU22" s="126"/>
      <c r="AV22" s="126">
        <f>Basistabelle!F169</f>
        <v>0</v>
      </c>
      <c r="AW22" s="126"/>
      <c r="AX22" s="9">
        <f t="shared" si="17"/>
        <v>18</v>
      </c>
      <c r="AY22" s="145" t="str">
        <f t="shared" ca="1" si="6"/>
        <v/>
      </c>
      <c r="AZ22" s="126">
        <f>Basistabelle!D203</f>
        <v>0</v>
      </c>
      <c r="BA22" s="126"/>
      <c r="BB22" s="126">
        <f>Basistabelle!E203</f>
        <v>0</v>
      </c>
      <c r="BC22" s="126"/>
      <c r="BD22" s="126">
        <f>Basistabelle!F203</f>
        <v>0</v>
      </c>
      <c r="BE22" s="126"/>
      <c r="BF22" s="22">
        <f t="shared" si="21"/>
        <v>15</v>
      </c>
      <c r="BG22" s="145" t="str">
        <f t="shared" ca="1" si="7"/>
        <v/>
      </c>
      <c r="BH22" s="126">
        <f>Basistabelle!D231</f>
        <v>0</v>
      </c>
      <c r="BI22" s="126"/>
      <c r="BJ22" s="126">
        <f>Basistabelle!E232</f>
        <v>0</v>
      </c>
      <c r="BK22" s="126"/>
      <c r="BL22" s="126">
        <f>Basistabelle!F232</f>
        <v>0</v>
      </c>
      <c r="BM22" s="126"/>
      <c r="BN22" s="9">
        <f t="shared" si="14"/>
        <v>19</v>
      </c>
      <c r="BO22" s="145" t="str">
        <f t="shared" ca="1" si="8"/>
        <v/>
      </c>
      <c r="BP22" s="126">
        <f>Basistabelle!D267</f>
        <v>0</v>
      </c>
      <c r="BQ22" s="126"/>
      <c r="BR22" s="126">
        <f>Basistabelle!E267</f>
        <v>0</v>
      </c>
      <c r="BS22" s="126"/>
      <c r="BT22" s="126">
        <f>Basistabelle!F267</f>
        <v>0</v>
      </c>
      <c r="BU22" s="126"/>
      <c r="BV22" s="9">
        <f t="shared" si="19"/>
        <v>17</v>
      </c>
      <c r="BW22" s="145" t="str">
        <f t="shared" ca="1" si="9"/>
        <v/>
      </c>
      <c r="BX22" s="126">
        <f>Basistabelle!D294</f>
        <v>0</v>
      </c>
      <c r="BY22" s="126"/>
      <c r="BZ22" s="126">
        <f>Basistabelle!E295</f>
        <v>0</v>
      </c>
      <c r="CA22" s="126"/>
      <c r="CB22" s="126">
        <f>Basistabelle!F295</f>
        <v>0</v>
      </c>
      <c r="CC22" s="126"/>
      <c r="CD22" s="9">
        <f t="shared" si="24"/>
        <v>14</v>
      </c>
      <c r="CE22" s="145" t="str">
        <f t="shared" ca="1" si="10"/>
        <v/>
      </c>
      <c r="CF22" s="126">
        <f>Basistabelle!D323</f>
        <v>0</v>
      </c>
      <c r="CG22" s="126"/>
      <c r="CH22" s="126">
        <f>Basistabelle!E323</f>
        <v>0</v>
      </c>
      <c r="CI22" s="126"/>
      <c r="CJ22" s="126">
        <f>Basistabelle!F323</f>
        <v>0</v>
      </c>
      <c r="CK22" s="126"/>
      <c r="CL22" s="9">
        <f t="shared" si="15"/>
        <v>19</v>
      </c>
      <c r="CM22" s="145" t="str">
        <f t="shared" ca="1" si="11"/>
        <v/>
      </c>
      <c r="CN22" s="126">
        <f>Basistabelle!D358</f>
        <v>0</v>
      </c>
      <c r="CO22" s="126"/>
      <c r="CP22" s="126">
        <f>Basistabelle!E358</f>
        <v>0</v>
      </c>
      <c r="CQ22" s="126"/>
      <c r="CR22" s="126">
        <f>Basistabelle!F358</f>
        <v>0</v>
      </c>
      <c r="CS22" s="140"/>
    </row>
    <row r="23" spans="1:97" s="2" customFormat="1" ht="12.75" customHeight="1" x14ac:dyDescent="0.2">
      <c r="A23" s="9" t="s">
        <v>5</v>
      </c>
      <c r="B23" s="10">
        <f t="shared" si="18"/>
        <v>18</v>
      </c>
      <c r="C23" s="145" t="str">
        <f t="shared" ca="1" si="12"/>
        <v/>
      </c>
      <c r="D23" s="126">
        <f>Basistabelle!D23</f>
        <v>0</v>
      </c>
      <c r="E23" s="126"/>
      <c r="F23" s="126">
        <f>Basistabelle!E23</f>
        <v>0</v>
      </c>
      <c r="G23" s="126"/>
      <c r="H23" s="126">
        <f>Basistabelle!F23</f>
        <v>0</v>
      </c>
      <c r="I23" s="126"/>
      <c r="J23" s="51">
        <f t="shared" si="22"/>
        <v>15</v>
      </c>
      <c r="K23" s="145" t="str">
        <f t="shared" ca="1" si="1"/>
        <v/>
      </c>
      <c r="L23" s="126">
        <f>Basistabelle!D50</f>
        <v>0</v>
      </c>
      <c r="M23" s="126"/>
      <c r="N23" s="126">
        <f>Basistabelle!E51</f>
        <v>0</v>
      </c>
      <c r="O23" s="126"/>
      <c r="P23" s="126">
        <f>Basistabelle!F51</f>
        <v>0</v>
      </c>
      <c r="Q23" s="126"/>
      <c r="R23" s="9">
        <f t="shared" si="23"/>
        <v>15</v>
      </c>
      <c r="S23" s="145" t="str">
        <f t="shared" ca="1" si="2"/>
        <v/>
      </c>
      <c r="T23" s="126">
        <f>Basistabelle!D79</f>
        <v>0</v>
      </c>
      <c r="U23" s="126"/>
      <c r="V23" s="126">
        <f>Basistabelle!E79</f>
        <v>0</v>
      </c>
      <c r="W23" s="126"/>
      <c r="X23" s="126">
        <f>Basistabelle!F79</f>
        <v>0</v>
      </c>
      <c r="Y23" s="126"/>
      <c r="Z23" s="9">
        <f t="shared" si="16"/>
        <v>19</v>
      </c>
      <c r="AA23" s="145" t="str">
        <f t="shared" ca="1" si="3"/>
        <v/>
      </c>
      <c r="AB23" s="126">
        <f>Basistabelle!D114</f>
        <v>0</v>
      </c>
      <c r="AC23" s="126"/>
      <c r="AD23" s="126">
        <f>Basistabelle!E113</f>
        <v>0</v>
      </c>
      <c r="AE23" s="126"/>
      <c r="AF23" s="126">
        <f>Basistabelle!F114</f>
        <v>0</v>
      </c>
      <c r="AG23" s="126"/>
      <c r="AH23" s="9">
        <f t="shared" si="20"/>
        <v>17</v>
      </c>
      <c r="AI23" s="145" t="str">
        <f t="shared" ca="1" si="13"/>
        <v/>
      </c>
      <c r="AJ23" s="126">
        <f>Basistabelle!D142</f>
        <v>0</v>
      </c>
      <c r="AK23" s="126"/>
      <c r="AL23" s="126">
        <f>Basistabelle!E142</f>
        <v>0</v>
      </c>
      <c r="AM23" s="126"/>
      <c r="AN23" s="126">
        <f>Basistabelle!F142</f>
        <v>0</v>
      </c>
      <c r="AO23" s="126"/>
      <c r="AP23" s="9">
        <f t="shared" si="25"/>
        <v>14</v>
      </c>
      <c r="AQ23" s="145" t="str">
        <f t="shared" ca="1" si="5"/>
        <v/>
      </c>
      <c r="AR23" s="126">
        <f>Basistabelle!D170</f>
        <v>0</v>
      </c>
      <c r="AS23" s="126"/>
      <c r="AT23" s="126">
        <f>Basistabelle!E170</f>
        <v>0</v>
      </c>
      <c r="AU23" s="126"/>
      <c r="AV23" s="126">
        <f>Basistabelle!F170</f>
        <v>0</v>
      </c>
      <c r="AW23" s="126"/>
      <c r="AX23" s="9">
        <f t="shared" si="17"/>
        <v>19</v>
      </c>
      <c r="AY23" s="145" t="str">
        <f t="shared" ca="1" si="6"/>
        <v/>
      </c>
      <c r="AZ23" s="126">
        <f>Basistabelle!D204</f>
        <v>0</v>
      </c>
      <c r="BA23" s="126"/>
      <c r="BB23" s="126">
        <f>Basistabelle!E204</f>
        <v>0</v>
      </c>
      <c r="BC23" s="126"/>
      <c r="BD23" s="126">
        <f>Basistabelle!F204</f>
        <v>0</v>
      </c>
      <c r="BE23" s="126"/>
      <c r="BF23" s="9">
        <f t="shared" si="21"/>
        <v>16</v>
      </c>
      <c r="BG23" s="145" t="str">
        <f t="shared" ca="1" si="7"/>
        <v/>
      </c>
      <c r="BH23" s="126">
        <f>Basistabelle!D232</f>
        <v>0</v>
      </c>
      <c r="BI23" s="126"/>
      <c r="BJ23" s="126">
        <f>Basistabelle!E233</f>
        <v>0</v>
      </c>
      <c r="BK23" s="126"/>
      <c r="BL23" s="126">
        <f>Basistabelle!F233</f>
        <v>0</v>
      </c>
      <c r="BM23" s="126"/>
      <c r="BN23" s="9">
        <f t="shared" si="14"/>
        <v>20</v>
      </c>
      <c r="BO23" s="145" t="str">
        <f t="shared" ca="1" si="8"/>
        <v/>
      </c>
      <c r="BP23" s="126">
        <f>Basistabelle!D268</f>
        <v>0</v>
      </c>
      <c r="BQ23" s="126"/>
      <c r="BR23" s="126">
        <f>Basistabelle!E268</f>
        <v>0</v>
      </c>
      <c r="BS23" s="126"/>
      <c r="BT23" s="126">
        <f>Basistabelle!F268</f>
        <v>0</v>
      </c>
      <c r="BU23" s="126"/>
      <c r="BV23" s="9">
        <f t="shared" si="19"/>
        <v>18</v>
      </c>
      <c r="BW23" s="145" t="str">
        <f t="shared" ca="1" si="9"/>
        <v/>
      </c>
      <c r="BX23" s="126">
        <f>Basistabelle!D295</f>
        <v>0</v>
      </c>
      <c r="BY23" s="126"/>
      <c r="BZ23" s="126">
        <f>Basistabelle!E296</f>
        <v>0</v>
      </c>
      <c r="CA23" s="126"/>
      <c r="CB23" s="126">
        <f>Basistabelle!F296</f>
        <v>0</v>
      </c>
      <c r="CC23" s="126"/>
      <c r="CD23" s="9">
        <f t="shared" si="24"/>
        <v>15</v>
      </c>
      <c r="CE23" s="145" t="str">
        <f t="shared" ca="1" si="10"/>
        <v/>
      </c>
      <c r="CF23" s="126">
        <f>Basistabelle!D324</f>
        <v>0</v>
      </c>
      <c r="CG23" s="126"/>
      <c r="CH23" s="126">
        <f>Basistabelle!E324</f>
        <v>0</v>
      </c>
      <c r="CI23" s="126"/>
      <c r="CJ23" s="126">
        <f>Basistabelle!F324</f>
        <v>0</v>
      </c>
      <c r="CK23" s="126"/>
      <c r="CL23" s="9">
        <f t="shared" si="15"/>
        <v>20</v>
      </c>
      <c r="CM23" s="145" t="str">
        <f t="shared" ca="1" si="11"/>
        <v/>
      </c>
      <c r="CN23" s="126">
        <f>Basistabelle!D359</f>
        <v>0</v>
      </c>
      <c r="CO23" s="126"/>
      <c r="CP23" s="126">
        <f>Basistabelle!E359</f>
        <v>0</v>
      </c>
      <c r="CQ23" s="126"/>
      <c r="CR23" s="126">
        <f>Basistabelle!F359</f>
        <v>0</v>
      </c>
      <c r="CS23" s="140"/>
    </row>
    <row r="24" spans="1:97" s="2" customFormat="1" ht="15" customHeight="1" x14ac:dyDescent="0.2">
      <c r="A24" s="6" t="s">
        <v>25</v>
      </c>
      <c r="B24" s="8">
        <f t="shared" si="18"/>
        <v>19</v>
      </c>
      <c r="C24" s="145" t="str">
        <f t="shared" ca="1" si="12"/>
        <v/>
      </c>
      <c r="D24" s="169">
        <v>4</v>
      </c>
      <c r="E24" s="169"/>
      <c r="F24" s="169"/>
      <c r="G24" s="169"/>
      <c r="H24" s="169"/>
      <c r="I24" s="170"/>
      <c r="J24" s="6">
        <f t="shared" si="22"/>
        <v>16</v>
      </c>
      <c r="K24" s="145" t="str">
        <f t="shared" ca="1" si="1"/>
        <v/>
      </c>
      <c r="L24" s="125">
        <f>Basistabelle!D51</f>
        <v>0</v>
      </c>
      <c r="M24" s="124"/>
      <c r="N24" s="121">
        <f>Basistabelle!E52</f>
        <v>0</v>
      </c>
      <c r="O24" s="124"/>
      <c r="P24" s="125">
        <f>Basistabelle!F52</f>
        <v>0</v>
      </c>
      <c r="Q24" s="124"/>
      <c r="R24" s="18">
        <f t="shared" si="23"/>
        <v>16</v>
      </c>
      <c r="S24" s="145" t="str">
        <f t="shared" ca="1" si="2"/>
        <v/>
      </c>
      <c r="T24" s="167">
        <v>12</v>
      </c>
      <c r="U24" s="167"/>
      <c r="V24" s="167"/>
      <c r="W24" s="167"/>
      <c r="X24" s="167"/>
      <c r="Y24" s="168"/>
      <c r="Z24" s="18">
        <f t="shared" si="16"/>
        <v>20</v>
      </c>
      <c r="AA24" s="145" t="str">
        <f t="shared" ca="1" si="3"/>
        <v/>
      </c>
      <c r="AB24" s="125" t="e">
        <f>Basistabelle!#REF!</f>
        <v>#REF!</v>
      </c>
      <c r="AC24" s="171">
        <v>17</v>
      </c>
      <c r="AD24" s="171"/>
      <c r="AE24" s="171"/>
      <c r="AF24" s="171"/>
      <c r="AG24" s="172"/>
      <c r="AH24" s="18">
        <f t="shared" si="20"/>
        <v>18</v>
      </c>
      <c r="AI24" s="145" t="str">
        <f t="shared" ca="1" si="13"/>
        <v/>
      </c>
      <c r="AJ24" s="167">
        <v>21</v>
      </c>
      <c r="AK24" s="167"/>
      <c r="AL24" s="167"/>
      <c r="AM24" s="167"/>
      <c r="AN24" s="167"/>
      <c r="AO24" s="168"/>
      <c r="AP24" s="18">
        <f t="shared" si="25"/>
        <v>15</v>
      </c>
      <c r="AQ24" s="145" t="str">
        <f t="shared" ca="1" si="5"/>
        <v/>
      </c>
      <c r="AR24" s="167">
        <v>25</v>
      </c>
      <c r="AS24" s="167"/>
      <c r="AT24" s="167"/>
      <c r="AU24" s="167"/>
      <c r="AV24" s="167"/>
      <c r="AW24" s="168"/>
      <c r="AX24" s="18">
        <f t="shared" si="17"/>
        <v>20</v>
      </c>
      <c r="AY24" s="145" t="str">
        <f t="shared" ca="1" si="6"/>
        <v/>
      </c>
      <c r="AZ24" s="125">
        <f>Basistabelle!D205</f>
        <v>0</v>
      </c>
      <c r="BA24" s="124"/>
      <c r="BB24" s="121">
        <f>Basistabelle!E205</f>
        <v>0</v>
      </c>
      <c r="BC24" s="124"/>
      <c r="BD24" s="125">
        <f>Basistabelle!F205</f>
        <v>0</v>
      </c>
      <c r="BE24" s="144"/>
      <c r="BF24" s="21">
        <f t="shared" si="21"/>
        <v>17</v>
      </c>
      <c r="BG24" s="145" t="str">
        <f t="shared" ca="1" si="7"/>
        <v/>
      </c>
      <c r="BH24" s="167">
        <v>34</v>
      </c>
      <c r="BI24" s="167"/>
      <c r="BJ24" s="167"/>
      <c r="BK24" s="167"/>
      <c r="BL24" s="167"/>
      <c r="BM24" s="168"/>
      <c r="BN24" s="18">
        <f t="shared" si="14"/>
        <v>21</v>
      </c>
      <c r="BO24" s="145" t="str">
        <f t="shared" ca="1" si="8"/>
        <v/>
      </c>
      <c r="BP24" s="125">
        <f>Basistabelle!D269</f>
        <v>0</v>
      </c>
      <c r="BQ24" s="124"/>
      <c r="BR24" s="121" t="e">
        <f>Basistabelle!#REF!</f>
        <v>#REF!</v>
      </c>
      <c r="BS24" s="124"/>
      <c r="BT24" s="125">
        <f>Basistabelle!F269</f>
        <v>0</v>
      </c>
      <c r="BU24" s="144"/>
      <c r="BV24" s="18">
        <f t="shared" si="19"/>
        <v>19</v>
      </c>
      <c r="BW24" s="145" t="str">
        <f t="shared" ca="1" si="9"/>
        <v/>
      </c>
      <c r="BX24" s="167">
        <v>43</v>
      </c>
      <c r="BY24" s="167"/>
      <c r="BZ24" s="167"/>
      <c r="CA24" s="167"/>
      <c r="CB24" s="167"/>
      <c r="CC24" s="168"/>
      <c r="CD24" s="18">
        <f t="shared" si="24"/>
        <v>16</v>
      </c>
      <c r="CE24" s="145" t="str">
        <f t="shared" ca="1" si="10"/>
        <v/>
      </c>
      <c r="CF24" s="167">
        <v>47</v>
      </c>
      <c r="CG24" s="167"/>
      <c r="CH24" s="167"/>
      <c r="CI24" s="167"/>
      <c r="CJ24" s="167"/>
      <c r="CK24" s="168"/>
      <c r="CL24" s="18">
        <f t="shared" si="15"/>
        <v>21</v>
      </c>
      <c r="CM24" s="145" t="str">
        <f t="shared" ca="1" si="11"/>
        <v/>
      </c>
      <c r="CN24" s="125">
        <f>Basistabelle!D360</f>
        <v>0</v>
      </c>
      <c r="CO24" s="171">
        <v>52</v>
      </c>
      <c r="CP24" s="171"/>
      <c r="CQ24" s="171"/>
      <c r="CR24" s="171"/>
      <c r="CS24" s="172"/>
    </row>
    <row r="25" spans="1:97" s="2" customFormat="1" x14ac:dyDescent="0.2">
      <c r="A25" s="6" t="s">
        <v>6</v>
      </c>
      <c r="B25" s="8">
        <f t="shared" si="18"/>
        <v>20</v>
      </c>
      <c r="C25" s="145" t="str">
        <f t="shared" ca="1" si="12"/>
        <v/>
      </c>
      <c r="D25" s="125">
        <f>Basistabelle!D25</f>
        <v>0</v>
      </c>
      <c r="E25" s="124"/>
      <c r="F25" s="121">
        <f>Basistabelle!E25</f>
        <v>0</v>
      </c>
      <c r="G25" s="124"/>
      <c r="H25" s="125">
        <f>Basistabelle!F25</f>
        <v>0</v>
      </c>
      <c r="I25" s="124"/>
      <c r="J25" s="6">
        <f t="shared" si="22"/>
        <v>17</v>
      </c>
      <c r="K25" s="145" t="str">
        <f t="shared" ca="1" si="1"/>
        <v/>
      </c>
      <c r="L25" s="125">
        <f>Basistabelle!D52</f>
        <v>0</v>
      </c>
      <c r="M25" s="124"/>
      <c r="N25" s="121">
        <f>Basistabelle!E53</f>
        <v>0</v>
      </c>
      <c r="O25" s="124"/>
      <c r="P25" s="125">
        <f>Basistabelle!F53</f>
        <v>0</v>
      </c>
      <c r="Q25" s="124"/>
      <c r="R25" s="6">
        <f t="shared" si="23"/>
        <v>17</v>
      </c>
      <c r="S25" s="145" t="str">
        <f t="shared" ca="1" si="2"/>
        <v/>
      </c>
      <c r="T25" s="125">
        <f>Basistabelle!D81</f>
        <v>0</v>
      </c>
      <c r="U25" s="124"/>
      <c r="V25" s="121">
        <f>Basistabelle!E81</f>
        <v>0</v>
      </c>
      <c r="W25" s="124"/>
      <c r="X25" s="125">
        <f>Basistabelle!F81</f>
        <v>0</v>
      </c>
      <c r="Y25" s="124"/>
      <c r="Z25" s="6">
        <f t="shared" si="16"/>
        <v>21</v>
      </c>
      <c r="AA25" s="145" t="str">
        <f t="shared" ca="1" si="3"/>
        <v/>
      </c>
      <c r="AB25" s="125">
        <f>Basistabelle!D115</f>
        <v>0</v>
      </c>
      <c r="AC25" s="124"/>
      <c r="AD25" s="121">
        <f>Basistabelle!E115</f>
        <v>0</v>
      </c>
      <c r="AE25" s="124"/>
      <c r="AF25" s="125">
        <f>Basistabelle!F116</f>
        <v>0</v>
      </c>
      <c r="AG25" s="124"/>
      <c r="AH25" s="6">
        <f t="shared" si="20"/>
        <v>19</v>
      </c>
      <c r="AI25" s="145" t="str">
        <f t="shared" ca="1" si="13"/>
        <v/>
      </c>
      <c r="AJ25" s="125">
        <f>Basistabelle!D144</f>
        <v>0</v>
      </c>
      <c r="AK25" s="124"/>
      <c r="AL25" s="121">
        <f>Basistabelle!E144</f>
        <v>0</v>
      </c>
      <c r="AM25" s="124"/>
      <c r="AN25" s="125">
        <f>Basistabelle!F144</f>
        <v>0</v>
      </c>
      <c r="AO25" s="124"/>
      <c r="AP25" s="6">
        <f t="shared" si="25"/>
        <v>16</v>
      </c>
      <c r="AQ25" s="145" t="str">
        <f t="shared" ca="1" si="5"/>
        <v/>
      </c>
      <c r="AR25" s="125">
        <f>Basistabelle!D172</f>
        <v>0</v>
      </c>
      <c r="AS25" s="124"/>
      <c r="AT25" s="121">
        <f>Basistabelle!E172</f>
        <v>0</v>
      </c>
      <c r="AU25" s="124"/>
      <c r="AV25" s="125">
        <f>Basistabelle!F172</f>
        <v>0</v>
      </c>
      <c r="AW25" s="124"/>
      <c r="AX25" s="6">
        <f t="shared" si="17"/>
        <v>21</v>
      </c>
      <c r="AY25" s="145" t="str">
        <f t="shared" ca="1" si="6"/>
        <v/>
      </c>
      <c r="AZ25" s="125">
        <f>Basistabelle!D206</f>
        <v>0</v>
      </c>
      <c r="BA25" s="124"/>
      <c r="BB25" s="121">
        <f>Basistabelle!E206</f>
        <v>0</v>
      </c>
      <c r="BC25" s="124"/>
      <c r="BD25" s="125">
        <f>Basistabelle!F206</f>
        <v>0</v>
      </c>
      <c r="BE25" s="124"/>
      <c r="BF25" s="21">
        <f t="shared" si="21"/>
        <v>18</v>
      </c>
      <c r="BG25" s="145" t="str">
        <f t="shared" ca="1" si="7"/>
        <v/>
      </c>
      <c r="BH25" s="125">
        <f>Basistabelle!D234</f>
        <v>0</v>
      </c>
      <c r="BI25" s="124"/>
      <c r="BJ25" s="121">
        <f>Basistabelle!E235</f>
        <v>0</v>
      </c>
      <c r="BK25" s="124"/>
      <c r="BL25" s="125">
        <f>Basistabelle!F235</f>
        <v>0</v>
      </c>
      <c r="BM25" s="124"/>
      <c r="BN25" s="6">
        <f t="shared" si="14"/>
        <v>22</v>
      </c>
      <c r="BO25" s="145" t="str">
        <f t="shared" ca="1" si="8"/>
        <v/>
      </c>
      <c r="BP25" s="125">
        <f>Basistabelle!D270</f>
        <v>0</v>
      </c>
      <c r="BQ25" s="124"/>
      <c r="BR25" s="121">
        <f>Basistabelle!E269</f>
        <v>0</v>
      </c>
      <c r="BS25" s="124"/>
      <c r="BT25" s="125">
        <f>Basistabelle!F270</f>
        <v>0</v>
      </c>
      <c r="BU25" s="124"/>
      <c r="BV25" s="6">
        <f t="shared" si="19"/>
        <v>20</v>
      </c>
      <c r="BW25" s="145" t="str">
        <f t="shared" ca="1" si="9"/>
        <v/>
      </c>
      <c r="BX25" s="125">
        <f>Basistabelle!D297</f>
        <v>0</v>
      </c>
      <c r="BY25" s="124"/>
      <c r="BZ25" s="121">
        <f>Basistabelle!E298</f>
        <v>0</v>
      </c>
      <c r="CA25" s="124"/>
      <c r="CB25" s="125">
        <f>Basistabelle!F298</f>
        <v>0</v>
      </c>
      <c r="CC25" s="124"/>
      <c r="CD25" s="6">
        <f t="shared" si="24"/>
        <v>17</v>
      </c>
      <c r="CE25" s="145" t="str">
        <f t="shared" ca="1" si="10"/>
        <v/>
      </c>
      <c r="CF25" s="125">
        <f>Basistabelle!D326</f>
        <v>0</v>
      </c>
      <c r="CG25" s="124"/>
      <c r="CH25" s="121">
        <f>Basistabelle!E326</f>
        <v>0</v>
      </c>
      <c r="CI25" s="124"/>
      <c r="CJ25" s="125">
        <f>Basistabelle!F326</f>
        <v>0</v>
      </c>
      <c r="CK25" s="124"/>
      <c r="CL25" s="6">
        <f t="shared" si="15"/>
        <v>22</v>
      </c>
      <c r="CM25" s="145" t="str">
        <f t="shared" ca="1" si="11"/>
        <v/>
      </c>
      <c r="CN25" s="125">
        <f>Basistabelle!D361</f>
        <v>0</v>
      </c>
      <c r="CO25" s="124"/>
      <c r="CP25" s="121">
        <f>Basistabelle!E361</f>
        <v>0</v>
      </c>
      <c r="CQ25" s="124"/>
      <c r="CR25" s="125">
        <f>Basistabelle!F361</f>
        <v>0</v>
      </c>
      <c r="CS25" s="139"/>
    </row>
    <row r="26" spans="1:97" s="2" customFormat="1" x14ac:dyDescent="0.2">
      <c r="A26" s="6" t="s">
        <v>7</v>
      </c>
      <c r="B26" s="8">
        <f t="shared" si="18"/>
        <v>21</v>
      </c>
      <c r="C26" s="145" t="str">
        <f t="shared" ca="1" si="12"/>
        <v/>
      </c>
      <c r="D26" s="125">
        <f>Basistabelle!D26</f>
        <v>0</v>
      </c>
      <c r="E26" s="124"/>
      <c r="F26" s="121">
        <f>Basistabelle!E26</f>
        <v>0</v>
      </c>
      <c r="G26" s="124"/>
      <c r="H26" s="125">
        <f>Basistabelle!F26</f>
        <v>0</v>
      </c>
      <c r="I26" s="124"/>
      <c r="J26" s="6">
        <f t="shared" si="22"/>
        <v>18</v>
      </c>
      <c r="K26" s="145" t="str">
        <f t="shared" ca="1" si="1"/>
        <v/>
      </c>
      <c r="L26" s="125">
        <f>Basistabelle!D53</f>
        <v>0</v>
      </c>
      <c r="M26" s="124"/>
      <c r="N26" s="121">
        <f>Basistabelle!E54</f>
        <v>0</v>
      </c>
      <c r="O26" s="124"/>
      <c r="P26" s="125">
        <f>Basistabelle!F54</f>
        <v>0</v>
      </c>
      <c r="Q26" s="124"/>
      <c r="R26" s="6">
        <f t="shared" si="23"/>
        <v>18</v>
      </c>
      <c r="S26" s="145" t="str">
        <f t="shared" ca="1" si="2"/>
        <v/>
      </c>
      <c r="T26" s="125">
        <f>Basistabelle!D82</f>
        <v>0</v>
      </c>
      <c r="U26" s="124"/>
      <c r="V26" s="121">
        <f>Basistabelle!E82</f>
        <v>0</v>
      </c>
      <c r="W26" s="124"/>
      <c r="X26" s="125">
        <f>Basistabelle!F82</f>
        <v>0</v>
      </c>
      <c r="Y26" s="124"/>
      <c r="Z26" s="6">
        <f t="shared" si="16"/>
        <v>22</v>
      </c>
      <c r="AA26" s="145" t="str">
        <f t="shared" ca="1" si="3"/>
        <v/>
      </c>
      <c r="AB26" s="125">
        <f>Basistabelle!D116</f>
        <v>0</v>
      </c>
      <c r="AC26" s="124"/>
      <c r="AD26" s="121">
        <f>Basistabelle!E116</f>
        <v>0</v>
      </c>
      <c r="AE26" s="124"/>
      <c r="AF26" s="125">
        <f>Basistabelle!F117</f>
        <v>0</v>
      </c>
      <c r="AG26" s="124"/>
      <c r="AH26" s="6">
        <f t="shared" si="20"/>
        <v>20</v>
      </c>
      <c r="AI26" s="145" t="str">
        <f t="shared" ca="1" si="13"/>
        <v/>
      </c>
      <c r="AJ26" s="125">
        <f>Basistabelle!D145</f>
        <v>0</v>
      </c>
      <c r="AK26" s="124"/>
      <c r="AL26" s="121">
        <f>Basistabelle!E145</f>
        <v>0</v>
      </c>
      <c r="AM26" s="124"/>
      <c r="AN26" s="125">
        <f>Basistabelle!F145</f>
        <v>0</v>
      </c>
      <c r="AO26" s="124"/>
      <c r="AP26" s="6">
        <f t="shared" si="25"/>
        <v>17</v>
      </c>
      <c r="AQ26" s="145" t="str">
        <f t="shared" ca="1" si="5"/>
        <v/>
      </c>
      <c r="AR26" s="125">
        <f>Basistabelle!D173</f>
        <v>0</v>
      </c>
      <c r="AS26" s="124"/>
      <c r="AT26" s="121">
        <f>Basistabelle!E173</f>
        <v>0</v>
      </c>
      <c r="AU26" s="124"/>
      <c r="AV26" s="125">
        <f>Basistabelle!F173</f>
        <v>0</v>
      </c>
      <c r="AW26" s="124"/>
      <c r="AX26" s="6">
        <f t="shared" si="17"/>
        <v>22</v>
      </c>
      <c r="AY26" s="145" t="str">
        <f t="shared" ca="1" si="6"/>
        <v/>
      </c>
      <c r="AZ26" s="125">
        <f>Basistabelle!D207</f>
        <v>0</v>
      </c>
      <c r="BA26" s="124"/>
      <c r="BB26" s="121">
        <f>Basistabelle!E207</f>
        <v>0</v>
      </c>
      <c r="BC26" s="124"/>
      <c r="BD26" s="125">
        <f>Basistabelle!F207</f>
        <v>0</v>
      </c>
      <c r="BE26" s="124"/>
      <c r="BF26" s="21">
        <f t="shared" si="21"/>
        <v>19</v>
      </c>
      <c r="BG26" s="145" t="str">
        <f t="shared" ca="1" si="7"/>
        <v/>
      </c>
      <c r="BH26" s="125">
        <f>Basistabelle!D235</f>
        <v>0</v>
      </c>
      <c r="BI26" s="124"/>
      <c r="BJ26" s="121">
        <f>Basistabelle!E236</f>
        <v>0</v>
      </c>
      <c r="BK26" s="124"/>
      <c r="BL26" s="125">
        <f>Basistabelle!F236</f>
        <v>0</v>
      </c>
      <c r="BM26" s="124"/>
      <c r="BN26" s="6">
        <f t="shared" si="14"/>
        <v>23</v>
      </c>
      <c r="BO26" s="145" t="str">
        <f t="shared" ca="1" si="8"/>
        <v/>
      </c>
      <c r="BP26" s="125">
        <f>Basistabelle!D271</f>
        <v>0</v>
      </c>
      <c r="BQ26" s="124"/>
      <c r="BR26" s="121">
        <f>Basistabelle!E270</f>
        <v>0</v>
      </c>
      <c r="BS26" s="124"/>
      <c r="BT26" s="125">
        <f>Basistabelle!F271</f>
        <v>0</v>
      </c>
      <c r="BU26" s="124"/>
      <c r="BV26" s="6">
        <f t="shared" si="19"/>
        <v>21</v>
      </c>
      <c r="BW26" s="145" t="str">
        <f t="shared" ca="1" si="9"/>
        <v/>
      </c>
      <c r="BX26" s="125">
        <f>Basistabelle!D298</f>
        <v>0</v>
      </c>
      <c r="BY26" s="124"/>
      <c r="BZ26" s="121">
        <f>Basistabelle!E299</f>
        <v>0</v>
      </c>
      <c r="CA26" s="124"/>
      <c r="CB26" s="125">
        <f>Basistabelle!F299</f>
        <v>0</v>
      </c>
      <c r="CC26" s="124"/>
      <c r="CD26" s="6">
        <f t="shared" si="24"/>
        <v>18</v>
      </c>
      <c r="CE26" s="145" t="str">
        <f t="shared" ca="1" si="10"/>
        <v/>
      </c>
      <c r="CF26" s="125">
        <f>Basistabelle!D327</f>
        <v>0</v>
      </c>
      <c r="CG26" s="124"/>
      <c r="CH26" s="121">
        <f>Basistabelle!E327</f>
        <v>0</v>
      </c>
      <c r="CI26" s="124"/>
      <c r="CJ26" s="125">
        <f>Basistabelle!F327</f>
        <v>0</v>
      </c>
      <c r="CK26" s="124"/>
      <c r="CL26" s="6">
        <f t="shared" si="15"/>
        <v>23</v>
      </c>
      <c r="CM26" s="145" t="str">
        <f t="shared" ca="1" si="11"/>
        <v/>
      </c>
      <c r="CN26" s="125">
        <f>Basistabelle!D362</f>
        <v>0</v>
      </c>
      <c r="CO26" s="124"/>
      <c r="CP26" s="121">
        <f>Basistabelle!E362</f>
        <v>0</v>
      </c>
      <c r="CQ26" s="124"/>
      <c r="CR26" s="125">
        <f>Basistabelle!F362</f>
        <v>0</v>
      </c>
      <c r="CS26" s="139"/>
    </row>
    <row r="27" spans="1:97" s="2" customFormat="1" x14ac:dyDescent="0.2">
      <c r="A27" s="6" t="s">
        <v>8</v>
      </c>
      <c r="B27" s="8">
        <f t="shared" si="18"/>
        <v>22</v>
      </c>
      <c r="C27" s="145" t="str">
        <f t="shared" ca="1" si="12"/>
        <v/>
      </c>
      <c r="D27" s="125">
        <f>Basistabelle!D27</f>
        <v>0</v>
      </c>
      <c r="E27" s="124"/>
      <c r="F27" s="121">
        <f>Basistabelle!E27</f>
        <v>0</v>
      </c>
      <c r="G27" s="124"/>
      <c r="H27" s="125">
        <f>Basistabelle!F27</f>
        <v>0</v>
      </c>
      <c r="I27" s="124"/>
      <c r="J27" s="6">
        <f t="shared" si="22"/>
        <v>19</v>
      </c>
      <c r="K27" s="145" t="str">
        <f t="shared" ca="1" si="1"/>
        <v/>
      </c>
      <c r="L27" s="125">
        <f>Basistabelle!D54</f>
        <v>0</v>
      </c>
      <c r="M27" s="124"/>
      <c r="N27" s="121">
        <f>Basistabelle!E55</f>
        <v>0</v>
      </c>
      <c r="O27" s="124"/>
      <c r="P27" s="125">
        <f>Basistabelle!F55</f>
        <v>0</v>
      </c>
      <c r="Q27" s="124"/>
      <c r="R27" s="6">
        <f t="shared" si="23"/>
        <v>19</v>
      </c>
      <c r="S27" s="145" t="str">
        <f t="shared" ca="1" si="2"/>
        <v/>
      </c>
      <c r="T27" s="125">
        <f>Basistabelle!D83</f>
        <v>0</v>
      </c>
      <c r="U27" s="124"/>
      <c r="V27" s="121">
        <f>Basistabelle!E83</f>
        <v>0</v>
      </c>
      <c r="W27" s="124"/>
      <c r="X27" s="125">
        <f>Basistabelle!F83</f>
        <v>0</v>
      </c>
      <c r="Y27" s="124"/>
      <c r="Z27" s="6">
        <f t="shared" si="16"/>
        <v>23</v>
      </c>
      <c r="AA27" s="145" t="str">
        <f t="shared" ca="1" si="3"/>
        <v/>
      </c>
      <c r="AB27" s="125">
        <f>Basistabelle!D117</f>
        <v>0</v>
      </c>
      <c r="AC27" s="124"/>
      <c r="AD27" s="121">
        <f>Basistabelle!E118</f>
        <v>0</v>
      </c>
      <c r="AE27" s="124"/>
      <c r="AF27" s="125">
        <f>Basistabelle!F118</f>
        <v>0</v>
      </c>
      <c r="AG27" s="124"/>
      <c r="AH27" s="6">
        <f t="shared" si="20"/>
        <v>21</v>
      </c>
      <c r="AI27" s="145" t="str">
        <f t="shared" ca="1" si="13"/>
        <v/>
      </c>
      <c r="AJ27" s="125">
        <f>Basistabelle!D146</f>
        <v>0</v>
      </c>
      <c r="AK27" s="124"/>
      <c r="AL27" s="121">
        <f>Basistabelle!E146</f>
        <v>0</v>
      </c>
      <c r="AM27" s="124"/>
      <c r="AN27" s="125">
        <f>Basistabelle!F146</f>
        <v>0</v>
      </c>
      <c r="AO27" s="124"/>
      <c r="AP27" s="6">
        <f t="shared" si="25"/>
        <v>18</v>
      </c>
      <c r="AQ27" s="145" t="str">
        <f t="shared" ca="1" si="5"/>
        <v/>
      </c>
      <c r="AR27" s="125">
        <f>Basistabelle!D174</f>
        <v>0</v>
      </c>
      <c r="AS27" s="124"/>
      <c r="AT27" s="121">
        <f>Basistabelle!E174</f>
        <v>0</v>
      </c>
      <c r="AU27" s="124"/>
      <c r="AV27" s="125">
        <f>Basistabelle!F174</f>
        <v>0</v>
      </c>
      <c r="AW27" s="124"/>
      <c r="AX27" s="6">
        <f t="shared" si="17"/>
        <v>23</v>
      </c>
      <c r="AY27" s="145" t="str">
        <f t="shared" ca="1" si="6"/>
        <v/>
      </c>
      <c r="AZ27" s="125">
        <f>Basistabelle!D208</f>
        <v>0</v>
      </c>
      <c r="BA27" s="124"/>
      <c r="BB27" s="121">
        <f>Basistabelle!E208</f>
        <v>0</v>
      </c>
      <c r="BC27" s="124"/>
      <c r="BD27" s="125">
        <f>Basistabelle!F208</f>
        <v>0</v>
      </c>
      <c r="BE27" s="124"/>
      <c r="BF27" s="21">
        <f t="shared" si="21"/>
        <v>20</v>
      </c>
      <c r="BG27" s="145" t="str">
        <f t="shared" ca="1" si="7"/>
        <v/>
      </c>
      <c r="BH27" s="125">
        <f>Basistabelle!D237</f>
        <v>0</v>
      </c>
      <c r="BI27" s="124"/>
      <c r="BJ27" s="121">
        <f>Basistabelle!E237</f>
        <v>0</v>
      </c>
      <c r="BK27" s="124"/>
      <c r="BL27" s="125">
        <f>Basistabelle!F237</f>
        <v>0</v>
      </c>
      <c r="BM27" s="124"/>
      <c r="BN27" s="6">
        <f t="shared" si="14"/>
        <v>24</v>
      </c>
      <c r="BO27" s="145" t="str">
        <f t="shared" ca="1" si="8"/>
        <v/>
      </c>
      <c r="BP27" s="125">
        <f>Basistabelle!D272</f>
        <v>0</v>
      </c>
      <c r="BQ27" s="124"/>
      <c r="BR27" s="121">
        <f>Basistabelle!E271</f>
        <v>0</v>
      </c>
      <c r="BS27" s="124"/>
      <c r="BT27" s="125">
        <f>Basistabelle!F272</f>
        <v>0</v>
      </c>
      <c r="BU27" s="124"/>
      <c r="BV27" s="6">
        <f t="shared" si="19"/>
        <v>22</v>
      </c>
      <c r="BW27" s="145" t="str">
        <f t="shared" ca="1" si="9"/>
        <v/>
      </c>
      <c r="BX27" s="125">
        <f>Basistabelle!D300</f>
        <v>0</v>
      </c>
      <c r="BY27" s="124"/>
      <c r="BZ27" s="121">
        <f>Basistabelle!E300</f>
        <v>0</v>
      </c>
      <c r="CA27" s="124"/>
      <c r="CB27" s="125">
        <f>Basistabelle!F300</f>
        <v>0</v>
      </c>
      <c r="CC27" s="124"/>
      <c r="CD27" s="6">
        <f t="shared" si="24"/>
        <v>19</v>
      </c>
      <c r="CE27" s="145" t="str">
        <f t="shared" ca="1" si="10"/>
        <v/>
      </c>
      <c r="CF27" s="125">
        <f>Basistabelle!D328</f>
        <v>0</v>
      </c>
      <c r="CG27" s="124"/>
      <c r="CH27" s="121">
        <f>Basistabelle!E328</f>
        <v>0</v>
      </c>
      <c r="CI27" s="124"/>
      <c r="CJ27" s="125">
        <f>Basistabelle!F328</f>
        <v>0</v>
      </c>
      <c r="CK27" s="124"/>
      <c r="CL27" s="6">
        <f t="shared" si="15"/>
        <v>24</v>
      </c>
      <c r="CM27" s="145" t="str">
        <f t="shared" ca="1" si="11"/>
        <v/>
      </c>
      <c r="CN27" s="125">
        <f>Basistabelle!D363</f>
        <v>0</v>
      </c>
      <c r="CO27" s="124"/>
      <c r="CP27" s="121">
        <f>Basistabelle!E363</f>
        <v>0</v>
      </c>
      <c r="CQ27" s="124"/>
      <c r="CR27" s="125">
        <f>Basistabelle!F363</f>
        <v>0</v>
      </c>
      <c r="CS27" s="139"/>
    </row>
    <row r="28" spans="1:97" s="2" customFormat="1" x14ac:dyDescent="0.2">
      <c r="A28" s="6" t="s">
        <v>3</v>
      </c>
      <c r="B28" s="8">
        <f t="shared" si="18"/>
        <v>23</v>
      </c>
      <c r="C28" s="145" t="str">
        <f t="shared" ca="1" si="12"/>
        <v/>
      </c>
      <c r="D28" s="125">
        <f>Basistabelle!D28</f>
        <v>0</v>
      </c>
      <c r="E28" s="124"/>
      <c r="F28" s="121">
        <f>Basistabelle!E28</f>
        <v>0</v>
      </c>
      <c r="G28" s="124"/>
      <c r="H28" s="125">
        <f>Basistabelle!F28</f>
        <v>0</v>
      </c>
      <c r="I28" s="124"/>
      <c r="J28" s="6">
        <f t="shared" si="22"/>
        <v>20</v>
      </c>
      <c r="K28" s="145" t="str">
        <f t="shared" ca="1" si="1"/>
        <v/>
      </c>
      <c r="L28" s="125">
        <f>Basistabelle!D55</f>
        <v>0</v>
      </c>
      <c r="M28" s="124"/>
      <c r="N28" s="121">
        <f>Basistabelle!E56</f>
        <v>0</v>
      </c>
      <c r="O28" s="124"/>
      <c r="P28" s="125">
        <f>Basistabelle!F56</f>
        <v>0</v>
      </c>
      <c r="Q28" s="124"/>
      <c r="R28" s="6">
        <f t="shared" si="23"/>
        <v>20</v>
      </c>
      <c r="S28" s="145" t="str">
        <f t="shared" ca="1" si="2"/>
        <v/>
      </c>
      <c r="T28" s="125">
        <f>Basistabelle!D84</f>
        <v>0</v>
      </c>
      <c r="U28" s="124"/>
      <c r="V28" s="121">
        <f>Basistabelle!E84</f>
        <v>0</v>
      </c>
      <c r="W28" s="124"/>
      <c r="X28" s="125">
        <f>Basistabelle!F84</f>
        <v>0</v>
      </c>
      <c r="Y28" s="124"/>
      <c r="Z28" s="6">
        <f t="shared" si="16"/>
        <v>24</v>
      </c>
      <c r="AA28" s="145" t="str">
        <f t="shared" ca="1" si="3"/>
        <v/>
      </c>
      <c r="AB28" s="125">
        <f>Basistabelle!D118</f>
        <v>0</v>
      </c>
      <c r="AC28" s="124"/>
      <c r="AD28" s="121">
        <f>Basistabelle!E119</f>
        <v>0</v>
      </c>
      <c r="AE28" s="124"/>
      <c r="AF28" s="125">
        <f>Basistabelle!F119</f>
        <v>0</v>
      </c>
      <c r="AG28" s="124"/>
      <c r="AH28" s="6">
        <f t="shared" si="20"/>
        <v>22</v>
      </c>
      <c r="AI28" s="145" t="str">
        <f t="shared" ca="1" si="13"/>
        <v/>
      </c>
      <c r="AJ28" s="125">
        <f>Basistabelle!D147</f>
        <v>0</v>
      </c>
      <c r="AK28" s="124"/>
      <c r="AL28" s="121">
        <f>Basistabelle!E147</f>
        <v>0</v>
      </c>
      <c r="AM28" s="124"/>
      <c r="AN28" s="125">
        <f>Basistabelle!F147</f>
        <v>0</v>
      </c>
      <c r="AO28" s="124"/>
      <c r="AP28" s="6">
        <f t="shared" si="25"/>
        <v>19</v>
      </c>
      <c r="AQ28" s="145" t="str">
        <f t="shared" ca="1" si="5"/>
        <v/>
      </c>
      <c r="AR28" s="125">
        <f>Basistabelle!D175</f>
        <v>0</v>
      </c>
      <c r="AS28" s="124"/>
      <c r="AT28" s="121">
        <f>Basistabelle!E175</f>
        <v>0</v>
      </c>
      <c r="AU28" s="124"/>
      <c r="AV28" s="125">
        <f>Basistabelle!F175</f>
        <v>0</v>
      </c>
      <c r="AW28" s="124"/>
      <c r="AX28" s="6">
        <f t="shared" si="17"/>
        <v>24</v>
      </c>
      <c r="AY28" s="145" t="str">
        <f t="shared" ca="1" si="6"/>
        <v/>
      </c>
      <c r="AZ28" s="125">
        <f>Basistabelle!D209</f>
        <v>0</v>
      </c>
      <c r="BA28" s="124"/>
      <c r="BB28" s="121">
        <f>Basistabelle!E209</f>
        <v>0</v>
      </c>
      <c r="BC28" s="124"/>
      <c r="BD28" s="125">
        <f>Basistabelle!F209</f>
        <v>0</v>
      </c>
      <c r="BE28" s="124"/>
      <c r="BF28" s="21">
        <f t="shared" si="21"/>
        <v>21</v>
      </c>
      <c r="BG28" s="145" t="str">
        <f t="shared" ca="1" si="7"/>
        <v/>
      </c>
      <c r="BH28" s="125">
        <f>Basistabelle!D238</f>
        <v>0</v>
      </c>
      <c r="BI28" s="124"/>
      <c r="BJ28" s="121">
        <f>Basistabelle!E238</f>
        <v>0</v>
      </c>
      <c r="BK28" s="124"/>
      <c r="BL28" s="125">
        <f>Basistabelle!F238</f>
        <v>0</v>
      </c>
      <c r="BM28" s="124"/>
      <c r="BN28" s="6">
        <f t="shared" si="14"/>
        <v>25</v>
      </c>
      <c r="BO28" s="145" t="str">
        <f t="shared" ca="1" si="8"/>
        <v/>
      </c>
      <c r="BP28" s="125">
        <f>Basistabelle!D273</f>
        <v>0</v>
      </c>
      <c r="BQ28" s="124"/>
      <c r="BR28" s="121">
        <f>Basistabelle!E272</f>
        <v>0</v>
      </c>
      <c r="BS28" s="124"/>
      <c r="BT28" s="125">
        <f>Basistabelle!F273</f>
        <v>0</v>
      </c>
      <c r="BU28" s="124"/>
      <c r="BV28" s="6">
        <f t="shared" si="19"/>
        <v>23</v>
      </c>
      <c r="BW28" s="145" t="str">
        <f t="shared" ca="1" si="9"/>
        <v/>
      </c>
      <c r="BX28" s="125">
        <f>Basistabelle!D301</f>
        <v>0</v>
      </c>
      <c r="BY28" s="124"/>
      <c r="BZ28" s="121">
        <f>Basistabelle!E301</f>
        <v>0</v>
      </c>
      <c r="CA28" s="124"/>
      <c r="CB28" s="125">
        <f>Basistabelle!F301</f>
        <v>0</v>
      </c>
      <c r="CC28" s="124"/>
      <c r="CD28" s="6">
        <f t="shared" si="24"/>
        <v>20</v>
      </c>
      <c r="CE28" s="145" t="str">
        <f t="shared" ca="1" si="10"/>
        <v/>
      </c>
      <c r="CF28" s="125">
        <f>Basistabelle!D329</f>
        <v>0</v>
      </c>
      <c r="CG28" s="124"/>
      <c r="CH28" s="121">
        <f>Basistabelle!E329</f>
        <v>0</v>
      </c>
      <c r="CI28" s="124"/>
      <c r="CJ28" s="125">
        <f>Basistabelle!F329</f>
        <v>0</v>
      </c>
      <c r="CK28" s="124"/>
      <c r="CL28" s="6">
        <f t="shared" si="15"/>
        <v>25</v>
      </c>
      <c r="CM28" s="145" t="str">
        <f t="shared" ca="1" si="11"/>
        <v/>
      </c>
      <c r="CN28" s="125">
        <f>Basistabelle!D364</f>
        <v>0</v>
      </c>
      <c r="CO28" s="124"/>
      <c r="CP28" s="121">
        <f>Basistabelle!E364</f>
        <v>0</v>
      </c>
      <c r="CQ28" s="124"/>
      <c r="CR28" s="125">
        <f>Basistabelle!F364</f>
        <v>0</v>
      </c>
      <c r="CS28" s="139"/>
    </row>
    <row r="29" spans="1:97" s="2" customFormat="1" ht="12.75" customHeight="1" x14ac:dyDescent="0.2">
      <c r="A29" s="9" t="s">
        <v>4</v>
      </c>
      <c r="B29" s="10">
        <f t="shared" si="18"/>
        <v>24</v>
      </c>
      <c r="C29" s="145" t="str">
        <f t="shared" ca="1" si="12"/>
        <v/>
      </c>
      <c r="D29" s="126">
        <f>Basistabelle!D29</f>
        <v>0</v>
      </c>
      <c r="E29" s="126"/>
      <c r="F29" s="126">
        <f>Basistabelle!E29</f>
        <v>0</v>
      </c>
      <c r="G29" s="126"/>
      <c r="H29" s="126">
        <f>Basistabelle!F29</f>
        <v>0</v>
      </c>
      <c r="I29" s="126"/>
      <c r="J29" s="51">
        <f t="shared" si="22"/>
        <v>21</v>
      </c>
      <c r="K29" s="145" t="str">
        <f t="shared" ca="1" si="1"/>
        <v/>
      </c>
      <c r="L29" s="126">
        <f>Basistabelle!D56</f>
        <v>0</v>
      </c>
      <c r="M29" s="126"/>
      <c r="N29" s="126">
        <f>Basistabelle!E57</f>
        <v>0</v>
      </c>
      <c r="O29" s="126"/>
      <c r="P29" s="126">
        <f>Basistabelle!F57</f>
        <v>0</v>
      </c>
      <c r="Q29" s="126"/>
      <c r="R29" s="9">
        <f t="shared" si="23"/>
        <v>21</v>
      </c>
      <c r="S29" s="145" t="str">
        <f t="shared" ca="1" si="2"/>
        <v/>
      </c>
      <c r="T29" s="126">
        <f>Basistabelle!D85</f>
        <v>0</v>
      </c>
      <c r="U29" s="126"/>
      <c r="V29" s="126">
        <f>Basistabelle!E85</f>
        <v>0</v>
      </c>
      <c r="W29" s="126"/>
      <c r="X29" s="126">
        <f>Basistabelle!F85</f>
        <v>0</v>
      </c>
      <c r="Y29" s="126"/>
      <c r="Z29" s="9">
        <f t="shared" si="16"/>
        <v>25</v>
      </c>
      <c r="AA29" s="145" t="str">
        <f t="shared" ca="1" si="3"/>
        <v/>
      </c>
      <c r="AB29" s="126">
        <f>Basistabelle!D119</f>
        <v>0</v>
      </c>
      <c r="AC29" s="126"/>
      <c r="AD29" s="126">
        <f>Basistabelle!E120</f>
        <v>0</v>
      </c>
      <c r="AE29" s="126"/>
      <c r="AF29" s="126">
        <f>Basistabelle!F120</f>
        <v>0</v>
      </c>
      <c r="AG29" s="126"/>
      <c r="AH29" s="9">
        <f t="shared" si="20"/>
        <v>23</v>
      </c>
      <c r="AI29" s="145" t="str">
        <f t="shared" ca="1" si="13"/>
        <v/>
      </c>
      <c r="AJ29" s="126">
        <f>Basistabelle!D148</f>
        <v>0</v>
      </c>
      <c r="AK29" s="126"/>
      <c r="AL29" s="126">
        <f>Basistabelle!E148</f>
        <v>0</v>
      </c>
      <c r="AM29" s="126"/>
      <c r="AN29" s="126">
        <f>Basistabelle!F148</f>
        <v>0</v>
      </c>
      <c r="AO29" s="126"/>
      <c r="AP29" s="9">
        <f t="shared" si="25"/>
        <v>20</v>
      </c>
      <c r="AQ29" s="145" t="str">
        <f t="shared" ca="1" si="5"/>
        <v/>
      </c>
      <c r="AR29" s="126">
        <f>Basistabelle!D176</f>
        <v>0</v>
      </c>
      <c r="AS29" s="126"/>
      <c r="AT29" s="126">
        <f>Basistabelle!E176</f>
        <v>0</v>
      </c>
      <c r="AU29" s="126"/>
      <c r="AV29" s="126">
        <f>Basistabelle!F176</f>
        <v>0</v>
      </c>
      <c r="AW29" s="126"/>
      <c r="AX29" s="9">
        <f t="shared" si="17"/>
        <v>25</v>
      </c>
      <c r="AY29" s="145" t="str">
        <f t="shared" ca="1" si="6"/>
        <v/>
      </c>
      <c r="AZ29" s="126">
        <f>Basistabelle!D210</f>
        <v>0</v>
      </c>
      <c r="BA29" s="126"/>
      <c r="BB29" s="126">
        <f>Basistabelle!E210</f>
        <v>0</v>
      </c>
      <c r="BC29" s="126"/>
      <c r="BD29" s="126">
        <f>Basistabelle!F210</f>
        <v>0</v>
      </c>
      <c r="BE29" s="126"/>
      <c r="BF29" s="22">
        <f t="shared" si="21"/>
        <v>22</v>
      </c>
      <c r="BG29" s="145" t="str">
        <f t="shared" ca="1" si="7"/>
        <v/>
      </c>
      <c r="BH29" s="126">
        <f>Basistabelle!D239</f>
        <v>0</v>
      </c>
      <c r="BI29" s="126"/>
      <c r="BJ29" s="126">
        <f>Basistabelle!E239</f>
        <v>0</v>
      </c>
      <c r="BK29" s="126"/>
      <c r="BL29" s="126">
        <f>Basistabelle!F239</f>
        <v>0</v>
      </c>
      <c r="BM29" s="126"/>
      <c r="BN29" s="9">
        <f t="shared" si="14"/>
        <v>26</v>
      </c>
      <c r="BO29" s="145" t="str">
        <f t="shared" ca="1" si="8"/>
        <v/>
      </c>
      <c r="BP29" s="126">
        <f>Basistabelle!D274</f>
        <v>0</v>
      </c>
      <c r="BQ29" s="126"/>
      <c r="BR29" s="126">
        <f>Basistabelle!E273</f>
        <v>0</v>
      </c>
      <c r="BS29" s="126"/>
      <c r="BT29" s="126">
        <f>Basistabelle!F274</f>
        <v>0</v>
      </c>
      <c r="BU29" s="126"/>
      <c r="BV29" s="9">
        <f t="shared" si="19"/>
        <v>24</v>
      </c>
      <c r="BW29" s="145" t="str">
        <f t="shared" ca="1" si="9"/>
        <v/>
      </c>
      <c r="BX29" s="126">
        <f>Basistabelle!D302</f>
        <v>0</v>
      </c>
      <c r="BY29" s="126"/>
      <c r="BZ29" s="126">
        <f>Basistabelle!E302</f>
        <v>0</v>
      </c>
      <c r="CA29" s="126"/>
      <c r="CB29" s="126">
        <f>Basistabelle!F302</f>
        <v>0</v>
      </c>
      <c r="CC29" s="126"/>
      <c r="CD29" s="9">
        <f t="shared" si="24"/>
        <v>21</v>
      </c>
      <c r="CE29" s="145" t="str">
        <f t="shared" ca="1" si="10"/>
        <v/>
      </c>
      <c r="CF29" s="126">
        <f>Basistabelle!D330</f>
        <v>0</v>
      </c>
      <c r="CG29" s="126"/>
      <c r="CH29" s="126">
        <f>Basistabelle!E330</f>
        <v>0</v>
      </c>
      <c r="CI29" s="126"/>
      <c r="CJ29" s="126">
        <f>Basistabelle!F330</f>
        <v>0</v>
      </c>
      <c r="CK29" s="126"/>
      <c r="CL29" s="9">
        <f t="shared" si="15"/>
        <v>26</v>
      </c>
      <c r="CM29" s="145" t="str">
        <f t="shared" ca="1" si="11"/>
        <v/>
      </c>
      <c r="CN29" s="126">
        <f>Basistabelle!D365</f>
        <v>0</v>
      </c>
      <c r="CO29" s="126"/>
      <c r="CP29" s="126">
        <f>Basistabelle!E365</f>
        <v>0</v>
      </c>
      <c r="CQ29" s="126"/>
      <c r="CR29" s="126">
        <f>Basistabelle!F365</f>
        <v>0</v>
      </c>
      <c r="CS29" s="140"/>
    </row>
    <row r="30" spans="1:97" s="2" customFormat="1" x14ac:dyDescent="0.2">
      <c r="A30" s="9" t="s">
        <v>5</v>
      </c>
      <c r="B30" s="10">
        <f t="shared" si="18"/>
        <v>25</v>
      </c>
      <c r="C30" s="145" t="str">
        <f t="shared" ca="1" si="12"/>
        <v/>
      </c>
      <c r="D30" s="126">
        <f>Basistabelle!D30</f>
        <v>0</v>
      </c>
      <c r="E30" s="126"/>
      <c r="F30" s="126">
        <f>Basistabelle!E30</f>
        <v>0</v>
      </c>
      <c r="G30" s="126"/>
      <c r="H30" s="126">
        <f>Basistabelle!F30</f>
        <v>0</v>
      </c>
      <c r="I30" s="126"/>
      <c r="J30" s="51">
        <f t="shared" si="22"/>
        <v>22</v>
      </c>
      <c r="K30" s="145" t="str">
        <f t="shared" ca="1" si="1"/>
        <v/>
      </c>
      <c r="L30" s="126">
        <f>Basistabelle!D57</f>
        <v>0</v>
      </c>
      <c r="M30" s="126"/>
      <c r="N30" s="126">
        <f>Basistabelle!E58</f>
        <v>0</v>
      </c>
      <c r="O30" s="126"/>
      <c r="P30" s="126">
        <f>Basistabelle!F58</f>
        <v>0</v>
      </c>
      <c r="Q30" s="126"/>
      <c r="R30" s="9">
        <f t="shared" si="23"/>
        <v>22</v>
      </c>
      <c r="S30" s="145" t="str">
        <f t="shared" ca="1" si="2"/>
        <v/>
      </c>
      <c r="T30" s="126">
        <f>Basistabelle!D86</f>
        <v>0</v>
      </c>
      <c r="U30" s="126"/>
      <c r="V30" s="126">
        <f>Basistabelle!E86</f>
        <v>0</v>
      </c>
      <c r="W30" s="126"/>
      <c r="X30" s="126">
        <f>Basistabelle!F86</f>
        <v>0</v>
      </c>
      <c r="Y30" s="126"/>
      <c r="Z30" s="9">
        <f t="shared" si="16"/>
        <v>26</v>
      </c>
      <c r="AA30" s="145" t="str">
        <f t="shared" ca="1" si="3"/>
        <v/>
      </c>
      <c r="AB30" s="126">
        <f>Basistabelle!D120</f>
        <v>0</v>
      </c>
      <c r="AC30" s="126"/>
      <c r="AD30" s="126">
        <f>Basistabelle!E121</f>
        <v>0</v>
      </c>
      <c r="AE30" s="126"/>
      <c r="AF30" s="126">
        <f>Basistabelle!F121</f>
        <v>0</v>
      </c>
      <c r="AG30" s="126"/>
      <c r="AH30" s="9">
        <f t="shared" si="20"/>
        <v>24</v>
      </c>
      <c r="AI30" s="145" t="str">
        <f t="shared" ca="1" si="13"/>
        <v/>
      </c>
      <c r="AJ30" s="126">
        <f>Basistabelle!D149</f>
        <v>0</v>
      </c>
      <c r="AK30" s="126"/>
      <c r="AL30" s="126">
        <f>Basistabelle!E149</f>
        <v>0</v>
      </c>
      <c r="AM30" s="126"/>
      <c r="AN30" s="126">
        <f>Basistabelle!F149</f>
        <v>0</v>
      </c>
      <c r="AO30" s="126"/>
      <c r="AP30" s="9">
        <f t="shared" si="25"/>
        <v>21</v>
      </c>
      <c r="AQ30" s="145" t="str">
        <f t="shared" ca="1" si="5"/>
        <v/>
      </c>
      <c r="AR30" s="126">
        <f>Basistabelle!D177</f>
        <v>0</v>
      </c>
      <c r="AS30" s="126"/>
      <c r="AT30" s="126">
        <f>Basistabelle!E177</f>
        <v>0</v>
      </c>
      <c r="AU30" s="126"/>
      <c r="AV30" s="126">
        <f>Basistabelle!F177</f>
        <v>0</v>
      </c>
      <c r="AW30" s="126"/>
      <c r="AX30" s="9">
        <f t="shared" si="17"/>
        <v>26</v>
      </c>
      <c r="AY30" s="145" t="str">
        <f t="shared" ca="1" si="6"/>
        <v/>
      </c>
      <c r="AZ30" s="126">
        <f>Basistabelle!D211</f>
        <v>0</v>
      </c>
      <c r="BA30" s="126"/>
      <c r="BB30" s="126">
        <f>Basistabelle!E211</f>
        <v>0</v>
      </c>
      <c r="BC30" s="126"/>
      <c r="BD30" s="126">
        <f>Basistabelle!F211</f>
        <v>0</v>
      </c>
      <c r="BE30" s="126"/>
      <c r="BF30" s="9">
        <f t="shared" si="21"/>
        <v>23</v>
      </c>
      <c r="BG30" s="145" t="str">
        <f t="shared" ca="1" si="7"/>
        <v/>
      </c>
      <c r="BH30" s="126">
        <f>Basistabelle!D240</f>
        <v>0</v>
      </c>
      <c r="BI30" s="126"/>
      <c r="BJ30" s="126">
        <f>Basistabelle!E240</f>
        <v>0</v>
      </c>
      <c r="BK30" s="126"/>
      <c r="BL30" s="126">
        <f>Basistabelle!F240</f>
        <v>0</v>
      </c>
      <c r="BM30" s="126"/>
      <c r="BN30" s="9">
        <f t="shared" si="14"/>
        <v>27</v>
      </c>
      <c r="BO30" s="145" t="str">
        <f t="shared" ca="1" si="8"/>
        <v/>
      </c>
      <c r="BP30" s="126">
        <f>Basistabelle!D275</f>
        <v>0</v>
      </c>
      <c r="BQ30" s="126"/>
      <c r="BR30" s="126">
        <f>Basistabelle!E274</f>
        <v>0</v>
      </c>
      <c r="BS30" s="126"/>
      <c r="BT30" s="126">
        <f>Basistabelle!F275</f>
        <v>0</v>
      </c>
      <c r="BU30" s="126"/>
      <c r="BV30" s="9">
        <f t="shared" si="19"/>
        <v>25</v>
      </c>
      <c r="BW30" s="145" t="str">
        <f t="shared" ca="1" si="9"/>
        <v/>
      </c>
      <c r="BX30" s="126">
        <f>Basistabelle!D303</f>
        <v>0</v>
      </c>
      <c r="BY30" s="126"/>
      <c r="BZ30" s="126">
        <f>Basistabelle!E303</f>
        <v>0</v>
      </c>
      <c r="CA30" s="126"/>
      <c r="CB30" s="126">
        <f>Basistabelle!F303</f>
        <v>0</v>
      </c>
      <c r="CC30" s="126"/>
      <c r="CD30" s="9">
        <f t="shared" si="24"/>
        <v>22</v>
      </c>
      <c r="CE30" s="145" t="str">
        <f t="shared" ca="1" si="10"/>
        <v/>
      </c>
      <c r="CF30" s="126">
        <f>Basistabelle!D331</f>
        <v>0</v>
      </c>
      <c r="CG30" s="126"/>
      <c r="CH30" s="126">
        <f>Basistabelle!E331</f>
        <v>0</v>
      </c>
      <c r="CI30" s="126"/>
      <c r="CJ30" s="126">
        <f>Basistabelle!F331</f>
        <v>0</v>
      </c>
      <c r="CK30" s="126"/>
      <c r="CL30" s="9">
        <f t="shared" si="15"/>
        <v>27</v>
      </c>
      <c r="CM30" s="145" t="str">
        <f t="shared" ca="1" si="11"/>
        <v/>
      </c>
      <c r="CN30" s="126">
        <f>Basistabelle!D366</f>
        <v>0</v>
      </c>
      <c r="CO30" s="126"/>
      <c r="CP30" s="126">
        <f>Basistabelle!E366</f>
        <v>0</v>
      </c>
      <c r="CQ30" s="126"/>
      <c r="CR30" s="126">
        <f>Basistabelle!F366</f>
        <v>0</v>
      </c>
      <c r="CS30" s="140"/>
    </row>
    <row r="31" spans="1:97" s="2" customFormat="1" ht="15" customHeight="1" x14ac:dyDescent="0.2">
      <c r="A31" s="6" t="s">
        <v>25</v>
      </c>
      <c r="B31" s="8">
        <f t="shared" si="18"/>
        <v>26</v>
      </c>
      <c r="C31" s="145" t="str">
        <f t="shared" ca="1" si="12"/>
        <v/>
      </c>
      <c r="D31" s="169">
        <v>5</v>
      </c>
      <c r="E31" s="169"/>
      <c r="F31" s="169"/>
      <c r="G31" s="169"/>
      <c r="H31" s="169"/>
      <c r="I31" s="170"/>
      <c r="J31" s="18">
        <f t="shared" si="22"/>
        <v>23</v>
      </c>
      <c r="K31" s="145" t="str">
        <f t="shared" ca="1" si="1"/>
        <v/>
      </c>
      <c r="L31" s="169">
        <v>9</v>
      </c>
      <c r="M31" s="169"/>
      <c r="N31" s="169"/>
      <c r="O31" s="169"/>
      <c r="P31" s="169"/>
      <c r="Q31" s="170"/>
      <c r="R31" s="18">
        <f t="shared" si="23"/>
        <v>23</v>
      </c>
      <c r="S31" s="145" t="str">
        <f t="shared" ca="1" si="2"/>
        <v/>
      </c>
      <c r="T31" s="167">
        <v>13</v>
      </c>
      <c r="U31" s="167"/>
      <c r="V31" s="167"/>
      <c r="W31" s="167"/>
      <c r="X31" s="167"/>
      <c r="Y31" s="168"/>
      <c r="Z31" s="18">
        <f t="shared" si="16"/>
        <v>27</v>
      </c>
      <c r="AA31" s="145" t="str">
        <f t="shared" ca="1" si="3"/>
        <v/>
      </c>
      <c r="AB31" s="125">
        <f>Basistabelle!D121</f>
        <v>0</v>
      </c>
      <c r="AC31" s="171">
        <v>18</v>
      </c>
      <c r="AD31" s="171"/>
      <c r="AE31" s="171"/>
      <c r="AF31" s="171"/>
      <c r="AG31" s="172"/>
      <c r="AH31" s="18">
        <f t="shared" si="20"/>
        <v>25</v>
      </c>
      <c r="AI31" s="145" t="str">
        <f t="shared" ca="1" si="13"/>
        <v/>
      </c>
      <c r="AJ31" s="167">
        <v>22</v>
      </c>
      <c r="AK31" s="167"/>
      <c r="AL31" s="167"/>
      <c r="AM31" s="167"/>
      <c r="AN31" s="167"/>
      <c r="AO31" s="168"/>
      <c r="AP31" s="18">
        <f t="shared" si="25"/>
        <v>22</v>
      </c>
      <c r="AQ31" s="145" t="str">
        <f t="shared" ca="1" si="5"/>
        <v/>
      </c>
      <c r="AR31" s="167">
        <v>26</v>
      </c>
      <c r="AS31" s="167"/>
      <c r="AT31" s="167"/>
      <c r="AU31" s="167"/>
      <c r="AV31" s="167"/>
      <c r="AW31" s="168"/>
      <c r="AX31" s="18">
        <f t="shared" si="17"/>
        <v>27</v>
      </c>
      <c r="AY31" s="145" t="str">
        <f t="shared" ca="1" si="6"/>
        <v/>
      </c>
      <c r="AZ31" s="125">
        <f>Basistabelle!D212</f>
        <v>0</v>
      </c>
      <c r="BA31" s="124"/>
      <c r="BB31" s="121">
        <f>Basistabelle!E212</f>
        <v>0</v>
      </c>
      <c r="BC31" s="124"/>
      <c r="BD31" s="125">
        <f>Basistabelle!F212</f>
        <v>0</v>
      </c>
      <c r="BE31" s="144"/>
      <c r="BF31" s="21">
        <f t="shared" si="21"/>
        <v>24</v>
      </c>
      <c r="BG31" s="145" t="str">
        <f t="shared" ca="1" si="7"/>
        <v/>
      </c>
      <c r="BH31" s="167">
        <v>35</v>
      </c>
      <c r="BI31" s="167"/>
      <c r="BJ31" s="167"/>
      <c r="BK31" s="167"/>
      <c r="BL31" s="167"/>
      <c r="BM31" s="168"/>
      <c r="BN31" s="18">
        <f t="shared" si="14"/>
        <v>28</v>
      </c>
      <c r="BO31" s="145" t="str">
        <f t="shared" ca="1" si="8"/>
        <v/>
      </c>
      <c r="BP31" s="125">
        <f>Basistabelle!D276</f>
        <v>0</v>
      </c>
      <c r="BQ31" s="124"/>
      <c r="BR31" s="121">
        <f>Basistabelle!E275</f>
        <v>0</v>
      </c>
      <c r="BS31" s="124"/>
      <c r="BT31" s="125">
        <f>Basistabelle!F276</f>
        <v>0</v>
      </c>
      <c r="BU31" s="144"/>
      <c r="BV31" s="18">
        <f t="shared" si="19"/>
        <v>26</v>
      </c>
      <c r="BW31" s="145" t="str">
        <f t="shared" ca="1" si="9"/>
        <v/>
      </c>
      <c r="BX31" s="167">
        <v>44</v>
      </c>
      <c r="BY31" s="167"/>
      <c r="BZ31" s="167"/>
      <c r="CA31" s="167"/>
      <c r="CB31" s="167"/>
      <c r="CC31" s="168"/>
      <c r="CD31" s="18">
        <f t="shared" si="24"/>
        <v>23</v>
      </c>
      <c r="CE31" s="145" t="str">
        <f t="shared" ca="1" si="10"/>
        <v/>
      </c>
      <c r="CF31" s="167">
        <v>48</v>
      </c>
      <c r="CG31" s="167"/>
      <c r="CH31" s="167"/>
      <c r="CI31" s="167"/>
      <c r="CJ31" s="167"/>
      <c r="CK31" s="168"/>
      <c r="CL31" s="18">
        <f t="shared" si="15"/>
        <v>28</v>
      </c>
      <c r="CM31" s="145" t="str">
        <f t="shared" ca="1" si="11"/>
        <v/>
      </c>
      <c r="CN31" s="125">
        <f>Basistabelle!D367</f>
        <v>0</v>
      </c>
      <c r="CO31" s="124"/>
      <c r="CP31" s="121">
        <f>Basistabelle!E367</f>
        <v>0</v>
      </c>
      <c r="CQ31" s="124"/>
      <c r="CR31" s="125">
        <f>Basistabelle!F367</f>
        <v>0</v>
      </c>
      <c r="CS31" s="144"/>
    </row>
    <row r="32" spans="1:97" s="2" customFormat="1" x14ac:dyDescent="0.2">
      <c r="A32" s="6" t="s">
        <v>6</v>
      </c>
      <c r="B32" s="8">
        <f t="shared" si="18"/>
        <v>27</v>
      </c>
      <c r="C32" s="145" t="str">
        <f t="shared" ca="1" si="12"/>
        <v/>
      </c>
      <c r="D32" s="125">
        <f>Basistabelle!D32</f>
        <v>0</v>
      </c>
      <c r="E32" s="124"/>
      <c r="F32" s="121">
        <f>Basistabelle!E32</f>
        <v>0</v>
      </c>
      <c r="G32" s="124"/>
      <c r="H32" s="125">
        <f>Basistabelle!F32</f>
        <v>0</v>
      </c>
      <c r="I32" s="124"/>
      <c r="J32" s="6">
        <f t="shared" si="22"/>
        <v>24</v>
      </c>
      <c r="K32" s="145" t="str">
        <f t="shared" ca="1" si="1"/>
        <v/>
      </c>
      <c r="L32" s="125">
        <f>Basistabelle!D59</f>
        <v>0</v>
      </c>
      <c r="M32" s="124"/>
      <c r="N32" s="121">
        <f>Basistabelle!E60</f>
        <v>0</v>
      </c>
      <c r="O32" s="124"/>
      <c r="P32" s="125">
        <f>Basistabelle!F60</f>
        <v>0</v>
      </c>
      <c r="Q32" s="124"/>
      <c r="R32" s="6">
        <f t="shared" si="23"/>
        <v>24</v>
      </c>
      <c r="S32" s="145" t="str">
        <f t="shared" ca="1" si="2"/>
        <v/>
      </c>
      <c r="T32" s="125">
        <f>Basistabelle!D88</f>
        <v>0</v>
      </c>
      <c r="U32" s="124"/>
      <c r="V32" s="121">
        <f>Basistabelle!E88</f>
        <v>0</v>
      </c>
      <c r="W32" s="124"/>
      <c r="X32" s="125">
        <f>Basistabelle!F88</f>
        <v>0</v>
      </c>
      <c r="Y32" s="124"/>
      <c r="Z32" s="6">
        <f t="shared" si="16"/>
        <v>28</v>
      </c>
      <c r="AA32" s="145" t="str">
        <f t="shared" ca="1" si="3"/>
        <v/>
      </c>
      <c r="AB32" s="125">
        <f>Basistabelle!D122</f>
        <v>0</v>
      </c>
      <c r="AC32" s="124"/>
      <c r="AD32" s="121">
        <f>Basistabelle!E123</f>
        <v>0</v>
      </c>
      <c r="AE32" s="124"/>
      <c r="AF32" s="125">
        <f>Basistabelle!F123</f>
        <v>0</v>
      </c>
      <c r="AG32" s="124"/>
      <c r="AH32" s="6">
        <f t="shared" si="20"/>
        <v>26</v>
      </c>
      <c r="AI32" s="145" t="str">
        <f t="shared" ca="1" si="13"/>
        <v/>
      </c>
      <c r="AJ32" s="125">
        <f>Basistabelle!D151</f>
        <v>0</v>
      </c>
      <c r="AK32" s="124"/>
      <c r="AL32" s="121">
        <f>Basistabelle!E151</f>
        <v>0</v>
      </c>
      <c r="AM32" s="124"/>
      <c r="AN32" s="125">
        <f>Basistabelle!F151</f>
        <v>0</v>
      </c>
      <c r="AO32" s="124"/>
      <c r="AP32" s="6">
        <f t="shared" si="25"/>
        <v>23</v>
      </c>
      <c r="AQ32" s="145" t="str">
        <f t="shared" ca="1" si="5"/>
        <v/>
      </c>
      <c r="AR32" s="125">
        <f>Basistabelle!D179</f>
        <v>0</v>
      </c>
      <c r="AS32" s="124"/>
      <c r="AT32" s="121">
        <f>Basistabelle!E179</f>
        <v>0</v>
      </c>
      <c r="AU32" s="124"/>
      <c r="AV32" s="125">
        <f>Basistabelle!F179</f>
        <v>0</v>
      </c>
      <c r="AW32" s="124"/>
      <c r="AX32" s="6">
        <f t="shared" si="17"/>
        <v>28</v>
      </c>
      <c r="AY32" s="145" t="str">
        <f t="shared" ca="1" si="6"/>
        <v/>
      </c>
      <c r="AZ32" s="125">
        <f>Basistabelle!D213</f>
        <v>0</v>
      </c>
      <c r="BA32" s="124"/>
      <c r="BB32" s="121">
        <f>Basistabelle!E213</f>
        <v>0</v>
      </c>
      <c r="BC32" s="124"/>
      <c r="BD32" s="125">
        <f>Basistabelle!F213</f>
        <v>0</v>
      </c>
      <c r="BE32" s="124"/>
      <c r="BF32" s="21">
        <f t="shared" si="21"/>
        <v>25</v>
      </c>
      <c r="BG32" s="145" t="str">
        <f t="shared" ca="1" si="7"/>
        <v/>
      </c>
      <c r="BH32" s="125">
        <f>Basistabelle!D242</f>
        <v>0</v>
      </c>
      <c r="BI32" s="124"/>
      <c r="BJ32" s="121">
        <f>Basistabelle!E242</f>
        <v>0</v>
      </c>
      <c r="BK32" s="124"/>
      <c r="BL32" s="125">
        <f>Basistabelle!F242</f>
        <v>0</v>
      </c>
      <c r="BM32" s="124"/>
      <c r="BN32" s="6">
        <f t="shared" si="14"/>
        <v>29</v>
      </c>
      <c r="BO32" s="145" t="str">
        <f t="shared" ca="1" si="8"/>
        <v/>
      </c>
      <c r="BP32" s="125">
        <f>Basistabelle!D277</f>
        <v>0</v>
      </c>
      <c r="BQ32" s="124"/>
      <c r="BR32" s="121">
        <f>Basistabelle!E276</f>
        <v>0</v>
      </c>
      <c r="BS32" s="124"/>
      <c r="BT32" s="125">
        <f>Basistabelle!F277</f>
        <v>0</v>
      </c>
      <c r="BU32" s="124"/>
      <c r="BV32" s="6">
        <f t="shared" si="19"/>
        <v>27</v>
      </c>
      <c r="BW32" s="145" t="str">
        <f t="shared" ca="1" si="9"/>
        <v/>
      </c>
      <c r="BX32" s="125">
        <f>Basistabelle!D305</f>
        <v>0</v>
      </c>
      <c r="BY32" s="124"/>
      <c r="BZ32" s="121">
        <f>Basistabelle!E305</f>
        <v>0</v>
      </c>
      <c r="CA32" s="124"/>
      <c r="CB32" s="125">
        <f>Basistabelle!F305</f>
        <v>0</v>
      </c>
      <c r="CC32" s="124"/>
      <c r="CD32" s="6">
        <f t="shared" si="24"/>
        <v>24</v>
      </c>
      <c r="CE32" s="145" t="str">
        <f t="shared" ca="1" si="10"/>
        <v/>
      </c>
      <c r="CF32" s="125">
        <f>Basistabelle!D333</f>
        <v>0</v>
      </c>
      <c r="CG32" s="124"/>
      <c r="CH32" s="121">
        <f>Basistabelle!E333</f>
        <v>0</v>
      </c>
      <c r="CI32" s="124"/>
      <c r="CJ32" s="125">
        <f>Basistabelle!F333</f>
        <v>0</v>
      </c>
      <c r="CK32" s="124"/>
      <c r="CL32" s="6">
        <f t="shared" si="15"/>
        <v>29</v>
      </c>
      <c r="CM32" s="145" t="str">
        <f t="shared" ca="1" si="11"/>
        <v/>
      </c>
      <c r="CN32" s="125">
        <f>Basistabelle!D368</f>
        <v>0</v>
      </c>
      <c r="CO32" s="124"/>
      <c r="CP32" s="121">
        <f>Basistabelle!E368</f>
        <v>0</v>
      </c>
      <c r="CQ32" s="124"/>
      <c r="CR32" s="125">
        <f>Basistabelle!F368</f>
        <v>0</v>
      </c>
      <c r="CS32" s="139"/>
    </row>
    <row r="33" spans="1:97" s="2" customFormat="1" x14ac:dyDescent="0.2">
      <c r="A33" s="6" t="s">
        <v>7</v>
      </c>
      <c r="B33" s="8">
        <f t="shared" si="18"/>
        <v>28</v>
      </c>
      <c r="C33" s="145" t="str">
        <f t="shared" ca="1" si="12"/>
        <v/>
      </c>
      <c r="D33" s="125">
        <f>Basistabelle!D33</f>
        <v>0</v>
      </c>
      <c r="E33" s="124"/>
      <c r="F33" s="121">
        <f>Basistabelle!E33</f>
        <v>0</v>
      </c>
      <c r="G33" s="124"/>
      <c r="H33" s="125">
        <f>Basistabelle!F33</f>
        <v>0</v>
      </c>
      <c r="I33" s="124"/>
      <c r="J33" s="6">
        <f t="shared" si="22"/>
        <v>25</v>
      </c>
      <c r="K33" s="145" t="str">
        <f t="shared" ca="1" si="1"/>
        <v/>
      </c>
      <c r="L33" s="125">
        <f>Basistabelle!D60</f>
        <v>0</v>
      </c>
      <c r="M33" s="124"/>
      <c r="N33" s="121">
        <f>Basistabelle!E61</f>
        <v>0</v>
      </c>
      <c r="O33" s="124"/>
      <c r="P33" s="125">
        <f>Basistabelle!F61</f>
        <v>0</v>
      </c>
      <c r="Q33" s="124"/>
      <c r="R33" s="6">
        <f t="shared" si="23"/>
        <v>25</v>
      </c>
      <c r="S33" s="145" t="str">
        <f t="shared" ca="1" si="2"/>
        <v/>
      </c>
      <c r="T33" s="125">
        <f>Basistabelle!D89</f>
        <v>0</v>
      </c>
      <c r="U33" s="124"/>
      <c r="V33" s="121">
        <f>Basistabelle!E89</f>
        <v>0</v>
      </c>
      <c r="W33" s="124"/>
      <c r="X33" s="125">
        <f>Basistabelle!F89</f>
        <v>0</v>
      </c>
      <c r="Y33" s="124"/>
      <c r="Z33" s="6">
        <f t="shared" si="16"/>
        <v>29</v>
      </c>
      <c r="AA33" s="145" t="str">
        <f t="shared" ca="1" si="3"/>
        <v/>
      </c>
      <c r="AB33" s="125">
        <f>Basistabelle!D123</f>
        <v>0</v>
      </c>
      <c r="AC33" s="124"/>
      <c r="AD33" s="121">
        <f>Basistabelle!E124</f>
        <v>0</v>
      </c>
      <c r="AE33" s="124"/>
      <c r="AF33" s="125">
        <f>Basistabelle!F124</f>
        <v>0</v>
      </c>
      <c r="AG33" s="124"/>
      <c r="AH33" s="6">
        <f t="shared" si="20"/>
        <v>27</v>
      </c>
      <c r="AI33" s="145" t="str">
        <f t="shared" ca="1" si="13"/>
        <v/>
      </c>
      <c r="AJ33" s="125">
        <f>Basistabelle!D152</f>
        <v>0</v>
      </c>
      <c r="AK33" s="124"/>
      <c r="AL33" s="121">
        <f>Basistabelle!E152</f>
        <v>0</v>
      </c>
      <c r="AM33" s="124"/>
      <c r="AN33" s="125">
        <f>Basistabelle!F152</f>
        <v>0</v>
      </c>
      <c r="AO33" s="124"/>
      <c r="AP33" s="6">
        <f t="shared" si="25"/>
        <v>24</v>
      </c>
      <c r="AQ33" s="145" t="str">
        <f t="shared" ca="1" si="5"/>
        <v/>
      </c>
      <c r="AR33" s="125">
        <f>Basistabelle!D180</f>
        <v>0</v>
      </c>
      <c r="AS33" s="124"/>
      <c r="AT33" s="121">
        <f>Basistabelle!E180</f>
        <v>0</v>
      </c>
      <c r="AU33" s="124"/>
      <c r="AV33" s="125">
        <f>Basistabelle!F180</f>
        <v>0</v>
      </c>
      <c r="AW33" s="124"/>
      <c r="AX33" s="6">
        <f t="shared" si="17"/>
        <v>29</v>
      </c>
      <c r="AY33" s="145" t="str">
        <f t="shared" ca="1" si="6"/>
        <v/>
      </c>
      <c r="AZ33" s="125">
        <f>Basistabelle!D214</f>
        <v>0</v>
      </c>
      <c r="BA33" s="124"/>
      <c r="BB33" s="121">
        <f>Basistabelle!E214</f>
        <v>0</v>
      </c>
      <c r="BC33" s="124"/>
      <c r="BD33" s="125">
        <f>Basistabelle!F214</f>
        <v>0</v>
      </c>
      <c r="BE33" s="124"/>
      <c r="BF33" s="21">
        <f t="shared" si="21"/>
        <v>26</v>
      </c>
      <c r="BG33" s="145" t="str">
        <f t="shared" ca="1" si="7"/>
        <v/>
      </c>
      <c r="BH33" s="125">
        <f>Basistabelle!D243</f>
        <v>0</v>
      </c>
      <c r="BI33" s="124"/>
      <c r="BJ33" s="121">
        <f>Basistabelle!E243</f>
        <v>0</v>
      </c>
      <c r="BK33" s="124"/>
      <c r="BL33" s="125">
        <f>Basistabelle!F243</f>
        <v>0</v>
      </c>
      <c r="BM33" s="124"/>
      <c r="BN33" s="6">
        <f t="shared" si="14"/>
        <v>30</v>
      </c>
      <c r="BO33" s="145" t="str">
        <f t="shared" ca="1" si="8"/>
        <v/>
      </c>
      <c r="BP33" s="125">
        <f>Basistabelle!D278</f>
        <v>0</v>
      </c>
      <c r="BQ33" s="124"/>
      <c r="BR33" s="121">
        <f>Basistabelle!E277</f>
        <v>0</v>
      </c>
      <c r="BS33" s="124"/>
      <c r="BT33" s="125">
        <f>Basistabelle!F278</f>
        <v>0</v>
      </c>
      <c r="BU33" s="124"/>
      <c r="BV33" s="6">
        <f t="shared" si="19"/>
        <v>28</v>
      </c>
      <c r="BW33" s="145" t="str">
        <f t="shared" ca="1" si="9"/>
        <v/>
      </c>
      <c r="BX33" s="125">
        <f>Basistabelle!D306</f>
        <v>0</v>
      </c>
      <c r="BY33" s="124"/>
      <c r="BZ33" s="121">
        <f>Basistabelle!E306</f>
        <v>0</v>
      </c>
      <c r="CA33" s="124"/>
      <c r="CB33" s="125">
        <f>Basistabelle!F306</f>
        <v>0</v>
      </c>
      <c r="CC33" s="124"/>
      <c r="CD33" s="6">
        <f t="shared" si="24"/>
        <v>25</v>
      </c>
      <c r="CE33" s="145" t="str">
        <f t="shared" ca="1" si="10"/>
        <v/>
      </c>
      <c r="CF33" s="125">
        <f>Basistabelle!D334</f>
        <v>0</v>
      </c>
      <c r="CG33" s="124"/>
      <c r="CH33" s="121">
        <f>Basistabelle!E334</f>
        <v>0</v>
      </c>
      <c r="CI33" s="124"/>
      <c r="CJ33" s="125">
        <f>Basistabelle!F334</f>
        <v>0</v>
      </c>
      <c r="CK33" s="124"/>
      <c r="CL33" s="6">
        <f t="shared" si="15"/>
        <v>30</v>
      </c>
      <c r="CM33" s="145" t="str">
        <f t="shared" ca="1" si="11"/>
        <v/>
      </c>
      <c r="CN33" s="125">
        <f>Basistabelle!D369</f>
        <v>0</v>
      </c>
      <c r="CO33" s="124"/>
      <c r="CP33" s="121">
        <f>Basistabelle!E369</f>
        <v>0</v>
      </c>
      <c r="CQ33" s="124"/>
      <c r="CR33" s="125">
        <f>Basistabelle!F369</f>
        <v>0</v>
      </c>
      <c r="CS33" s="139"/>
    </row>
    <row r="34" spans="1:97" s="2" customFormat="1" x14ac:dyDescent="0.2">
      <c r="A34" s="6" t="s">
        <v>8</v>
      </c>
      <c r="B34" s="8">
        <f t="shared" si="18"/>
        <v>29</v>
      </c>
      <c r="C34" s="145" t="str">
        <f t="shared" ca="1" si="12"/>
        <v/>
      </c>
      <c r="D34" s="125">
        <f>Basistabelle!D34</f>
        <v>0</v>
      </c>
      <c r="E34" s="124"/>
      <c r="F34" s="121">
        <f>Basistabelle!E34</f>
        <v>0</v>
      </c>
      <c r="G34" s="124"/>
      <c r="H34" s="125">
        <f>Basistabelle!F34</f>
        <v>0</v>
      </c>
      <c r="I34" s="124"/>
      <c r="J34" s="6">
        <f t="shared" si="22"/>
        <v>26</v>
      </c>
      <c r="K34" s="145" t="str">
        <f t="shared" ca="1" si="1"/>
        <v/>
      </c>
      <c r="L34" s="125">
        <f>Basistabelle!D62</f>
        <v>0</v>
      </c>
      <c r="M34" s="124"/>
      <c r="N34" s="121">
        <f>Basistabelle!E62</f>
        <v>0</v>
      </c>
      <c r="O34" s="124"/>
      <c r="P34" s="125">
        <f>Basistabelle!F62</f>
        <v>0</v>
      </c>
      <c r="Q34" s="124"/>
      <c r="R34" s="6">
        <f t="shared" si="23"/>
        <v>26</v>
      </c>
      <c r="S34" s="145" t="str">
        <f t="shared" ca="1" si="2"/>
        <v/>
      </c>
      <c r="T34" s="125">
        <f>Basistabelle!D90</f>
        <v>0</v>
      </c>
      <c r="U34" s="124"/>
      <c r="V34" s="121">
        <f>Basistabelle!E90</f>
        <v>0</v>
      </c>
      <c r="W34" s="124"/>
      <c r="X34" s="125">
        <f>Basistabelle!F90</f>
        <v>0</v>
      </c>
      <c r="Y34" s="124"/>
      <c r="Z34" s="6">
        <f t="shared" si="16"/>
        <v>30</v>
      </c>
      <c r="AA34" s="145" t="str">
        <f t="shared" ca="1" si="3"/>
        <v/>
      </c>
      <c r="AB34" s="125">
        <f>Basistabelle!D124</f>
        <v>0</v>
      </c>
      <c r="AC34" s="124"/>
      <c r="AD34" s="121">
        <f>Basistabelle!E125</f>
        <v>0</v>
      </c>
      <c r="AE34" s="124"/>
      <c r="AF34" s="125">
        <f>Basistabelle!F125</f>
        <v>0</v>
      </c>
      <c r="AG34" s="124"/>
      <c r="AH34" s="6">
        <f t="shared" si="20"/>
        <v>28</v>
      </c>
      <c r="AI34" s="145" t="str">
        <f t="shared" ca="1" si="13"/>
        <v/>
      </c>
      <c r="AJ34" s="125">
        <f>Basistabelle!D153</f>
        <v>0</v>
      </c>
      <c r="AK34" s="124"/>
      <c r="AL34" s="121">
        <f>Basistabelle!E153</f>
        <v>0</v>
      </c>
      <c r="AM34" s="124"/>
      <c r="AN34" s="125">
        <f>Basistabelle!F153</f>
        <v>0</v>
      </c>
      <c r="AO34" s="124"/>
      <c r="AP34" s="6">
        <f t="shared" si="25"/>
        <v>25</v>
      </c>
      <c r="AQ34" s="145" t="str">
        <f t="shared" ca="1" si="5"/>
        <v/>
      </c>
      <c r="AR34" s="125">
        <f>Basistabelle!D181</f>
        <v>0</v>
      </c>
      <c r="AS34" s="124"/>
      <c r="AT34" s="121">
        <f>Basistabelle!E181</f>
        <v>0</v>
      </c>
      <c r="AU34" s="124"/>
      <c r="AV34" s="125">
        <f>Basistabelle!F181</f>
        <v>0</v>
      </c>
      <c r="AW34" s="124"/>
      <c r="AX34" s="6">
        <f t="shared" si="17"/>
        <v>30</v>
      </c>
      <c r="AY34" s="145" t="str">
        <f t="shared" ca="1" si="6"/>
        <v/>
      </c>
      <c r="AZ34" s="125">
        <f>Basistabelle!D215</f>
        <v>0</v>
      </c>
      <c r="BA34" s="124"/>
      <c r="BB34" s="121">
        <f>Basistabelle!E215</f>
        <v>0</v>
      </c>
      <c r="BC34" s="124"/>
      <c r="BD34" s="125">
        <f>Basistabelle!F215</f>
        <v>0</v>
      </c>
      <c r="BE34" s="124"/>
      <c r="BF34" s="21">
        <f t="shared" si="21"/>
        <v>27</v>
      </c>
      <c r="BG34" s="145" t="str">
        <f t="shared" ca="1" si="7"/>
        <v/>
      </c>
      <c r="BH34" s="125">
        <f>Basistabelle!D244</f>
        <v>0</v>
      </c>
      <c r="BI34" s="124"/>
      <c r="BJ34" s="121">
        <f>Basistabelle!E244</f>
        <v>0</v>
      </c>
      <c r="BK34" s="124"/>
      <c r="BL34" s="125">
        <f>Basistabelle!F244</f>
        <v>0</v>
      </c>
      <c r="BM34" s="124"/>
      <c r="BN34" s="6"/>
      <c r="BO34" s="145" t="str">
        <f t="shared" ca="1" si="8"/>
        <v/>
      </c>
      <c r="BP34" s="125"/>
      <c r="BQ34" s="124"/>
      <c r="BR34" s="121"/>
      <c r="BS34" s="124"/>
      <c r="BT34" s="125"/>
      <c r="BU34" s="124"/>
      <c r="BV34" s="6">
        <f t="shared" si="19"/>
        <v>29</v>
      </c>
      <c r="BW34" s="145" t="str">
        <f t="shared" ca="1" si="9"/>
        <v/>
      </c>
      <c r="BX34" s="125">
        <f>Basistabelle!D307</f>
        <v>0</v>
      </c>
      <c r="BY34" s="124"/>
      <c r="BZ34" s="121">
        <f>Basistabelle!E307</f>
        <v>0</v>
      </c>
      <c r="CA34" s="124"/>
      <c r="CB34" s="125">
        <f>Basistabelle!F307</f>
        <v>0</v>
      </c>
      <c r="CC34" s="124"/>
      <c r="CD34" s="6">
        <f t="shared" si="24"/>
        <v>26</v>
      </c>
      <c r="CE34" s="145" t="str">
        <f t="shared" ca="1" si="10"/>
        <v/>
      </c>
      <c r="CF34" s="125">
        <f>Basistabelle!D335</f>
        <v>0</v>
      </c>
      <c r="CG34" s="124"/>
      <c r="CH34" s="121">
        <f>Basistabelle!E335</f>
        <v>0</v>
      </c>
      <c r="CI34" s="124"/>
      <c r="CJ34" s="125">
        <f>Basistabelle!F335</f>
        <v>0</v>
      </c>
      <c r="CK34" s="124"/>
      <c r="CL34" s="6">
        <f t="shared" si="15"/>
        <v>31</v>
      </c>
      <c r="CM34" s="145" t="str">
        <f t="shared" ca="1" si="11"/>
        <v/>
      </c>
      <c r="CN34" s="125">
        <f>Basistabelle!D370</f>
        <v>0</v>
      </c>
      <c r="CO34" s="124"/>
      <c r="CP34" s="121">
        <f>Basistabelle!E370</f>
        <v>0</v>
      </c>
      <c r="CQ34" s="124"/>
      <c r="CR34" s="125">
        <f>Basistabelle!F370</f>
        <v>0</v>
      </c>
      <c r="CS34" s="139"/>
    </row>
    <row r="35" spans="1:97" s="2" customFormat="1" x14ac:dyDescent="0.2">
      <c r="A35" s="6" t="s">
        <v>3</v>
      </c>
      <c r="B35" s="8">
        <f t="shared" si="18"/>
        <v>30</v>
      </c>
      <c r="C35" s="145" t="str">
        <f t="shared" ca="1" si="12"/>
        <v/>
      </c>
      <c r="D35" s="125">
        <f>Basistabelle!D35</f>
        <v>0</v>
      </c>
      <c r="E35" s="124"/>
      <c r="F35" s="121">
        <f>Basistabelle!E35</f>
        <v>0</v>
      </c>
      <c r="G35" s="124"/>
      <c r="H35" s="125">
        <f>Basistabelle!F35</f>
        <v>0</v>
      </c>
      <c r="I35" s="124"/>
      <c r="J35" s="6">
        <f t="shared" si="22"/>
        <v>27</v>
      </c>
      <c r="K35" s="145" t="str">
        <f t="shared" ca="1" si="1"/>
        <v/>
      </c>
      <c r="L35" s="125">
        <f>Basistabelle!D63</f>
        <v>0</v>
      </c>
      <c r="M35" s="124"/>
      <c r="N35" s="121">
        <f>Basistabelle!E63</f>
        <v>0</v>
      </c>
      <c r="O35" s="124"/>
      <c r="P35" s="125">
        <f>Basistabelle!F63</f>
        <v>0</v>
      </c>
      <c r="Q35" s="124"/>
      <c r="R35" s="6">
        <f t="shared" si="23"/>
        <v>27</v>
      </c>
      <c r="S35" s="145" t="str">
        <f t="shared" ca="1" si="2"/>
        <v/>
      </c>
      <c r="T35" s="125">
        <f>Basistabelle!D91</f>
        <v>0</v>
      </c>
      <c r="U35" s="124"/>
      <c r="V35" s="121">
        <f>Basistabelle!E91</f>
        <v>0</v>
      </c>
      <c r="W35" s="124"/>
      <c r="X35" s="125">
        <f>Basistabelle!F91</f>
        <v>0</v>
      </c>
      <c r="Y35" s="124"/>
      <c r="Z35" s="6"/>
      <c r="AA35" s="145" t="str">
        <f t="shared" ca="1" si="3"/>
        <v/>
      </c>
      <c r="AB35" s="125"/>
      <c r="AC35" s="124"/>
      <c r="AD35" s="121"/>
      <c r="AE35" s="124"/>
      <c r="AF35" s="125">
        <f>Basistabelle!R91</f>
        <v>0</v>
      </c>
      <c r="AG35" s="124"/>
      <c r="AH35" s="6">
        <f t="shared" si="20"/>
        <v>29</v>
      </c>
      <c r="AI35" s="145" t="str">
        <f t="shared" ca="1" si="13"/>
        <v/>
      </c>
      <c r="AJ35" s="125">
        <f>Basistabelle!D154</f>
        <v>0</v>
      </c>
      <c r="AK35" s="124"/>
      <c r="AL35" s="121">
        <f>Basistabelle!E154</f>
        <v>0</v>
      </c>
      <c r="AM35" s="124"/>
      <c r="AN35" s="125">
        <f>Basistabelle!F154</f>
        <v>0</v>
      </c>
      <c r="AO35" s="124"/>
      <c r="AP35" s="6">
        <f t="shared" si="25"/>
        <v>26</v>
      </c>
      <c r="AQ35" s="145" t="str">
        <f t="shared" ca="1" si="5"/>
        <v/>
      </c>
      <c r="AR35" s="125">
        <f>Basistabelle!D182</f>
        <v>0</v>
      </c>
      <c r="AS35" s="124"/>
      <c r="AT35" s="121">
        <f>Basistabelle!E182</f>
        <v>0</v>
      </c>
      <c r="AU35" s="124"/>
      <c r="AV35" s="125">
        <f>Basistabelle!F182</f>
        <v>0</v>
      </c>
      <c r="AW35" s="124"/>
      <c r="AX35" s="6">
        <f t="shared" si="17"/>
        <v>31</v>
      </c>
      <c r="AY35" s="145" t="str">
        <f t="shared" ca="1" si="6"/>
        <v/>
      </c>
      <c r="AZ35" s="125">
        <f>Basistabelle!D216</f>
        <v>0</v>
      </c>
      <c r="BA35" s="124"/>
      <c r="BB35" s="121">
        <f>Basistabelle!E216</f>
        <v>0</v>
      </c>
      <c r="BC35" s="124"/>
      <c r="BD35" s="125">
        <f>Basistabelle!F216</f>
        <v>0</v>
      </c>
      <c r="BE35" s="124"/>
      <c r="BF35" s="21">
        <f t="shared" si="21"/>
        <v>28</v>
      </c>
      <c r="BG35" s="145" t="str">
        <f t="shared" ca="1" si="7"/>
        <v/>
      </c>
      <c r="BH35" s="125">
        <f>Basistabelle!D245</f>
        <v>0</v>
      </c>
      <c r="BI35" s="124"/>
      <c r="BJ35" s="121">
        <f>Basistabelle!E245</f>
        <v>0</v>
      </c>
      <c r="BK35" s="124"/>
      <c r="BL35" s="125">
        <f>Basistabelle!F245</f>
        <v>0</v>
      </c>
      <c r="BM35" s="124"/>
      <c r="BN35" s="6"/>
      <c r="BO35" s="145" t="str">
        <f t="shared" ca="1" si="8"/>
        <v/>
      </c>
      <c r="BP35" s="125"/>
      <c r="BQ35" s="124"/>
      <c r="BR35" s="121"/>
      <c r="BS35" s="124"/>
      <c r="BT35" s="125"/>
      <c r="BU35" s="124"/>
      <c r="BV35" s="6">
        <f t="shared" si="19"/>
        <v>30</v>
      </c>
      <c r="BW35" s="145" t="str">
        <f t="shared" ca="1" si="9"/>
        <v/>
      </c>
      <c r="BX35" s="125">
        <f>Basistabelle!D308</f>
        <v>0</v>
      </c>
      <c r="BY35" s="124"/>
      <c r="BZ35" s="121">
        <f>Basistabelle!E308</f>
        <v>0</v>
      </c>
      <c r="CA35" s="124"/>
      <c r="CB35" s="125">
        <f>Basistabelle!F308</f>
        <v>0</v>
      </c>
      <c r="CC35" s="124"/>
      <c r="CD35" s="6">
        <f t="shared" si="24"/>
        <v>27</v>
      </c>
      <c r="CE35" s="145" t="str">
        <f t="shared" ca="1" si="10"/>
        <v/>
      </c>
      <c r="CF35" s="125">
        <f>Basistabelle!D336</f>
        <v>0</v>
      </c>
      <c r="CG35" s="124"/>
      <c r="CH35" s="121">
        <f>Basistabelle!E336</f>
        <v>0</v>
      </c>
      <c r="CI35" s="124"/>
      <c r="CJ35" s="125">
        <f>Basistabelle!F336</f>
        <v>0</v>
      </c>
      <c r="CK35" s="124"/>
      <c r="CL35" s="6"/>
      <c r="CM35" s="145" t="str">
        <f t="shared" ca="1" si="11"/>
        <v/>
      </c>
      <c r="CN35" s="125">
        <f>Basistabelle!P336</f>
        <v>0</v>
      </c>
      <c r="CO35" s="124"/>
      <c r="CP35" s="121">
        <f>Basistabelle!Q336</f>
        <v>0</v>
      </c>
      <c r="CQ35" s="124"/>
      <c r="CR35" s="125">
        <f>Basistabelle!R336</f>
        <v>0</v>
      </c>
      <c r="CS35" s="139"/>
    </row>
    <row r="36" spans="1:97" s="2" customFormat="1" ht="12.75" customHeight="1" x14ac:dyDescent="0.2">
      <c r="A36" s="9" t="s">
        <v>4</v>
      </c>
      <c r="B36" s="10">
        <f t="shared" si="18"/>
        <v>31</v>
      </c>
      <c r="C36" s="145" t="str">
        <f t="shared" ca="1" si="12"/>
        <v/>
      </c>
      <c r="D36" s="126">
        <f>Basistabelle!D36</f>
        <v>0</v>
      </c>
      <c r="E36" s="126"/>
      <c r="F36" s="126">
        <f>Basistabelle!E36</f>
        <v>0</v>
      </c>
      <c r="G36" s="126"/>
      <c r="H36" s="126">
        <f>Basistabelle!F36</f>
        <v>0</v>
      </c>
      <c r="I36" s="126"/>
      <c r="J36" s="51">
        <f t="shared" si="22"/>
        <v>28</v>
      </c>
      <c r="K36" s="145" t="str">
        <f t="shared" ca="1" si="1"/>
        <v/>
      </c>
      <c r="L36" s="126">
        <f>Basistabelle!D64</f>
        <v>0</v>
      </c>
      <c r="M36" s="126"/>
      <c r="N36" s="126">
        <f>Basistabelle!E64</f>
        <v>0</v>
      </c>
      <c r="O36" s="126"/>
      <c r="P36" s="126">
        <f>Basistabelle!F64</f>
        <v>0</v>
      </c>
      <c r="Q36" s="126"/>
      <c r="R36" s="9">
        <f t="shared" si="23"/>
        <v>28</v>
      </c>
      <c r="S36" s="145" t="str">
        <f t="shared" ca="1" si="2"/>
        <v/>
      </c>
      <c r="T36" s="126">
        <f>Basistabelle!D92</f>
        <v>0</v>
      </c>
      <c r="U36" s="126"/>
      <c r="V36" s="126">
        <f>Basistabelle!E92</f>
        <v>0</v>
      </c>
      <c r="W36" s="126"/>
      <c r="X36" s="126">
        <f>Basistabelle!F92</f>
        <v>0</v>
      </c>
      <c r="Y36" s="126"/>
      <c r="Z36" s="9"/>
      <c r="AA36" s="145" t="str">
        <f t="shared" ca="1" si="3"/>
        <v/>
      </c>
      <c r="AB36" s="126"/>
      <c r="AC36" s="126"/>
      <c r="AD36" s="126"/>
      <c r="AE36" s="126"/>
      <c r="AF36" s="126">
        <f>Basistabelle!R92</f>
        <v>0</v>
      </c>
      <c r="AG36" s="126"/>
      <c r="AH36" s="9">
        <f t="shared" si="20"/>
        <v>30</v>
      </c>
      <c r="AI36" s="145" t="str">
        <f t="shared" ca="1" si="13"/>
        <v/>
      </c>
      <c r="AJ36" s="126">
        <f>Basistabelle!D155</f>
        <v>0</v>
      </c>
      <c r="AK36" s="126"/>
      <c r="AL36" s="126">
        <f>Basistabelle!E155</f>
        <v>0</v>
      </c>
      <c r="AM36" s="126"/>
      <c r="AN36" s="126">
        <f>Basistabelle!F155</f>
        <v>0</v>
      </c>
      <c r="AO36" s="126"/>
      <c r="AP36" s="9">
        <f t="shared" si="25"/>
        <v>27</v>
      </c>
      <c r="AQ36" s="145" t="str">
        <f t="shared" ca="1" si="5"/>
        <v/>
      </c>
      <c r="AR36" s="126">
        <f>Basistabelle!D183</f>
        <v>0</v>
      </c>
      <c r="AS36" s="126"/>
      <c r="AT36" s="126">
        <f>Basistabelle!E183</f>
        <v>0</v>
      </c>
      <c r="AU36" s="126"/>
      <c r="AV36" s="126">
        <f>Basistabelle!F183</f>
        <v>0</v>
      </c>
      <c r="AW36" s="126"/>
      <c r="AX36" s="9"/>
      <c r="AY36" s="145" t="str">
        <f t="shared" ca="1" si="6"/>
        <v/>
      </c>
      <c r="AZ36" s="126">
        <f>Basistabelle!P183</f>
        <v>0</v>
      </c>
      <c r="BA36" s="126"/>
      <c r="BB36" s="126">
        <f>Basistabelle!Q183</f>
        <v>0</v>
      </c>
      <c r="BC36" s="126"/>
      <c r="BD36" s="126">
        <f>Basistabelle!R183</f>
        <v>0</v>
      </c>
      <c r="BE36" s="126"/>
      <c r="BF36" s="9">
        <f t="shared" si="21"/>
        <v>29</v>
      </c>
      <c r="BG36" s="145" t="str">
        <f t="shared" ca="1" si="7"/>
        <v/>
      </c>
      <c r="BH36" s="126">
        <f>Basistabelle!D246</f>
        <v>0</v>
      </c>
      <c r="BI36" s="126"/>
      <c r="BJ36" s="126">
        <f>Basistabelle!E246</f>
        <v>0</v>
      </c>
      <c r="BK36" s="126"/>
      <c r="BL36" s="126">
        <f>Basistabelle!F246</f>
        <v>0</v>
      </c>
      <c r="BM36" s="126"/>
      <c r="BN36" s="9"/>
      <c r="BO36" s="145" t="str">
        <f t="shared" ca="1" si="8"/>
        <v/>
      </c>
      <c r="BP36" s="126"/>
      <c r="BQ36" s="126"/>
      <c r="BR36" s="126"/>
      <c r="BS36" s="126"/>
      <c r="BT36" s="126"/>
      <c r="BU36" s="126"/>
      <c r="BV36" s="9">
        <f t="shared" si="19"/>
        <v>31</v>
      </c>
      <c r="BW36" s="145" t="str">
        <f t="shared" ca="1" si="9"/>
        <v/>
      </c>
      <c r="BX36" s="126">
        <f>Basistabelle!D309</f>
        <v>0</v>
      </c>
      <c r="BY36" s="126"/>
      <c r="BZ36" s="126">
        <f>Basistabelle!E309</f>
        <v>0</v>
      </c>
      <c r="CA36" s="126"/>
      <c r="CB36" s="126">
        <f>Basistabelle!F309</f>
        <v>0</v>
      </c>
      <c r="CC36" s="126"/>
      <c r="CD36" s="9">
        <f t="shared" si="24"/>
        <v>28</v>
      </c>
      <c r="CE36" s="145" t="str">
        <f t="shared" ca="1" si="10"/>
        <v/>
      </c>
      <c r="CF36" s="126">
        <f>Basistabelle!D337</f>
        <v>0</v>
      </c>
      <c r="CG36" s="126"/>
      <c r="CH36" s="126">
        <f>Basistabelle!E337</f>
        <v>0</v>
      </c>
      <c r="CI36" s="126"/>
      <c r="CJ36" s="126">
        <f>Basistabelle!F337</f>
        <v>0</v>
      </c>
      <c r="CK36" s="126"/>
      <c r="CL36" s="9"/>
      <c r="CM36" s="145" t="str">
        <f t="shared" ca="1" si="11"/>
        <v/>
      </c>
      <c r="CN36" s="126">
        <f>Basistabelle!P337</f>
        <v>0</v>
      </c>
      <c r="CO36" s="126"/>
      <c r="CP36" s="126">
        <f>Basistabelle!Q337</f>
        <v>0</v>
      </c>
      <c r="CQ36" s="126"/>
      <c r="CR36" s="126">
        <f>Basistabelle!R337</f>
        <v>0</v>
      </c>
      <c r="CS36" s="140"/>
    </row>
    <row r="37" spans="1:97" s="2" customFormat="1" x14ac:dyDescent="0.2">
      <c r="A37" s="9" t="s">
        <v>5</v>
      </c>
      <c r="B37" s="10"/>
      <c r="C37" s="145" t="str">
        <f t="shared" ca="1" si="12"/>
        <v/>
      </c>
      <c r="D37" s="126"/>
      <c r="E37" s="126"/>
      <c r="F37" s="126"/>
      <c r="G37" s="126"/>
      <c r="H37" s="126"/>
      <c r="I37" s="126"/>
      <c r="J37" s="51"/>
      <c r="K37" s="145" t="str">
        <f t="shared" ca="1" si="1"/>
        <v/>
      </c>
      <c r="L37" s="126"/>
      <c r="M37" s="126"/>
      <c r="N37" s="126"/>
      <c r="O37" s="126"/>
      <c r="P37" s="126"/>
      <c r="Q37" s="126"/>
      <c r="R37" s="9">
        <f t="shared" si="23"/>
        <v>29</v>
      </c>
      <c r="S37" s="145" t="str">
        <f t="shared" ca="1" si="2"/>
        <v/>
      </c>
      <c r="T37" s="126">
        <f>Basistabelle!D93</f>
        <v>0</v>
      </c>
      <c r="U37" s="126"/>
      <c r="V37" s="126">
        <f>Basistabelle!E93</f>
        <v>0</v>
      </c>
      <c r="W37" s="126"/>
      <c r="X37" s="126">
        <f>Basistabelle!F93</f>
        <v>0</v>
      </c>
      <c r="Y37" s="126"/>
      <c r="Z37" s="9"/>
      <c r="AA37" s="145" t="str">
        <f t="shared" ca="1" si="3"/>
        <v/>
      </c>
      <c r="AB37" s="126"/>
      <c r="AC37" s="126"/>
      <c r="AD37" s="126"/>
      <c r="AE37" s="126"/>
      <c r="AF37" s="126">
        <f>Basistabelle!R93</f>
        <v>0</v>
      </c>
      <c r="AG37" s="126"/>
      <c r="AH37" s="9">
        <f t="shared" si="20"/>
        <v>31</v>
      </c>
      <c r="AI37" s="145" t="str">
        <f t="shared" ca="1" si="13"/>
        <v/>
      </c>
      <c r="AJ37" s="126">
        <f>Basistabelle!D156</f>
        <v>0</v>
      </c>
      <c r="AK37" s="126"/>
      <c r="AL37" s="126">
        <f>Basistabelle!E156</f>
        <v>0</v>
      </c>
      <c r="AM37" s="126"/>
      <c r="AN37" s="126">
        <f>Basistabelle!F156</f>
        <v>0</v>
      </c>
      <c r="AO37" s="126"/>
      <c r="AP37" s="9">
        <f t="shared" si="25"/>
        <v>28</v>
      </c>
      <c r="AQ37" s="145" t="str">
        <f t="shared" ca="1" si="5"/>
        <v/>
      </c>
      <c r="AR37" s="126">
        <f>Basistabelle!D184</f>
        <v>0</v>
      </c>
      <c r="AS37" s="126"/>
      <c r="AT37" s="126">
        <f>Basistabelle!E184</f>
        <v>0</v>
      </c>
      <c r="AU37" s="126"/>
      <c r="AV37" s="126">
        <f>Basistabelle!F184</f>
        <v>0</v>
      </c>
      <c r="AW37" s="126"/>
      <c r="AX37" s="9"/>
      <c r="AY37" s="145" t="str">
        <f t="shared" ca="1" si="6"/>
        <v/>
      </c>
      <c r="AZ37" s="126">
        <f>Basistabelle!P184</f>
        <v>0</v>
      </c>
      <c r="BA37" s="126"/>
      <c r="BB37" s="126">
        <f>Basistabelle!Q184</f>
        <v>0</v>
      </c>
      <c r="BC37" s="126"/>
      <c r="BD37" s="126">
        <f>Basistabelle!R184</f>
        <v>0</v>
      </c>
      <c r="BE37" s="126"/>
      <c r="BF37" s="9">
        <f t="shared" si="21"/>
        <v>30</v>
      </c>
      <c r="BG37" s="145" t="str">
        <f t="shared" ca="1" si="7"/>
        <v/>
      </c>
      <c r="BH37" s="126">
        <f>Basistabelle!D247</f>
        <v>0</v>
      </c>
      <c r="BI37" s="126"/>
      <c r="BJ37" s="126">
        <f>Basistabelle!E247</f>
        <v>0</v>
      </c>
      <c r="BK37" s="126"/>
      <c r="BL37" s="126">
        <f>Basistabelle!F247</f>
        <v>0</v>
      </c>
      <c r="BM37" s="126"/>
      <c r="BN37" s="9"/>
      <c r="BO37" s="145" t="str">
        <f t="shared" ca="1" si="8"/>
        <v/>
      </c>
      <c r="BP37" s="126"/>
      <c r="BQ37" s="126"/>
      <c r="BR37" s="126"/>
      <c r="BS37" s="126"/>
      <c r="BT37" s="126"/>
      <c r="BU37" s="126"/>
      <c r="BV37" s="9"/>
      <c r="BW37" s="145" t="str">
        <f t="shared" ca="1" si="9"/>
        <v/>
      </c>
      <c r="BX37" s="126"/>
      <c r="BY37" s="126"/>
      <c r="BZ37" s="126"/>
      <c r="CA37" s="126"/>
      <c r="CB37" s="126"/>
      <c r="CC37" s="126"/>
      <c r="CD37" s="9">
        <f t="shared" si="24"/>
        <v>29</v>
      </c>
      <c r="CE37" s="145" t="str">
        <f t="shared" ca="1" si="10"/>
        <v/>
      </c>
      <c r="CF37" s="126">
        <f>Basistabelle!D338</f>
        <v>0</v>
      </c>
      <c r="CG37" s="126"/>
      <c r="CH37" s="126">
        <f>Basistabelle!E338</f>
        <v>0</v>
      </c>
      <c r="CI37" s="126"/>
      <c r="CJ37" s="126">
        <f>Basistabelle!F338</f>
        <v>0</v>
      </c>
      <c r="CK37" s="126"/>
      <c r="CL37" s="9"/>
      <c r="CM37" s="145" t="str">
        <f t="shared" ca="1" si="11"/>
        <v/>
      </c>
      <c r="CN37" s="126">
        <f>Basistabelle!P338</f>
        <v>0</v>
      </c>
      <c r="CO37" s="126"/>
      <c r="CP37" s="126">
        <f>Basistabelle!Q338</f>
        <v>0</v>
      </c>
      <c r="CQ37" s="126"/>
      <c r="CR37" s="126">
        <f>Basistabelle!R338</f>
        <v>0</v>
      </c>
      <c r="CS37" s="140"/>
    </row>
    <row r="38" spans="1:97" s="2" customFormat="1" ht="15" customHeight="1" x14ac:dyDescent="0.2">
      <c r="A38" s="6" t="s">
        <v>25</v>
      </c>
      <c r="B38" s="8"/>
      <c r="C38" s="145" t="str">
        <f t="shared" ca="1" si="12"/>
        <v/>
      </c>
      <c r="D38" s="125"/>
      <c r="E38" s="124"/>
      <c r="F38" s="125"/>
      <c r="G38" s="124"/>
      <c r="H38" s="125"/>
      <c r="I38" s="124"/>
      <c r="J38" s="6"/>
      <c r="K38" s="145" t="str">
        <f t="shared" ca="1" si="1"/>
        <v/>
      </c>
      <c r="L38" s="125"/>
      <c r="M38" s="124"/>
      <c r="N38" s="125"/>
      <c r="O38" s="124"/>
      <c r="P38" s="125"/>
      <c r="Q38" s="124"/>
      <c r="R38" s="6">
        <f t="shared" si="23"/>
        <v>30</v>
      </c>
      <c r="S38" s="145" t="str">
        <f t="shared" ca="1" si="2"/>
        <v/>
      </c>
      <c r="T38" s="167">
        <v>14</v>
      </c>
      <c r="U38" s="167"/>
      <c r="V38" s="167"/>
      <c r="W38" s="167"/>
      <c r="X38" s="167"/>
      <c r="Y38" s="168"/>
      <c r="Z38" s="6"/>
      <c r="AA38" s="145" t="str">
        <f t="shared" ca="1" si="3"/>
        <v/>
      </c>
      <c r="AB38" s="125"/>
      <c r="AC38" s="124"/>
      <c r="AD38" s="121"/>
      <c r="AE38" s="124"/>
      <c r="AF38" s="125">
        <f>Basistabelle!R94</f>
        <v>0</v>
      </c>
      <c r="AG38" s="124"/>
      <c r="AH38" s="6"/>
      <c r="AI38" s="145" t="str">
        <f t="shared" ca="1" si="13"/>
        <v/>
      </c>
      <c r="AJ38" s="125"/>
      <c r="AK38" s="124"/>
      <c r="AL38" s="121"/>
      <c r="AM38" s="124"/>
      <c r="AN38" s="125">
        <f>Basistabelle!Z94</f>
        <v>0</v>
      </c>
      <c r="AO38" s="124"/>
      <c r="AP38" s="6">
        <f t="shared" si="25"/>
        <v>29</v>
      </c>
      <c r="AQ38" s="145" t="str">
        <f t="shared" ca="1" si="5"/>
        <v/>
      </c>
      <c r="AR38" s="167">
        <v>27</v>
      </c>
      <c r="AS38" s="167"/>
      <c r="AT38" s="167"/>
      <c r="AU38" s="167"/>
      <c r="AV38" s="167"/>
      <c r="AW38" s="168"/>
      <c r="AX38" s="6"/>
      <c r="AY38" s="145" t="str">
        <f t="shared" ca="1" si="6"/>
        <v/>
      </c>
      <c r="AZ38" s="125">
        <f>Basistabelle!P185</f>
        <v>0</v>
      </c>
      <c r="BA38" s="124"/>
      <c r="BB38" s="121">
        <f>Basistabelle!Q185</f>
        <v>0</v>
      </c>
      <c r="BC38" s="124"/>
      <c r="BD38" s="125">
        <f>Basistabelle!R185</f>
        <v>0</v>
      </c>
      <c r="BE38" s="124"/>
      <c r="BF38" s="21">
        <f t="shared" si="21"/>
        <v>31</v>
      </c>
      <c r="BG38" s="145" t="str">
        <f t="shared" ca="1" si="7"/>
        <v/>
      </c>
      <c r="BH38" s="167">
        <v>36</v>
      </c>
      <c r="BI38" s="167"/>
      <c r="BJ38" s="167"/>
      <c r="BK38" s="167"/>
      <c r="BL38" s="167"/>
      <c r="BM38" s="168"/>
      <c r="BN38" s="6"/>
      <c r="BO38" s="145" t="str">
        <f t="shared" ca="1" si="8"/>
        <v/>
      </c>
      <c r="BP38" s="125"/>
      <c r="BQ38" s="124"/>
      <c r="BR38" s="121"/>
      <c r="BS38" s="124"/>
      <c r="BT38" s="125"/>
      <c r="BU38" s="124"/>
      <c r="BV38" s="6"/>
      <c r="BW38" s="145" t="str">
        <f t="shared" ca="1" si="9"/>
        <v/>
      </c>
      <c r="BX38" s="125"/>
      <c r="BY38" s="124"/>
      <c r="BZ38" s="121"/>
      <c r="CA38" s="124"/>
      <c r="CB38" s="125"/>
      <c r="CC38" s="124"/>
      <c r="CD38" s="6">
        <f t="shared" si="24"/>
        <v>30</v>
      </c>
      <c r="CE38" s="145" t="str">
        <f t="shared" ca="1" si="10"/>
        <v/>
      </c>
      <c r="CF38" s="167">
        <v>49</v>
      </c>
      <c r="CG38" s="167"/>
      <c r="CH38" s="167"/>
      <c r="CI38" s="167"/>
      <c r="CJ38" s="167"/>
      <c r="CK38" s="168"/>
      <c r="CL38" s="6"/>
      <c r="CM38" s="145" t="str">
        <f t="shared" ca="1" si="11"/>
        <v/>
      </c>
      <c r="CN38" s="125">
        <f>Basistabelle!P339</f>
        <v>0</v>
      </c>
      <c r="CO38" s="124"/>
      <c r="CP38" s="121">
        <f>Basistabelle!Q339</f>
        <v>0</v>
      </c>
      <c r="CQ38" s="124"/>
      <c r="CR38" s="125">
        <f>Basistabelle!R339</f>
        <v>0</v>
      </c>
      <c r="CS38" s="139"/>
    </row>
    <row r="39" spans="1:97" s="2" customFormat="1" x14ac:dyDescent="0.2">
      <c r="A39" s="6" t="s">
        <v>6</v>
      </c>
      <c r="B39" s="8"/>
      <c r="C39" s="145" t="str">
        <f t="shared" ca="1" si="12"/>
        <v/>
      </c>
      <c r="D39" s="125"/>
      <c r="E39" s="124"/>
      <c r="F39" s="125"/>
      <c r="G39" s="124"/>
      <c r="H39" s="125"/>
      <c r="I39" s="124"/>
      <c r="J39" s="6"/>
      <c r="K39" s="145" t="str">
        <f t="shared" ca="1" si="1"/>
        <v/>
      </c>
      <c r="L39" s="125"/>
      <c r="M39" s="124"/>
      <c r="N39" s="125"/>
      <c r="O39" s="124"/>
      <c r="P39" s="125"/>
      <c r="Q39" s="124"/>
      <c r="R39" s="6">
        <f t="shared" si="23"/>
        <v>31</v>
      </c>
      <c r="S39" s="145" t="str">
        <f t="shared" ca="1" si="2"/>
        <v/>
      </c>
      <c r="T39" s="125">
        <f>Basistabelle!D95</f>
        <v>0</v>
      </c>
      <c r="U39" s="124"/>
      <c r="V39" s="121">
        <f>Basistabelle!E95</f>
        <v>0</v>
      </c>
      <c r="W39" s="124"/>
      <c r="X39" s="125">
        <f>Basistabelle!F95</f>
        <v>0</v>
      </c>
      <c r="Y39" s="124"/>
      <c r="Z39" s="6"/>
      <c r="AA39" s="145" t="str">
        <f t="shared" ca="1" si="3"/>
        <v/>
      </c>
      <c r="AB39" s="125"/>
      <c r="AC39" s="124"/>
      <c r="AD39" s="121"/>
      <c r="AE39" s="124"/>
      <c r="AF39" s="125">
        <f>Basistabelle!R95</f>
        <v>0</v>
      </c>
      <c r="AG39" s="124"/>
      <c r="AH39" s="6"/>
      <c r="AI39" s="145" t="str">
        <f t="shared" ca="1" si="13"/>
        <v/>
      </c>
      <c r="AJ39" s="125"/>
      <c r="AK39" s="124"/>
      <c r="AL39" s="121"/>
      <c r="AM39" s="124"/>
      <c r="AN39" s="125">
        <f>Basistabelle!Z95</f>
        <v>0</v>
      </c>
      <c r="AO39" s="124"/>
      <c r="AP39" s="6">
        <f t="shared" si="25"/>
        <v>30</v>
      </c>
      <c r="AQ39" s="145" t="str">
        <f t="shared" ca="1" si="5"/>
        <v/>
      </c>
      <c r="AR39" s="125">
        <f>Basistabelle!D186</f>
        <v>0</v>
      </c>
      <c r="AS39" s="124"/>
      <c r="AT39" s="121">
        <f>Basistabelle!E186</f>
        <v>0</v>
      </c>
      <c r="AU39" s="124"/>
      <c r="AV39" s="125">
        <f>Basistabelle!F186</f>
        <v>0</v>
      </c>
      <c r="AW39" s="124"/>
      <c r="AX39" s="6"/>
      <c r="AY39" s="145" t="str">
        <f t="shared" ca="1" si="6"/>
        <v/>
      </c>
      <c r="AZ39" s="125">
        <f>Basistabelle!P186</f>
        <v>0</v>
      </c>
      <c r="BA39" s="124"/>
      <c r="BB39" s="121">
        <f>Basistabelle!Q186</f>
        <v>0</v>
      </c>
      <c r="BC39" s="124"/>
      <c r="BD39" s="125">
        <f>Basistabelle!R186</f>
        <v>0</v>
      </c>
      <c r="BE39" s="124"/>
      <c r="BF39" s="21"/>
      <c r="BG39" s="145" t="str">
        <f t="shared" ca="1" si="7"/>
        <v/>
      </c>
      <c r="BH39" s="125"/>
      <c r="BI39" s="124"/>
      <c r="BJ39" s="121"/>
      <c r="BK39" s="124"/>
      <c r="BL39" s="125"/>
      <c r="BM39" s="124"/>
      <c r="BN39" s="6"/>
      <c r="BO39" s="145" t="str">
        <f t="shared" ca="1" si="8"/>
        <v/>
      </c>
      <c r="BP39" s="125"/>
      <c r="BQ39" s="124"/>
      <c r="BR39" s="121"/>
      <c r="BS39" s="124"/>
      <c r="BT39" s="125"/>
      <c r="BU39" s="124"/>
      <c r="BV39" s="6"/>
      <c r="BW39" s="145" t="str">
        <f t="shared" ca="1" si="9"/>
        <v/>
      </c>
      <c r="BX39" s="125"/>
      <c r="BY39" s="124"/>
      <c r="BZ39" s="121"/>
      <c r="CA39" s="124"/>
      <c r="CB39" s="125"/>
      <c r="CC39" s="124"/>
      <c r="CD39" s="6"/>
      <c r="CE39" s="145" t="str">
        <f t="shared" ca="1" si="10"/>
        <v/>
      </c>
      <c r="CF39" s="125"/>
      <c r="CG39" s="124"/>
      <c r="CH39" s="121"/>
      <c r="CI39" s="124"/>
      <c r="CJ39" s="125"/>
      <c r="CK39" s="124"/>
      <c r="CL39" s="6"/>
      <c r="CM39" s="145" t="str">
        <f t="shared" ca="1" si="11"/>
        <v/>
      </c>
      <c r="CN39" s="125"/>
      <c r="CO39" s="124"/>
      <c r="CP39" s="121"/>
      <c r="CQ39" s="124"/>
      <c r="CR39" s="125"/>
      <c r="CS39" s="139"/>
    </row>
    <row r="40" spans="1:97" s="2" customFormat="1" x14ac:dyDescent="0.2">
      <c r="A40" s="6"/>
      <c r="B40" s="8"/>
      <c r="C40" s="145" t="str">
        <f t="shared" ca="1" si="12"/>
        <v/>
      </c>
      <c r="D40" s="125"/>
      <c r="E40" s="124"/>
      <c r="F40" s="125"/>
      <c r="G40" s="124"/>
      <c r="H40" s="125"/>
      <c r="I40" s="124"/>
      <c r="J40" s="6"/>
      <c r="K40" s="145" t="str">
        <f t="shared" ca="1" si="1"/>
        <v/>
      </c>
      <c r="L40" s="125"/>
      <c r="M40" s="124"/>
      <c r="N40" s="125"/>
      <c r="O40" s="124"/>
      <c r="P40" s="125"/>
      <c r="Q40" s="124"/>
      <c r="R40" s="6"/>
      <c r="S40" s="145" t="str">
        <f t="shared" ca="1" si="2"/>
        <v/>
      </c>
      <c r="T40" s="125"/>
      <c r="U40" s="124"/>
      <c r="V40" s="125"/>
      <c r="W40" s="124"/>
      <c r="X40" s="125"/>
      <c r="Y40" s="124"/>
      <c r="Z40" s="6"/>
      <c r="AA40" s="145" t="str">
        <f t="shared" ca="1" si="3"/>
        <v/>
      </c>
      <c r="AB40" s="125"/>
      <c r="AC40" s="124"/>
      <c r="AD40" s="125"/>
      <c r="AE40" s="124"/>
      <c r="AF40" s="125"/>
      <c r="AG40" s="124"/>
      <c r="AH40" s="6"/>
      <c r="AI40" s="145" t="str">
        <f t="shared" ca="1" si="13"/>
        <v/>
      </c>
      <c r="AJ40" s="125"/>
      <c r="AK40" s="124"/>
      <c r="AL40" s="125"/>
      <c r="AM40" s="124"/>
      <c r="AN40" s="125"/>
      <c r="AO40" s="124"/>
      <c r="AP40" s="6"/>
      <c r="AQ40" s="77" t="s">
        <v>32</v>
      </c>
      <c r="AR40" s="125"/>
      <c r="AS40" s="124"/>
      <c r="AT40" s="125"/>
      <c r="AU40" s="124"/>
      <c r="AV40" s="125"/>
      <c r="AW40" s="124"/>
      <c r="AX40" s="6"/>
      <c r="AY40" s="145" t="str">
        <f t="shared" ca="1" si="6"/>
        <v/>
      </c>
      <c r="AZ40" s="125"/>
      <c r="BA40" s="124"/>
      <c r="BB40" s="125"/>
      <c r="BC40" s="124"/>
      <c r="BD40" s="125"/>
      <c r="BE40" s="124"/>
      <c r="BF40" s="21"/>
      <c r="BG40" s="145" t="str">
        <f t="shared" ca="1" si="7"/>
        <v/>
      </c>
      <c r="BH40" s="125"/>
      <c r="BI40" s="124"/>
      <c r="BJ40" s="125"/>
      <c r="BK40" s="124"/>
      <c r="BL40" s="125"/>
      <c r="BM40" s="124"/>
      <c r="BN40" s="6"/>
      <c r="BO40" s="145" t="str">
        <f t="shared" ca="1" si="8"/>
        <v/>
      </c>
      <c r="BP40" s="125"/>
      <c r="BQ40" s="124"/>
      <c r="BR40" s="125"/>
      <c r="BS40" s="124"/>
      <c r="BT40" s="125"/>
      <c r="BU40" s="124"/>
      <c r="BV40" s="6"/>
      <c r="BW40" s="145" t="str">
        <f t="shared" ca="1" si="9"/>
        <v/>
      </c>
      <c r="BX40" s="125"/>
      <c r="BY40" s="124"/>
      <c r="BZ40" s="125"/>
      <c r="CA40" s="124"/>
      <c r="CB40" s="125"/>
      <c r="CC40" s="124"/>
      <c r="CD40" s="6"/>
      <c r="CE40" s="145" t="str">
        <f t="shared" ca="1" si="10"/>
        <v/>
      </c>
      <c r="CF40" s="125"/>
      <c r="CG40" s="124"/>
      <c r="CH40" s="125"/>
      <c r="CI40" s="124"/>
      <c r="CJ40" s="125"/>
      <c r="CK40" s="124"/>
      <c r="CL40" s="6"/>
      <c r="CM40" s="145" t="str">
        <f t="shared" ca="1" si="11"/>
        <v/>
      </c>
      <c r="CN40" s="125"/>
      <c r="CO40" s="124"/>
      <c r="CP40" s="125"/>
      <c r="CQ40" s="124"/>
      <c r="CR40" s="125"/>
      <c r="CS40" s="139"/>
    </row>
    <row r="41" spans="1:97" s="2" customFormat="1" x14ac:dyDescent="0.2">
      <c r="A41" s="11"/>
      <c r="B41" s="12"/>
      <c r="C41" s="68" t="str">
        <f t="shared" ca="1" si="12"/>
        <v/>
      </c>
      <c r="D41" s="128"/>
      <c r="E41" s="129"/>
      <c r="F41" s="128"/>
      <c r="G41" s="129"/>
      <c r="H41" s="128"/>
      <c r="I41" s="129"/>
      <c r="J41" s="11"/>
      <c r="K41" s="68" t="str">
        <f t="shared" ca="1" si="1"/>
        <v/>
      </c>
      <c r="L41" s="128"/>
      <c r="M41" s="129"/>
      <c r="N41" s="128"/>
      <c r="O41" s="129"/>
      <c r="P41" s="128"/>
      <c r="Q41" s="129"/>
      <c r="R41" s="11"/>
      <c r="S41" s="68" t="str">
        <f t="shared" ca="1" si="2"/>
        <v/>
      </c>
      <c r="T41" s="128"/>
      <c r="U41" s="129"/>
      <c r="V41" s="128"/>
      <c r="W41" s="129"/>
      <c r="X41" s="128"/>
      <c r="Y41" s="129"/>
      <c r="Z41" s="11"/>
      <c r="AA41" s="68" t="str">
        <f t="shared" ca="1" si="3"/>
        <v/>
      </c>
      <c r="AB41" s="128"/>
      <c r="AC41" s="129"/>
      <c r="AD41" s="128"/>
      <c r="AE41" s="129"/>
      <c r="AF41" s="128"/>
      <c r="AG41" s="129"/>
      <c r="AH41" s="11"/>
      <c r="AI41" s="68" t="str">
        <f t="shared" ca="1" si="13"/>
        <v/>
      </c>
      <c r="AJ41" s="128"/>
      <c r="AK41" s="129"/>
      <c r="AL41" s="128"/>
      <c r="AM41" s="129"/>
      <c r="AN41" s="128"/>
      <c r="AO41" s="129"/>
      <c r="AP41" s="11"/>
      <c r="AQ41" s="78" t="s">
        <v>34</v>
      </c>
      <c r="AR41" s="128"/>
      <c r="AS41" s="129"/>
      <c r="AT41" s="128"/>
      <c r="AU41" s="129"/>
      <c r="AV41" s="128"/>
      <c r="AW41" s="129"/>
      <c r="AX41" s="11"/>
      <c r="AY41" s="68" t="str">
        <f t="shared" ca="1" si="6"/>
        <v/>
      </c>
      <c r="AZ41" s="128"/>
      <c r="BA41" s="129"/>
      <c r="BB41" s="128"/>
      <c r="BC41" s="129"/>
      <c r="BD41" s="128"/>
      <c r="BE41" s="129"/>
      <c r="BF41" s="23"/>
      <c r="BG41" s="68" t="str">
        <f t="shared" ca="1" si="7"/>
        <v/>
      </c>
      <c r="BH41" s="128"/>
      <c r="BI41" s="129"/>
      <c r="BJ41" s="128"/>
      <c r="BK41" s="129"/>
      <c r="BL41" s="128"/>
      <c r="BM41" s="129"/>
      <c r="BN41" s="11"/>
      <c r="BO41" s="68" t="str">
        <f t="shared" ca="1" si="8"/>
        <v/>
      </c>
      <c r="BP41" s="128"/>
      <c r="BQ41" s="129"/>
      <c r="BR41" s="128"/>
      <c r="BS41" s="129"/>
      <c r="BT41" s="128"/>
      <c r="BU41" s="129"/>
      <c r="BV41" s="11"/>
      <c r="BW41" s="68" t="str">
        <f t="shared" ca="1" si="9"/>
        <v/>
      </c>
      <c r="BX41" s="128"/>
      <c r="BY41" s="129"/>
      <c r="BZ41" s="128"/>
      <c r="CA41" s="129"/>
      <c r="CB41" s="128"/>
      <c r="CC41" s="129"/>
      <c r="CD41" s="11"/>
      <c r="CE41" s="68" t="str">
        <f t="shared" ca="1" si="10"/>
        <v/>
      </c>
      <c r="CF41" s="128"/>
      <c r="CG41" s="129"/>
      <c r="CH41" s="128"/>
      <c r="CI41" s="129"/>
      <c r="CJ41" s="128"/>
      <c r="CK41" s="129"/>
      <c r="CL41" s="11"/>
      <c r="CM41" s="68" t="str">
        <f t="shared" ca="1" si="11"/>
        <v/>
      </c>
      <c r="CN41" s="128"/>
      <c r="CO41" s="129"/>
      <c r="CP41" s="128"/>
      <c r="CQ41" s="129"/>
      <c r="CR41" s="128"/>
      <c r="CS41" s="142"/>
    </row>
    <row r="42" spans="1:97" x14ac:dyDescent="0.2">
      <c r="BO42" s="75" t="s">
        <v>72</v>
      </c>
    </row>
    <row r="43" spans="1:97" x14ac:dyDescent="0.2">
      <c r="D43" s="130" t="s">
        <v>29</v>
      </c>
      <c r="E43" s="131"/>
      <c r="F43" s="130"/>
      <c r="G43" s="131"/>
      <c r="H43" s="130"/>
      <c r="I43" s="131"/>
      <c r="L43" s="130"/>
      <c r="M43" s="131"/>
      <c r="N43" s="130"/>
      <c r="O43" s="131"/>
      <c r="P43" s="130"/>
      <c r="Q43" s="131"/>
      <c r="S43" s="69"/>
      <c r="T43" s="130"/>
      <c r="U43" s="131"/>
      <c r="V43" s="130"/>
      <c r="W43" s="131"/>
      <c r="X43" s="130"/>
      <c r="Y43" s="131"/>
      <c r="AB43" s="130"/>
      <c r="AC43" s="131"/>
      <c r="AD43" s="130"/>
      <c r="AE43" s="131"/>
      <c r="AF43" s="130"/>
      <c r="AG43" s="131"/>
      <c r="AJ43" s="130"/>
      <c r="AK43" s="131"/>
      <c r="AL43" s="130"/>
      <c r="AM43" s="131"/>
      <c r="AN43" s="130"/>
      <c r="AO43" s="131"/>
      <c r="AR43" s="130"/>
      <c r="AS43" s="131"/>
      <c r="AT43" s="130"/>
      <c r="AU43" s="131"/>
      <c r="AV43" s="130"/>
      <c r="AW43" s="131"/>
      <c r="AZ43" s="130"/>
      <c r="BA43" s="131"/>
      <c r="BB43" s="130"/>
      <c r="BC43" s="131"/>
      <c r="BD43" s="130"/>
      <c r="BE43" s="131"/>
      <c r="BH43" s="130"/>
      <c r="BI43" s="131"/>
      <c r="BJ43" s="130"/>
      <c r="BK43" s="131"/>
      <c r="BL43" s="130"/>
      <c r="BM43" s="131"/>
      <c r="BO43" s="75" t="s">
        <v>73</v>
      </c>
      <c r="BP43" s="130"/>
      <c r="BQ43" s="131"/>
      <c r="BR43" s="130"/>
      <c r="BS43" s="131"/>
      <c r="BT43" s="130"/>
      <c r="BU43" s="131"/>
      <c r="BX43" s="130"/>
      <c r="BY43" s="131"/>
      <c r="BZ43" s="130"/>
      <c r="CA43" s="131"/>
      <c r="CB43" s="130"/>
      <c r="CC43" s="131"/>
      <c r="CF43" s="130"/>
      <c r="CG43" s="131"/>
      <c r="CH43" s="130"/>
      <c r="CI43" s="131"/>
      <c r="CJ43" s="130"/>
      <c r="CK43" s="131"/>
      <c r="CN43" s="130"/>
      <c r="CO43" s="131"/>
      <c r="CP43" s="130"/>
      <c r="CQ43" s="131"/>
      <c r="CR43" s="130"/>
      <c r="CS43" s="143"/>
    </row>
    <row r="44" spans="1:97" x14ac:dyDescent="0.2">
      <c r="D44" s="130" t="s">
        <v>28</v>
      </c>
      <c r="E44" s="131"/>
      <c r="F44" s="130"/>
      <c r="G44" s="131"/>
      <c r="H44" s="130"/>
      <c r="I44" s="131"/>
      <c r="L44" s="130"/>
      <c r="M44" s="131"/>
      <c r="N44" s="130"/>
      <c r="O44" s="131"/>
      <c r="P44" s="130"/>
      <c r="Q44" s="131"/>
      <c r="S44" s="69"/>
      <c r="T44" s="130"/>
      <c r="U44" s="131"/>
      <c r="V44" s="130"/>
      <c r="W44" s="131"/>
      <c r="X44" s="130"/>
      <c r="Y44" s="131"/>
      <c r="AB44" s="130"/>
      <c r="AC44" s="131"/>
      <c r="AD44" s="130"/>
      <c r="AE44" s="131"/>
      <c r="AF44" s="130"/>
      <c r="AG44" s="131"/>
      <c r="AJ44" s="130"/>
      <c r="AK44" s="131"/>
      <c r="AL44" s="130"/>
      <c r="AM44" s="131"/>
      <c r="AN44" s="130"/>
      <c r="AO44" s="131"/>
      <c r="AR44" s="130"/>
      <c r="AS44" s="131"/>
      <c r="AT44" s="130"/>
      <c r="AU44" s="131"/>
      <c r="AV44" s="130"/>
      <c r="AW44" s="131"/>
      <c r="AZ44" s="130"/>
      <c r="BA44" s="131"/>
      <c r="BB44" s="130"/>
      <c r="BC44" s="131"/>
      <c r="BD44" s="130"/>
      <c r="BE44" s="131"/>
      <c r="BH44" s="130"/>
      <c r="BI44" s="131"/>
      <c r="BJ44" s="130"/>
      <c r="BK44" s="131"/>
      <c r="BL44" s="130"/>
      <c r="BM44" s="131"/>
      <c r="BO44" s="75" t="s">
        <v>74</v>
      </c>
      <c r="BP44" s="130"/>
      <c r="BQ44" s="131"/>
      <c r="BR44" s="130"/>
      <c r="BS44" s="131"/>
      <c r="BT44" s="130"/>
      <c r="BU44" s="131"/>
      <c r="BX44" s="130"/>
      <c r="BY44" s="131"/>
      <c r="BZ44" s="130"/>
      <c r="CA44" s="131"/>
      <c r="CB44" s="130"/>
      <c r="CC44" s="131"/>
      <c r="CF44" s="130"/>
      <c r="CG44" s="131"/>
      <c r="CH44" s="130"/>
      <c r="CI44" s="131"/>
      <c r="CJ44" s="130"/>
      <c r="CK44" s="131"/>
      <c r="CN44" s="130"/>
      <c r="CO44" s="131"/>
      <c r="CP44" s="130"/>
      <c r="CQ44" s="131"/>
      <c r="CR44" s="130"/>
      <c r="CS44" s="143"/>
    </row>
    <row r="45" spans="1:97" x14ac:dyDescent="0.2">
      <c r="D45" s="130" t="s">
        <v>30</v>
      </c>
      <c r="E45" s="131"/>
      <c r="F45" s="130"/>
      <c r="G45" s="131"/>
      <c r="H45" s="130"/>
      <c r="I45" s="131"/>
      <c r="L45" s="130"/>
      <c r="M45" s="131"/>
      <c r="N45" s="130"/>
      <c r="O45" s="131"/>
      <c r="P45" s="130"/>
      <c r="Q45" s="131"/>
      <c r="S45" s="69"/>
      <c r="T45" s="130"/>
      <c r="U45" s="131"/>
      <c r="V45" s="130"/>
      <c r="W45" s="131"/>
      <c r="X45" s="130"/>
      <c r="Y45" s="131"/>
      <c r="AB45" s="130"/>
      <c r="AC45" s="131"/>
      <c r="AD45" s="130"/>
      <c r="AE45" s="131"/>
      <c r="AF45" s="130"/>
      <c r="AG45" s="131"/>
      <c r="AJ45" s="130"/>
      <c r="AK45" s="131"/>
      <c r="AL45" s="130"/>
      <c r="AM45" s="131"/>
      <c r="AN45" s="130"/>
      <c r="AO45" s="131"/>
      <c r="AR45" s="130"/>
      <c r="AS45" s="131"/>
      <c r="AT45" s="130"/>
      <c r="AU45" s="131"/>
      <c r="AV45" s="130"/>
      <c r="AW45" s="131"/>
      <c r="AZ45" s="130"/>
      <c r="BA45" s="131"/>
      <c r="BB45" s="130"/>
      <c r="BC45" s="131"/>
      <c r="BD45" s="130"/>
      <c r="BE45" s="131"/>
      <c r="BH45" s="130"/>
      <c r="BI45" s="131"/>
      <c r="BJ45" s="130"/>
      <c r="BK45" s="131"/>
      <c r="BL45" s="130"/>
      <c r="BM45" s="131"/>
      <c r="BP45" s="130"/>
      <c r="BQ45" s="131"/>
      <c r="BR45" s="130"/>
      <c r="BS45" s="131"/>
      <c r="BT45" s="130"/>
      <c r="BU45" s="131"/>
      <c r="BX45" s="130"/>
      <c r="BY45" s="131"/>
      <c r="BZ45" s="130"/>
      <c r="CA45" s="131"/>
      <c r="CB45" s="130"/>
      <c r="CC45" s="131"/>
      <c r="CF45" s="130"/>
      <c r="CG45" s="131"/>
      <c r="CH45" s="130"/>
      <c r="CI45" s="131"/>
      <c r="CJ45" s="130"/>
      <c r="CK45" s="131"/>
      <c r="CN45" s="130"/>
      <c r="CO45" s="131"/>
      <c r="CP45" s="130"/>
      <c r="CQ45" s="131"/>
      <c r="CR45" s="130"/>
      <c r="CS45" s="143"/>
    </row>
    <row r="46" spans="1:97" x14ac:dyDescent="0.2">
      <c r="S46" s="69"/>
      <c r="BF46" s="25"/>
      <c r="BO46" s="75" t="s">
        <v>75</v>
      </c>
      <c r="BW46" s="75">
        <f ca="1">Statistik!O49</f>
        <v>0</v>
      </c>
    </row>
    <row r="47" spans="1:97" x14ac:dyDescent="0.2">
      <c r="S47" s="69"/>
      <c r="BF47" s="25"/>
      <c r="BO47" s="74" t="s">
        <v>76</v>
      </c>
      <c r="BW47" s="75">
        <f ca="1">Statistik!O23</f>
        <v>0</v>
      </c>
    </row>
  </sheetData>
  <mergeCells count="52">
    <mergeCell ref="CL2:CM2"/>
    <mergeCell ref="B2:C2"/>
    <mergeCell ref="J2:K2"/>
    <mergeCell ref="R2:S2"/>
    <mergeCell ref="Z2:AA2"/>
    <mergeCell ref="AH2:AI2"/>
    <mergeCell ref="AP2:AQ2"/>
    <mergeCell ref="AX2:AY2"/>
    <mergeCell ref="BF2:BG2"/>
    <mergeCell ref="BN2:BO2"/>
    <mergeCell ref="BV2:BW2"/>
    <mergeCell ref="CD2:CE2"/>
    <mergeCell ref="D3:I3"/>
    <mergeCell ref="D10:I10"/>
    <mergeCell ref="T10:Y10"/>
    <mergeCell ref="AJ10:AO10"/>
    <mergeCell ref="AR10:AW10"/>
    <mergeCell ref="CF10:CK10"/>
    <mergeCell ref="CN10:CS10"/>
    <mergeCell ref="D17:I17"/>
    <mergeCell ref="M17:Q17"/>
    <mergeCell ref="T17:Y17"/>
    <mergeCell ref="AJ17:AO17"/>
    <mergeCell ref="AR17:AW17"/>
    <mergeCell ref="BI17:BM17"/>
    <mergeCell ref="BP17:BU17"/>
    <mergeCell ref="BY17:CC17"/>
    <mergeCell ref="BP10:BU10"/>
    <mergeCell ref="CF17:CK17"/>
    <mergeCell ref="CN17:CS17"/>
    <mergeCell ref="D24:I24"/>
    <mergeCell ref="T24:Y24"/>
    <mergeCell ref="AC24:AG24"/>
    <mergeCell ref="AJ24:AO24"/>
    <mergeCell ref="AR24:AW24"/>
    <mergeCell ref="D31:I31"/>
    <mergeCell ref="L31:Q31"/>
    <mergeCell ref="T31:Y31"/>
    <mergeCell ref="AC31:AG31"/>
    <mergeCell ref="AJ31:AO31"/>
    <mergeCell ref="T38:Y38"/>
    <mergeCell ref="AR38:AW38"/>
    <mergeCell ref="BH38:BM38"/>
    <mergeCell ref="CF38:CK38"/>
    <mergeCell ref="CO24:CS24"/>
    <mergeCell ref="AR31:AW31"/>
    <mergeCell ref="BH31:BM31"/>
    <mergeCell ref="BX31:CC31"/>
    <mergeCell ref="CF31:CK31"/>
    <mergeCell ref="BH24:BM24"/>
    <mergeCell ref="BX24:CC24"/>
    <mergeCell ref="CF24:CK24"/>
  </mergeCells>
  <conditionalFormatting sqref="F6:F9 F36 F25:F30 F18:F23 F11:F16">
    <cfRule type="cellIs" dxfId="2405" priority="1562" operator="equal">
      <formula>"x"</formula>
    </cfRule>
  </conditionalFormatting>
  <conditionalFormatting sqref="D6:D30 D32:D36">
    <cfRule type="cellIs" dxfId="2404" priority="1561" operator="equal">
      <formula>"x"</formula>
    </cfRule>
  </conditionalFormatting>
  <conditionalFormatting sqref="D8:D9 D15:D16 D22:D23 D29:D30 D36:D37">
    <cfRule type="cellIs" dxfId="2403" priority="1560" operator="notEqual">
      <formula>"x"</formula>
    </cfRule>
  </conditionalFormatting>
  <conditionalFormatting sqref="F8:F9 F15:F16 F22:F23 F29:F30 F36:F37">
    <cfRule type="cellIs" dxfId="2402" priority="1559" operator="notEqual">
      <formula>"x"</formula>
    </cfRule>
  </conditionalFormatting>
  <conditionalFormatting sqref="H6:H9 H32:H36 H25:H30 H18:H23 H11:H16">
    <cfRule type="cellIs" dxfId="2401" priority="1558" operator="equal">
      <formula>"x"</formula>
    </cfRule>
  </conditionalFormatting>
  <conditionalFormatting sqref="H8:H9 H15:H16 H22:H23 H29:H30 H36:H37">
    <cfRule type="cellIs" dxfId="2400" priority="1557" operator="notEqual">
      <formula>"x"</formula>
    </cfRule>
  </conditionalFormatting>
  <conditionalFormatting sqref="N6:N8 N32:N36 N25:N30 N18:N23 N12:N16">
    <cfRule type="cellIs" dxfId="2399" priority="1556" operator="equal">
      <formula>"x"</formula>
    </cfRule>
  </conditionalFormatting>
  <conditionalFormatting sqref="L6:L8 L12:L16 L18:L23 L25:L30 L32:L36">
    <cfRule type="cellIs" dxfId="2398" priority="1555" operator="equal">
      <formula>"x"</formula>
    </cfRule>
  </conditionalFormatting>
  <conditionalFormatting sqref="L8 L15:L16 L22:L23 L29:L30 L36:L37">
    <cfRule type="cellIs" dxfId="2397" priority="1554" operator="notEqual">
      <formula>"x"</formula>
    </cfRule>
  </conditionalFormatting>
  <conditionalFormatting sqref="N8 N15:N16 N22:N23 N29:N30 N36:N37">
    <cfRule type="cellIs" dxfId="2396" priority="1553" operator="notEqual">
      <formula>"x"</formula>
    </cfRule>
  </conditionalFormatting>
  <conditionalFormatting sqref="P6:P8 P32:P36 P25:P30 P18:P23 P12:P16">
    <cfRule type="cellIs" dxfId="2395" priority="1552" operator="equal">
      <formula>"x"</formula>
    </cfRule>
  </conditionalFormatting>
  <conditionalFormatting sqref="P8 P15:P16 P22:P23 P29:P30 P36:P37">
    <cfRule type="cellIs" dxfId="2394" priority="1551" operator="notEqual">
      <formula>"x"</formula>
    </cfRule>
  </conditionalFormatting>
  <conditionalFormatting sqref="L11">
    <cfRule type="cellIs" dxfId="2393" priority="1550" operator="equal">
      <formula>"x"</formula>
    </cfRule>
  </conditionalFormatting>
  <conditionalFormatting sqref="P11">
    <cfRule type="cellIs" dxfId="2392" priority="1549" operator="equal">
      <formula>"x"</formula>
    </cfRule>
  </conditionalFormatting>
  <conditionalFormatting sqref="N9">
    <cfRule type="cellIs" dxfId="2391" priority="1548" operator="equal">
      <formula>"x"</formula>
    </cfRule>
  </conditionalFormatting>
  <conditionalFormatting sqref="L9">
    <cfRule type="cellIs" dxfId="2390" priority="1547" operator="equal">
      <formula>"x"</formula>
    </cfRule>
  </conditionalFormatting>
  <conditionalFormatting sqref="L9">
    <cfRule type="cellIs" dxfId="2389" priority="1546" operator="notEqual">
      <formula>"x"</formula>
    </cfRule>
  </conditionalFormatting>
  <conditionalFormatting sqref="N9">
    <cfRule type="cellIs" dxfId="2388" priority="1545" operator="notEqual">
      <formula>"x"</formula>
    </cfRule>
  </conditionalFormatting>
  <conditionalFormatting sqref="P9">
    <cfRule type="cellIs" dxfId="2387" priority="1544" operator="equal">
      <formula>"x"</formula>
    </cfRule>
  </conditionalFormatting>
  <conditionalFormatting sqref="P9">
    <cfRule type="cellIs" dxfId="2386" priority="1543" operator="notEqual">
      <formula>"x"</formula>
    </cfRule>
  </conditionalFormatting>
  <conditionalFormatting sqref="M17">
    <cfRule type="cellIs" dxfId="2385" priority="1542" operator="equal">
      <formula>"x"</formula>
    </cfRule>
  </conditionalFormatting>
  <conditionalFormatting sqref="L17">
    <cfRule type="cellIs" dxfId="2384" priority="1541" operator="equal">
      <formula>"x"</formula>
    </cfRule>
  </conditionalFormatting>
  <conditionalFormatting sqref="L31">
    <cfRule type="cellIs" dxfId="2383" priority="1540" operator="equal">
      <formula>"x"</formula>
    </cfRule>
  </conditionalFormatting>
  <conditionalFormatting sqref="V6:V7 V32:V36 V25:V30 V18:V21 V12:V15 V23">
    <cfRule type="cellIs" dxfId="2382" priority="1539" operator="equal">
      <formula>"x"</formula>
    </cfRule>
  </conditionalFormatting>
  <conditionalFormatting sqref="T6:T7 T12:T15 T18:T21 T25:T30 T32:T36 T23">
    <cfRule type="cellIs" dxfId="2381" priority="1538" operator="equal">
      <formula>"x"</formula>
    </cfRule>
  </conditionalFormatting>
  <conditionalFormatting sqref="T15 T23 T29:T30 T36">
    <cfRule type="cellIs" dxfId="2380" priority="1537" operator="notEqual">
      <formula>"x"</formula>
    </cfRule>
  </conditionalFormatting>
  <conditionalFormatting sqref="V15 V23 V29:V30 V36">
    <cfRule type="cellIs" dxfId="2379" priority="1536" operator="notEqual">
      <formula>"x"</formula>
    </cfRule>
  </conditionalFormatting>
  <conditionalFormatting sqref="X6:X7 X32:X36 X25:X30 X18:X21 X12:X15 X23">
    <cfRule type="cellIs" dxfId="2378" priority="1535" operator="equal">
      <formula>"x"</formula>
    </cfRule>
  </conditionalFormatting>
  <conditionalFormatting sqref="X15 X23 X29:X30 X36">
    <cfRule type="cellIs" dxfId="2377" priority="1534" operator="notEqual">
      <formula>"x"</formula>
    </cfRule>
  </conditionalFormatting>
  <conditionalFormatting sqref="V11">
    <cfRule type="cellIs" dxfId="2376" priority="1533" operator="equal">
      <formula>"x"</formula>
    </cfRule>
  </conditionalFormatting>
  <conditionalFormatting sqref="T11">
    <cfRule type="cellIs" dxfId="2375" priority="1532" operator="equal">
      <formula>"x"</formula>
    </cfRule>
  </conditionalFormatting>
  <conditionalFormatting sqref="X11">
    <cfRule type="cellIs" dxfId="2374" priority="1531" operator="equal">
      <formula>"x"</formula>
    </cfRule>
  </conditionalFormatting>
  <conditionalFormatting sqref="T10">
    <cfRule type="cellIs" dxfId="2373" priority="1530" operator="equal">
      <formula>"x"</formula>
    </cfRule>
  </conditionalFormatting>
  <conditionalFormatting sqref="X22">
    <cfRule type="cellIs" dxfId="2372" priority="1503" operator="notEqual">
      <formula>"x"</formula>
    </cfRule>
  </conditionalFormatting>
  <conditionalFormatting sqref="T37">
    <cfRule type="cellIs" dxfId="2371" priority="1500" operator="notEqual">
      <formula>"x"</formula>
    </cfRule>
  </conditionalFormatting>
  <conditionalFormatting sqref="T17">
    <cfRule type="cellIs" dxfId="2370" priority="1529" operator="equal">
      <formula>"x"</formula>
    </cfRule>
  </conditionalFormatting>
  <conditionalFormatting sqref="T24">
    <cfRule type="cellIs" dxfId="2369" priority="1528" operator="equal">
      <formula>"x"</formula>
    </cfRule>
  </conditionalFormatting>
  <conditionalFormatting sqref="T31">
    <cfRule type="cellIs" dxfId="2368" priority="1527" operator="equal">
      <formula>"x"</formula>
    </cfRule>
  </conditionalFormatting>
  <conditionalFormatting sqref="V9">
    <cfRule type="cellIs" dxfId="2367" priority="1526" operator="equal">
      <formula>"x"</formula>
    </cfRule>
  </conditionalFormatting>
  <conditionalFormatting sqref="T9">
    <cfRule type="cellIs" dxfId="2366" priority="1525" operator="equal">
      <formula>"x"</formula>
    </cfRule>
  </conditionalFormatting>
  <conditionalFormatting sqref="T9">
    <cfRule type="cellIs" dxfId="2365" priority="1524" operator="notEqual">
      <formula>"x"</formula>
    </cfRule>
  </conditionalFormatting>
  <conditionalFormatting sqref="V9">
    <cfRule type="cellIs" dxfId="2364" priority="1523" operator="notEqual">
      <formula>"x"</formula>
    </cfRule>
  </conditionalFormatting>
  <conditionalFormatting sqref="X9">
    <cfRule type="cellIs" dxfId="2363" priority="1522" operator="equal">
      <formula>"x"</formula>
    </cfRule>
  </conditionalFormatting>
  <conditionalFormatting sqref="X9">
    <cfRule type="cellIs" dxfId="2362" priority="1521" operator="notEqual">
      <formula>"x"</formula>
    </cfRule>
  </conditionalFormatting>
  <conditionalFormatting sqref="V8">
    <cfRule type="cellIs" dxfId="2361" priority="1520" operator="equal">
      <formula>"x"</formula>
    </cfRule>
  </conditionalFormatting>
  <conditionalFormatting sqref="T8">
    <cfRule type="cellIs" dxfId="2360" priority="1519" operator="equal">
      <formula>"x"</formula>
    </cfRule>
  </conditionalFormatting>
  <conditionalFormatting sqref="T8">
    <cfRule type="cellIs" dxfId="2359" priority="1518" operator="notEqual">
      <formula>"x"</formula>
    </cfRule>
  </conditionalFormatting>
  <conditionalFormatting sqref="V8">
    <cfRule type="cellIs" dxfId="2358" priority="1517" operator="notEqual">
      <formula>"x"</formula>
    </cfRule>
  </conditionalFormatting>
  <conditionalFormatting sqref="X8">
    <cfRule type="cellIs" dxfId="2357" priority="1516" operator="equal">
      <formula>"x"</formula>
    </cfRule>
  </conditionalFormatting>
  <conditionalFormatting sqref="X8">
    <cfRule type="cellIs" dxfId="2356" priority="1515" operator="notEqual">
      <formula>"x"</formula>
    </cfRule>
  </conditionalFormatting>
  <conditionalFormatting sqref="V16">
    <cfRule type="cellIs" dxfId="2355" priority="1514" operator="equal">
      <formula>"x"</formula>
    </cfRule>
  </conditionalFormatting>
  <conditionalFormatting sqref="T16">
    <cfRule type="cellIs" dxfId="2354" priority="1513" operator="equal">
      <formula>"x"</formula>
    </cfRule>
  </conditionalFormatting>
  <conditionalFormatting sqref="T16">
    <cfRule type="cellIs" dxfId="2353" priority="1512" operator="notEqual">
      <formula>"x"</formula>
    </cfRule>
  </conditionalFormatting>
  <conditionalFormatting sqref="V16">
    <cfRule type="cellIs" dxfId="2352" priority="1511" operator="notEqual">
      <formula>"x"</formula>
    </cfRule>
  </conditionalFormatting>
  <conditionalFormatting sqref="X16">
    <cfRule type="cellIs" dxfId="2351" priority="1510" operator="equal">
      <formula>"x"</formula>
    </cfRule>
  </conditionalFormatting>
  <conditionalFormatting sqref="X16">
    <cfRule type="cellIs" dxfId="2350" priority="1509" operator="notEqual">
      <formula>"x"</formula>
    </cfRule>
  </conditionalFormatting>
  <conditionalFormatting sqref="V22">
    <cfRule type="cellIs" dxfId="2349" priority="1508" operator="equal">
      <formula>"x"</formula>
    </cfRule>
  </conditionalFormatting>
  <conditionalFormatting sqref="T22">
    <cfRule type="cellIs" dxfId="2348" priority="1507" operator="equal">
      <formula>"x"</formula>
    </cfRule>
  </conditionalFormatting>
  <conditionalFormatting sqref="T22">
    <cfRule type="cellIs" dxfId="2347" priority="1506" operator="notEqual">
      <formula>"x"</formula>
    </cfRule>
  </conditionalFormatting>
  <conditionalFormatting sqref="V22">
    <cfRule type="cellIs" dxfId="2346" priority="1505" operator="notEqual">
      <formula>"x"</formula>
    </cfRule>
  </conditionalFormatting>
  <conditionalFormatting sqref="X22">
    <cfRule type="cellIs" dxfId="2345" priority="1504" operator="equal">
      <formula>"x"</formula>
    </cfRule>
  </conditionalFormatting>
  <conditionalFormatting sqref="AF22">
    <cfRule type="cellIs" dxfId="2344" priority="1450" operator="notEqual">
      <formula>"x"</formula>
    </cfRule>
  </conditionalFormatting>
  <conditionalFormatting sqref="V37">
    <cfRule type="cellIs" dxfId="2343" priority="1502" operator="equal">
      <formula>"x"</formula>
    </cfRule>
  </conditionalFormatting>
  <conditionalFormatting sqref="T37">
    <cfRule type="cellIs" dxfId="2342" priority="1501" operator="equal">
      <formula>"x"</formula>
    </cfRule>
  </conditionalFormatting>
  <conditionalFormatting sqref="AB37">
    <cfRule type="cellIs" dxfId="2341" priority="1447" operator="notEqual">
      <formula>"x"</formula>
    </cfRule>
  </conditionalFormatting>
  <conditionalFormatting sqref="V37">
    <cfRule type="cellIs" dxfId="2340" priority="1499" operator="notEqual">
      <formula>"x"</formula>
    </cfRule>
  </conditionalFormatting>
  <conditionalFormatting sqref="X37">
    <cfRule type="cellIs" dxfId="2339" priority="1498" operator="equal">
      <formula>"x"</formula>
    </cfRule>
  </conditionalFormatting>
  <conditionalFormatting sqref="X37">
    <cfRule type="cellIs" dxfId="2338" priority="1497" operator="notEqual">
      <formula>"x"</formula>
    </cfRule>
  </conditionalFormatting>
  <conditionalFormatting sqref="T38">
    <cfRule type="cellIs" dxfId="2337" priority="1496" operator="equal">
      <formula>"x"</formula>
    </cfRule>
  </conditionalFormatting>
  <conditionalFormatting sqref="V39">
    <cfRule type="cellIs" dxfId="2336" priority="1495" operator="equal">
      <formula>"x"</formula>
    </cfRule>
  </conditionalFormatting>
  <conditionalFormatting sqref="T39">
    <cfRule type="cellIs" dxfId="2335" priority="1494" operator="equal">
      <formula>"x"</formula>
    </cfRule>
  </conditionalFormatting>
  <conditionalFormatting sqref="X39">
    <cfRule type="cellIs" dxfId="2334" priority="1493" operator="equal">
      <formula>"x"</formula>
    </cfRule>
  </conditionalFormatting>
  <conditionalFormatting sqref="AD32:AD36 AD25:AD30 AD18:AD19 AD12:AD15 AD23 AD6:AD7">
    <cfRule type="cellIs" dxfId="2333" priority="1492" operator="equal">
      <formula>"x"</formula>
    </cfRule>
  </conditionalFormatting>
  <conditionalFormatting sqref="AB6:AB7 AB12:AB15 AB18:AB19 AB25:AB30 AB32:AB36 AB23">
    <cfRule type="cellIs" dxfId="2332" priority="1491" operator="equal">
      <formula>"x"</formula>
    </cfRule>
  </conditionalFormatting>
  <conditionalFormatting sqref="AB15 AB23 AB29:AB30 AB36">
    <cfRule type="cellIs" dxfId="2331" priority="1490" operator="notEqual">
      <formula>"x"</formula>
    </cfRule>
  </conditionalFormatting>
  <conditionalFormatting sqref="AD15 AD23 AD29:AD30 AD36">
    <cfRule type="cellIs" dxfId="2330" priority="1489" operator="notEqual">
      <formula>"x"</formula>
    </cfRule>
  </conditionalFormatting>
  <conditionalFormatting sqref="AF6:AF7 AF32:AF36 AF25:AF30 AF18:AF19 AF12:AF15 AF23">
    <cfRule type="cellIs" dxfId="2329" priority="1488" operator="equal">
      <formula>"x"</formula>
    </cfRule>
  </conditionalFormatting>
  <conditionalFormatting sqref="AF15 AF23 AF29:AF30 AF36">
    <cfRule type="cellIs" dxfId="2328" priority="1487" operator="notEqual">
      <formula>"x"</formula>
    </cfRule>
  </conditionalFormatting>
  <conditionalFormatting sqref="AD11">
    <cfRule type="cellIs" dxfId="2327" priority="1486" operator="equal">
      <formula>"x"</formula>
    </cfRule>
  </conditionalFormatting>
  <conditionalFormatting sqref="AB11">
    <cfRule type="cellIs" dxfId="2326" priority="1485" operator="equal">
      <formula>"x"</formula>
    </cfRule>
  </conditionalFormatting>
  <conditionalFormatting sqref="AF11">
    <cfRule type="cellIs" dxfId="2325" priority="1484" operator="equal">
      <formula>"x"</formula>
    </cfRule>
  </conditionalFormatting>
  <conditionalFormatting sqref="AD10">
    <cfRule type="cellIs" dxfId="2324" priority="1483" operator="equal">
      <formula>"x"</formula>
    </cfRule>
  </conditionalFormatting>
  <conditionalFormatting sqref="AB10">
    <cfRule type="cellIs" dxfId="2323" priority="1482" operator="equal">
      <formula>"x"</formula>
    </cfRule>
  </conditionalFormatting>
  <conditionalFormatting sqref="AF10">
    <cfRule type="cellIs" dxfId="2322" priority="1481" operator="equal">
      <formula>"x"</formula>
    </cfRule>
  </conditionalFormatting>
  <conditionalFormatting sqref="AF37">
    <cfRule type="cellIs" dxfId="2321" priority="1444" operator="notEqual">
      <formula>"x"</formula>
    </cfRule>
  </conditionalFormatting>
  <conditionalFormatting sqref="AD17">
    <cfRule type="cellIs" dxfId="2320" priority="1480" operator="equal">
      <formula>"x"</formula>
    </cfRule>
  </conditionalFormatting>
  <conditionalFormatting sqref="AB17">
    <cfRule type="cellIs" dxfId="2319" priority="1479" operator="equal">
      <formula>"x"</formula>
    </cfRule>
  </conditionalFormatting>
  <conditionalFormatting sqref="AF17">
    <cfRule type="cellIs" dxfId="2318" priority="1478" operator="equal">
      <formula>"x"</formula>
    </cfRule>
  </conditionalFormatting>
  <conditionalFormatting sqref="AC24">
    <cfRule type="cellIs" dxfId="2317" priority="1477" operator="equal">
      <formula>"x"</formula>
    </cfRule>
  </conditionalFormatting>
  <conditionalFormatting sqref="AB24">
    <cfRule type="cellIs" dxfId="2316" priority="1476" operator="equal">
      <formula>"x"</formula>
    </cfRule>
  </conditionalFormatting>
  <conditionalFormatting sqref="AC31">
    <cfRule type="cellIs" dxfId="2315" priority="1475" operator="equal">
      <formula>"x"</formula>
    </cfRule>
  </conditionalFormatting>
  <conditionalFormatting sqref="AB31">
    <cfRule type="cellIs" dxfId="2314" priority="1474" operator="equal">
      <formula>"x"</formula>
    </cfRule>
  </conditionalFormatting>
  <conditionalFormatting sqref="AD9">
    <cfRule type="cellIs" dxfId="2313" priority="1473" operator="equal">
      <formula>"x"</formula>
    </cfRule>
  </conditionalFormatting>
  <conditionalFormatting sqref="AB9">
    <cfRule type="cellIs" dxfId="2312" priority="1472" operator="equal">
      <formula>"x"</formula>
    </cfRule>
  </conditionalFormatting>
  <conditionalFormatting sqref="AB9">
    <cfRule type="cellIs" dxfId="2311" priority="1471" operator="notEqual">
      <formula>"x"</formula>
    </cfRule>
  </conditionalFormatting>
  <conditionalFormatting sqref="AD9">
    <cfRule type="cellIs" dxfId="2310" priority="1470" operator="notEqual">
      <formula>"x"</formula>
    </cfRule>
  </conditionalFormatting>
  <conditionalFormatting sqref="AF9">
    <cfRule type="cellIs" dxfId="2309" priority="1469" operator="equal">
      <formula>"x"</formula>
    </cfRule>
  </conditionalFormatting>
  <conditionalFormatting sqref="AF9">
    <cfRule type="cellIs" dxfId="2308" priority="1468" operator="notEqual">
      <formula>"x"</formula>
    </cfRule>
  </conditionalFormatting>
  <conditionalFormatting sqref="AD8">
    <cfRule type="cellIs" dxfId="2307" priority="1467" operator="equal">
      <formula>"x"</formula>
    </cfRule>
  </conditionalFormatting>
  <conditionalFormatting sqref="AB8">
    <cfRule type="cellIs" dxfId="2306" priority="1466" operator="equal">
      <formula>"x"</formula>
    </cfRule>
  </conditionalFormatting>
  <conditionalFormatting sqref="AB8">
    <cfRule type="cellIs" dxfId="2305" priority="1465" operator="notEqual">
      <formula>"x"</formula>
    </cfRule>
  </conditionalFormatting>
  <conditionalFormatting sqref="AD8">
    <cfRule type="cellIs" dxfId="2304" priority="1464" operator="notEqual">
      <formula>"x"</formula>
    </cfRule>
  </conditionalFormatting>
  <conditionalFormatting sqref="AF8">
    <cfRule type="cellIs" dxfId="2303" priority="1463" operator="equal">
      <formula>"x"</formula>
    </cfRule>
  </conditionalFormatting>
  <conditionalFormatting sqref="AF8">
    <cfRule type="cellIs" dxfId="2302" priority="1462" operator="notEqual">
      <formula>"x"</formula>
    </cfRule>
  </conditionalFormatting>
  <conditionalFormatting sqref="AD16">
    <cfRule type="cellIs" dxfId="2301" priority="1461" operator="equal">
      <formula>"x"</formula>
    </cfRule>
  </conditionalFormatting>
  <conditionalFormatting sqref="AB16">
    <cfRule type="cellIs" dxfId="2300" priority="1460" operator="equal">
      <formula>"x"</formula>
    </cfRule>
  </conditionalFormatting>
  <conditionalFormatting sqref="AB16">
    <cfRule type="cellIs" dxfId="2299" priority="1459" operator="notEqual">
      <formula>"x"</formula>
    </cfRule>
  </conditionalFormatting>
  <conditionalFormatting sqref="AD16">
    <cfRule type="cellIs" dxfId="2298" priority="1458" operator="notEqual">
      <formula>"x"</formula>
    </cfRule>
  </conditionalFormatting>
  <conditionalFormatting sqref="AF16">
    <cfRule type="cellIs" dxfId="2297" priority="1457" operator="equal">
      <formula>"x"</formula>
    </cfRule>
  </conditionalFormatting>
  <conditionalFormatting sqref="AF16">
    <cfRule type="cellIs" dxfId="2296" priority="1456" operator="notEqual">
      <formula>"x"</formula>
    </cfRule>
  </conditionalFormatting>
  <conditionalFormatting sqref="AD22">
    <cfRule type="cellIs" dxfId="2295" priority="1455" operator="equal">
      <formula>"x"</formula>
    </cfRule>
  </conditionalFormatting>
  <conditionalFormatting sqref="AB22">
    <cfRule type="cellIs" dxfId="2294" priority="1454" operator="equal">
      <formula>"x"</formula>
    </cfRule>
  </conditionalFormatting>
  <conditionalFormatting sqref="AB22">
    <cfRule type="cellIs" dxfId="2293" priority="1453" operator="notEqual">
      <formula>"x"</formula>
    </cfRule>
  </conditionalFormatting>
  <conditionalFormatting sqref="AD22">
    <cfRule type="cellIs" dxfId="2292" priority="1452" operator="notEqual">
      <formula>"x"</formula>
    </cfRule>
  </conditionalFormatting>
  <conditionalFormatting sqref="AF22">
    <cfRule type="cellIs" dxfId="2291" priority="1451" operator="equal">
      <formula>"x"</formula>
    </cfRule>
  </conditionalFormatting>
  <conditionalFormatting sqref="AD37">
    <cfRule type="cellIs" dxfId="2290" priority="1449" operator="equal">
      <formula>"x"</formula>
    </cfRule>
  </conditionalFormatting>
  <conditionalFormatting sqref="AB37">
    <cfRule type="cellIs" dxfId="2289" priority="1448" operator="equal">
      <formula>"x"</formula>
    </cfRule>
  </conditionalFormatting>
  <conditionalFormatting sqref="AD37">
    <cfRule type="cellIs" dxfId="2288" priority="1446" operator="notEqual">
      <formula>"x"</formula>
    </cfRule>
  </conditionalFormatting>
  <conditionalFormatting sqref="AF37">
    <cfRule type="cellIs" dxfId="2287" priority="1445" operator="equal">
      <formula>"x"</formula>
    </cfRule>
  </conditionalFormatting>
  <conditionalFormatting sqref="AD38">
    <cfRule type="cellIs" dxfId="2286" priority="1443" operator="equal">
      <formula>"x"</formula>
    </cfRule>
  </conditionalFormatting>
  <conditionalFormatting sqref="AB38">
    <cfRule type="cellIs" dxfId="2285" priority="1442" operator="equal">
      <formula>"x"</formula>
    </cfRule>
  </conditionalFormatting>
  <conditionalFormatting sqref="AF38">
    <cfRule type="cellIs" dxfId="2284" priority="1441" operator="equal">
      <formula>"x"</formula>
    </cfRule>
  </conditionalFormatting>
  <conditionalFormatting sqref="AD39">
    <cfRule type="cellIs" dxfId="2283" priority="1440" operator="equal">
      <formula>"x"</formula>
    </cfRule>
  </conditionalFormatting>
  <conditionalFormatting sqref="AB39">
    <cfRule type="cellIs" dxfId="2282" priority="1439" operator="equal">
      <formula>"x"</formula>
    </cfRule>
  </conditionalFormatting>
  <conditionalFormatting sqref="AF39">
    <cfRule type="cellIs" dxfId="2281" priority="1438" operator="equal">
      <formula>"x"</formula>
    </cfRule>
  </conditionalFormatting>
  <conditionalFormatting sqref="AD20">
    <cfRule type="cellIs" dxfId="2280" priority="1437" operator="equal">
      <formula>"x"</formula>
    </cfRule>
  </conditionalFormatting>
  <conditionalFormatting sqref="AB20">
    <cfRule type="cellIs" dxfId="2279" priority="1436" operator="equal">
      <formula>"x"</formula>
    </cfRule>
  </conditionalFormatting>
  <conditionalFormatting sqref="AF20">
    <cfRule type="cellIs" dxfId="2278" priority="1435" operator="equal">
      <formula>"x"</formula>
    </cfRule>
  </conditionalFormatting>
  <conditionalFormatting sqref="AD21">
    <cfRule type="cellIs" dxfId="2277" priority="1434" operator="equal">
      <formula>"x"</formula>
    </cfRule>
  </conditionalFormatting>
  <conditionalFormatting sqref="AB21">
    <cfRule type="cellIs" dxfId="2276" priority="1433" operator="equal">
      <formula>"x"</formula>
    </cfRule>
  </conditionalFormatting>
  <conditionalFormatting sqref="AF21">
    <cfRule type="cellIs" dxfId="2275" priority="1432" operator="equal">
      <formula>"x"</formula>
    </cfRule>
  </conditionalFormatting>
  <conditionalFormatting sqref="AN22">
    <cfRule type="cellIs" dxfId="2274" priority="1395" operator="notEqual">
      <formula>"x"</formula>
    </cfRule>
  </conditionalFormatting>
  <conditionalFormatting sqref="AJ37">
    <cfRule type="cellIs" dxfId="2273" priority="1392" operator="notEqual">
      <formula>"x"</formula>
    </cfRule>
  </conditionalFormatting>
  <conditionalFormatting sqref="AL32:AL36 AL25:AL30 AL18:AL19 AL12:AL15 AL23">
    <cfRule type="cellIs" dxfId="2272" priority="1431" operator="equal">
      <formula>"x"</formula>
    </cfRule>
  </conditionalFormatting>
  <conditionalFormatting sqref="AJ12:AJ15 AJ18:AJ19 AJ25:AJ30 AJ32:AJ36 AJ23">
    <cfRule type="cellIs" dxfId="2271" priority="1430" operator="equal">
      <formula>"x"</formula>
    </cfRule>
  </conditionalFormatting>
  <conditionalFormatting sqref="AJ15 AJ23 AJ29:AJ30 AJ36">
    <cfRule type="cellIs" dxfId="2270" priority="1429" operator="notEqual">
      <formula>"x"</formula>
    </cfRule>
  </conditionalFormatting>
  <conditionalFormatting sqref="AL15 AL23 AL29:AL30 AL36">
    <cfRule type="cellIs" dxfId="2269" priority="1428" operator="notEqual">
      <formula>"x"</formula>
    </cfRule>
  </conditionalFormatting>
  <conditionalFormatting sqref="AN32:AN36 AN25:AN30 AN18:AN19 AN12:AN15 AN23">
    <cfRule type="cellIs" dxfId="2268" priority="1427" operator="equal">
      <formula>"x"</formula>
    </cfRule>
  </conditionalFormatting>
  <conditionalFormatting sqref="AN15 AN23 AN29:AN30 AN36">
    <cfRule type="cellIs" dxfId="2267" priority="1426" operator="notEqual">
      <formula>"x"</formula>
    </cfRule>
  </conditionalFormatting>
  <conditionalFormatting sqref="AL11">
    <cfRule type="cellIs" dxfId="2266" priority="1425" operator="equal">
      <formula>"x"</formula>
    </cfRule>
  </conditionalFormatting>
  <conditionalFormatting sqref="AJ11">
    <cfRule type="cellIs" dxfId="2265" priority="1424" operator="equal">
      <formula>"x"</formula>
    </cfRule>
  </conditionalFormatting>
  <conditionalFormatting sqref="AN11">
    <cfRule type="cellIs" dxfId="2264" priority="1423" operator="equal">
      <formula>"x"</formula>
    </cfRule>
  </conditionalFormatting>
  <conditionalFormatting sqref="AJ10">
    <cfRule type="cellIs" dxfId="2263" priority="1422" operator="equal">
      <formula>"x"</formula>
    </cfRule>
  </conditionalFormatting>
  <conditionalFormatting sqref="AN37">
    <cfRule type="cellIs" dxfId="2262" priority="1389" operator="notEqual">
      <formula>"x"</formula>
    </cfRule>
  </conditionalFormatting>
  <conditionalFormatting sqref="AJ17">
    <cfRule type="cellIs" dxfId="2261" priority="1421" operator="equal">
      <formula>"x"</formula>
    </cfRule>
  </conditionalFormatting>
  <conditionalFormatting sqref="AJ24">
    <cfRule type="cellIs" dxfId="2260" priority="1420" operator="equal">
      <formula>"x"</formula>
    </cfRule>
  </conditionalFormatting>
  <conditionalFormatting sqref="AJ31">
    <cfRule type="cellIs" dxfId="2259" priority="1419" operator="equal">
      <formula>"x"</formula>
    </cfRule>
  </conditionalFormatting>
  <conditionalFormatting sqref="AL9">
    <cfRule type="cellIs" dxfId="2258" priority="1418" operator="equal">
      <formula>"x"</formula>
    </cfRule>
  </conditionalFormatting>
  <conditionalFormatting sqref="AJ9">
    <cfRule type="cellIs" dxfId="2257" priority="1417" operator="equal">
      <formula>"x"</formula>
    </cfRule>
  </conditionalFormatting>
  <conditionalFormatting sqref="AJ9">
    <cfRule type="cellIs" dxfId="2256" priority="1416" operator="notEqual">
      <formula>"x"</formula>
    </cfRule>
  </conditionalFormatting>
  <conditionalFormatting sqref="AL9">
    <cfRule type="cellIs" dxfId="2255" priority="1415" operator="notEqual">
      <formula>"x"</formula>
    </cfRule>
  </conditionalFormatting>
  <conditionalFormatting sqref="AN9">
    <cfRule type="cellIs" dxfId="2254" priority="1414" operator="equal">
      <formula>"x"</formula>
    </cfRule>
  </conditionalFormatting>
  <conditionalFormatting sqref="AN9">
    <cfRule type="cellIs" dxfId="2253" priority="1413" operator="notEqual">
      <formula>"x"</formula>
    </cfRule>
  </conditionalFormatting>
  <conditionalFormatting sqref="AL8">
    <cfRule type="cellIs" dxfId="2252" priority="1412" operator="equal">
      <formula>"x"</formula>
    </cfRule>
  </conditionalFormatting>
  <conditionalFormatting sqref="AJ8">
    <cfRule type="cellIs" dxfId="2251" priority="1411" operator="equal">
      <formula>"x"</formula>
    </cfRule>
  </conditionalFormatting>
  <conditionalFormatting sqref="AJ8">
    <cfRule type="cellIs" dxfId="2250" priority="1410" operator="notEqual">
      <formula>"x"</formula>
    </cfRule>
  </conditionalFormatting>
  <conditionalFormatting sqref="AL8">
    <cfRule type="cellIs" dxfId="2249" priority="1409" operator="notEqual">
      <formula>"x"</formula>
    </cfRule>
  </conditionalFormatting>
  <conditionalFormatting sqref="AN8">
    <cfRule type="cellIs" dxfId="2248" priority="1408" operator="equal">
      <formula>"x"</formula>
    </cfRule>
  </conditionalFormatting>
  <conditionalFormatting sqref="AN8">
    <cfRule type="cellIs" dxfId="2247" priority="1407" operator="notEqual">
      <formula>"x"</formula>
    </cfRule>
  </conditionalFormatting>
  <conditionalFormatting sqref="AL16">
    <cfRule type="cellIs" dxfId="2246" priority="1406" operator="equal">
      <formula>"x"</formula>
    </cfRule>
  </conditionalFormatting>
  <conditionalFormatting sqref="AJ16">
    <cfRule type="cellIs" dxfId="2245" priority="1405" operator="equal">
      <formula>"x"</formula>
    </cfRule>
  </conditionalFormatting>
  <conditionalFormatting sqref="AJ16">
    <cfRule type="cellIs" dxfId="2244" priority="1404" operator="notEqual">
      <formula>"x"</formula>
    </cfRule>
  </conditionalFormatting>
  <conditionalFormatting sqref="AL16">
    <cfRule type="cellIs" dxfId="2243" priority="1403" operator="notEqual">
      <formula>"x"</formula>
    </cfRule>
  </conditionalFormatting>
  <conditionalFormatting sqref="AN16">
    <cfRule type="cellIs" dxfId="2242" priority="1402" operator="equal">
      <formula>"x"</formula>
    </cfRule>
  </conditionalFormatting>
  <conditionalFormatting sqref="AN16">
    <cfRule type="cellIs" dxfId="2241" priority="1401" operator="notEqual">
      <formula>"x"</formula>
    </cfRule>
  </conditionalFormatting>
  <conditionalFormatting sqref="AL22">
    <cfRule type="cellIs" dxfId="2240" priority="1400" operator="equal">
      <formula>"x"</formula>
    </cfRule>
  </conditionalFormatting>
  <conditionalFormatting sqref="AJ22">
    <cfRule type="cellIs" dxfId="2239" priority="1399" operator="equal">
      <formula>"x"</formula>
    </cfRule>
  </conditionalFormatting>
  <conditionalFormatting sqref="AJ22">
    <cfRule type="cellIs" dxfId="2238" priority="1398" operator="notEqual">
      <formula>"x"</formula>
    </cfRule>
  </conditionalFormatting>
  <conditionalFormatting sqref="AL22">
    <cfRule type="cellIs" dxfId="2237" priority="1397" operator="notEqual">
      <formula>"x"</formula>
    </cfRule>
  </conditionalFormatting>
  <conditionalFormatting sqref="AN22">
    <cfRule type="cellIs" dxfId="2236" priority="1396" operator="equal">
      <formula>"x"</formula>
    </cfRule>
  </conditionalFormatting>
  <conditionalFormatting sqref="AL37">
    <cfRule type="cellIs" dxfId="2235" priority="1394" operator="equal">
      <formula>"x"</formula>
    </cfRule>
  </conditionalFormatting>
  <conditionalFormatting sqref="AJ37">
    <cfRule type="cellIs" dxfId="2234" priority="1393" operator="equal">
      <formula>"x"</formula>
    </cfRule>
  </conditionalFormatting>
  <conditionalFormatting sqref="AL37">
    <cfRule type="cellIs" dxfId="2233" priority="1391" operator="notEqual">
      <formula>"x"</formula>
    </cfRule>
  </conditionalFormatting>
  <conditionalFormatting sqref="AN37">
    <cfRule type="cellIs" dxfId="2232" priority="1390" operator="equal">
      <formula>"x"</formula>
    </cfRule>
  </conditionalFormatting>
  <conditionalFormatting sqref="AL38">
    <cfRule type="cellIs" dxfId="2231" priority="1388" operator="equal">
      <formula>"x"</formula>
    </cfRule>
  </conditionalFormatting>
  <conditionalFormatting sqref="AJ38">
    <cfRule type="cellIs" dxfId="2230" priority="1387" operator="equal">
      <formula>"x"</formula>
    </cfRule>
  </conditionalFormatting>
  <conditionalFormatting sqref="AN38">
    <cfRule type="cellIs" dxfId="2229" priority="1386" operator="equal">
      <formula>"x"</formula>
    </cfRule>
  </conditionalFormatting>
  <conditionalFormatting sqref="AL39">
    <cfRule type="cellIs" dxfId="2228" priority="1385" operator="equal">
      <formula>"x"</formula>
    </cfRule>
  </conditionalFormatting>
  <conditionalFormatting sqref="AJ39">
    <cfRule type="cellIs" dxfId="2227" priority="1384" operator="equal">
      <formula>"x"</formula>
    </cfRule>
  </conditionalFormatting>
  <conditionalFormatting sqref="AN39">
    <cfRule type="cellIs" dxfId="2226" priority="1383" operator="equal">
      <formula>"x"</formula>
    </cfRule>
  </conditionalFormatting>
  <conditionalFormatting sqref="AL20">
    <cfRule type="cellIs" dxfId="2225" priority="1382" operator="equal">
      <formula>"x"</formula>
    </cfRule>
  </conditionalFormatting>
  <conditionalFormatting sqref="AJ20">
    <cfRule type="cellIs" dxfId="2224" priority="1381" operator="equal">
      <formula>"x"</formula>
    </cfRule>
  </conditionalFormatting>
  <conditionalFormatting sqref="AN20">
    <cfRule type="cellIs" dxfId="2223" priority="1380" operator="equal">
      <formula>"x"</formula>
    </cfRule>
  </conditionalFormatting>
  <conditionalFormatting sqref="AL21">
    <cfRule type="cellIs" dxfId="2222" priority="1379" operator="equal">
      <formula>"x"</formula>
    </cfRule>
  </conditionalFormatting>
  <conditionalFormatting sqref="AJ21">
    <cfRule type="cellIs" dxfId="2221" priority="1378" operator="equal">
      <formula>"x"</formula>
    </cfRule>
  </conditionalFormatting>
  <conditionalFormatting sqref="AN21">
    <cfRule type="cellIs" dxfId="2220" priority="1377" operator="equal">
      <formula>"x"</formula>
    </cfRule>
  </conditionalFormatting>
  <conditionalFormatting sqref="AL6:AL7">
    <cfRule type="cellIs" dxfId="2219" priority="1376" operator="equal">
      <formula>"x"</formula>
    </cfRule>
  </conditionalFormatting>
  <conditionalFormatting sqref="AJ6:AJ7">
    <cfRule type="cellIs" dxfId="2218" priority="1375" operator="equal">
      <formula>"x"</formula>
    </cfRule>
  </conditionalFormatting>
  <conditionalFormatting sqref="AN6:AN7">
    <cfRule type="cellIs" dxfId="2217" priority="1374" operator="equal">
      <formula>"x"</formula>
    </cfRule>
  </conditionalFormatting>
  <conditionalFormatting sqref="AV22">
    <cfRule type="cellIs" dxfId="2216" priority="1337" operator="notEqual">
      <formula>"x"</formula>
    </cfRule>
  </conditionalFormatting>
  <conditionalFormatting sqref="AR37">
    <cfRule type="cellIs" dxfId="2215" priority="1334" operator="notEqual">
      <formula>"x"</formula>
    </cfRule>
  </conditionalFormatting>
  <conditionalFormatting sqref="AT32:AT36 AT25:AT30 AT18:AT19 AT12:AT15 AT23">
    <cfRule type="cellIs" dxfId="2214" priority="1373" operator="equal">
      <formula>"x"</formula>
    </cfRule>
  </conditionalFormatting>
  <conditionalFormatting sqref="AR12:AR15 AR18:AR19 AR25:AR30 AR32:AR36 AR23">
    <cfRule type="cellIs" dxfId="2213" priority="1372" operator="equal">
      <formula>"x"</formula>
    </cfRule>
  </conditionalFormatting>
  <conditionalFormatting sqref="AR15 AR23 AR29:AR30 AR36">
    <cfRule type="cellIs" dxfId="2212" priority="1371" operator="notEqual">
      <formula>"x"</formula>
    </cfRule>
  </conditionalFormatting>
  <conditionalFormatting sqref="AT15 AT23 AT29:AT30 AT36">
    <cfRule type="cellIs" dxfId="2211" priority="1370" operator="notEqual">
      <formula>"x"</formula>
    </cfRule>
  </conditionalFormatting>
  <conditionalFormatting sqref="AV32:AV36 AV25:AV30 AV18:AV19 AV12:AV15 AV23">
    <cfRule type="cellIs" dxfId="2210" priority="1369" operator="equal">
      <formula>"x"</formula>
    </cfRule>
  </conditionalFormatting>
  <conditionalFormatting sqref="AV15 AV23 AV29:AV30 AV36">
    <cfRule type="cellIs" dxfId="2209" priority="1368" operator="notEqual">
      <formula>"x"</formula>
    </cfRule>
  </conditionalFormatting>
  <conditionalFormatting sqref="AT11">
    <cfRule type="cellIs" dxfId="2208" priority="1367" operator="equal">
      <formula>"x"</formula>
    </cfRule>
  </conditionalFormatting>
  <conditionalFormatting sqref="AR11">
    <cfRule type="cellIs" dxfId="2207" priority="1366" operator="equal">
      <formula>"x"</formula>
    </cfRule>
  </conditionalFormatting>
  <conditionalFormatting sqref="AV11">
    <cfRule type="cellIs" dxfId="2206" priority="1365" operator="equal">
      <formula>"x"</formula>
    </cfRule>
  </conditionalFormatting>
  <conditionalFormatting sqref="AR10">
    <cfRule type="cellIs" dxfId="2205" priority="1364" operator="equal">
      <formula>"x"</formula>
    </cfRule>
  </conditionalFormatting>
  <conditionalFormatting sqref="AV37">
    <cfRule type="cellIs" dxfId="2204" priority="1331" operator="notEqual">
      <formula>"x"</formula>
    </cfRule>
  </conditionalFormatting>
  <conditionalFormatting sqref="AR17">
    <cfRule type="cellIs" dxfId="2203" priority="1363" operator="equal">
      <formula>"x"</formula>
    </cfRule>
  </conditionalFormatting>
  <conditionalFormatting sqref="AR24">
    <cfRule type="cellIs" dxfId="2202" priority="1362" operator="equal">
      <formula>"x"</formula>
    </cfRule>
  </conditionalFormatting>
  <conditionalFormatting sqref="AR31">
    <cfRule type="cellIs" dxfId="2201" priority="1361" operator="equal">
      <formula>"x"</formula>
    </cfRule>
  </conditionalFormatting>
  <conditionalFormatting sqref="AT9">
    <cfRule type="cellIs" dxfId="2200" priority="1360" operator="equal">
      <formula>"x"</formula>
    </cfRule>
  </conditionalFormatting>
  <conditionalFormatting sqref="AR9">
    <cfRule type="cellIs" dxfId="2199" priority="1359" operator="equal">
      <formula>"x"</formula>
    </cfRule>
  </conditionalFormatting>
  <conditionalFormatting sqref="AR9">
    <cfRule type="cellIs" dxfId="2198" priority="1358" operator="notEqual">
      <formula>"x"</formula>
    </cfRule>
  </conditionalFormatting>
  <conditionalFormatting sqref="AT9">
    <cfRule type="cellIs" dxfId="2197" priority="1357" operator="notEqual">
      <formula>"x"</formula>
    </cfRule>
  </conditionalFormatting>
  <conditionalFormatting sqref="AV9">
    <cfRule type="cellIs" dxfId="2196" priority="1356" operator="equal">
      <formula>"x"</formula>
    </cfRule>
  </conditionalFormatting>
  <conditionalFormatting sqref="AV9">
    <cfRule type="cellIs" dxfId="2195" priority="1355" operator="notEqual">
      <formula>"x"</formula>
    </cfRule>
  </conditionalFormatting>
  <conditionalFormatting sqref="AT8">
    <cfRule type="cellIs" dxfId="2194" priority="1354" operator="equal">
      <formula>"x"</formula>
    </cfRule>
  </conditionalFormatting>
  <conditionalFormatting sqref="AR8">
    <cfRule type="cellIs" dxfId="2193" priority="1353" operator="equal">
      <formula>"x"</formula>
    </cfRule>
  </conditionalFormatting>
  <conditionalFormatting sqref="AR8">
    <cfRule type="cellIs" dxfId="2192" priority="1352" operator="notEqual">
      <formula>"x"</formula>
    </cfRule>
  </conditionalFormatting>
  <conditionalFormatting sqref="AT8">
    <cfRule type="cellIs" dxfId="2191" priority="1351" operator="notEqual">
      <formula>"x"</formula>
    </cfRule>
  </conditionalFormatting>
  <conditionalFormatting sqref="AV8">
    <cfRule type="cellIs" dxfId="2190" priority="1350" operator="equal">
      <formula>"x"</formula>
    </cfRule>
  </conditionalFormatting>
  <conditionalFormatting sqref="AV8">
    <cfRule type="cellIs" dxfId="2189" priority="1349" operator="notEqual">
      <formula>"x"</formula>
    </cfRule>
  </conditionalFormatting>
  <conditionalFormatting sqref="AT16">
    <cfRule type="cellIs" dxfId="2188" priority="1348" operator="equal">
      <formula>"x"</formula>
    </cfRule>
  </conditionalFormatting>
  <conditionalFormatting sqref="AR16">
    <cfRule type="cellIs" dxfId="2187" priority="1347" operator="equal">
      <formula>"x"</formula>
    </cfRule>
  </conditionalFormatting>
  <conditionalFormatting sqref="AR16">
    <cfRule type="cellIs" dxfId="2186" priority="1346" operator="notEqual">
      <formula>"x"</formula>
    </cfRule>
  </conditionalFormatting>
  <conditionalFormatting sqref="AT16">
    <cfRule type="cellIs" dxfId="2185" priority="1345" operator="notEqual">
      <formula>"x"</formula>
    </cfRule>
  </conditionalFormatting>
  <conditionalFormatting sqref="AV16">
    <cfRule type="cellIs" dxfId="2184" priority="1344" operator="equal">
      <formula>"x"</formula>
    </cfRule>
  </conditionalFormatting>
  <conditionalFormatting sqref="AV16">
    <cfRule type="cellIs" dxfId="2183" priority="1343" operator="notEqual">
      <formula>"x"</formula>
    </cfRule>
  </conditionalFormatting>
  <conditionalFormatting sqref="AT22">
    <cfRule type="cellIs" dxfId="2182" priority="1342" operator="equal">
      <formula>"x"</formula>
    </cfRule>
  </conditionalFormatting>
  <conditionalFormatting sqref="AR22">
    <cfRule type="cellIs" dxfId="2181" priority="1341" operator="equal">
      <formula>"x"</formula>
    </cfRule>
  </conditionalFormatting>
  <conditionalFormatting sqref="AR22">
    <cfRule type="cellIs" dxfId="2180" priority="1340" operator="notEqual">
      <formula>"x"</formula>
    </cfRule>
  </conditionalFormatting>
  <conditionalFormatting sqref="AT22">
    <cfRule type="cellIs" dxfId="2179" priority="1339" operator="notEqual">
      <formula>"x"</formula>
    </cfRule>
  </conditionalFormatting>
  <conditionalFormatting sqref="AV22">
    <cfRule type="cellIs" dxfId="2178" priority="1338" operator="equal">
      <formula>"x"</formula>
    </cfRule>
  </conditionalFormatting>
  <conditionalFormatting sqref="AT37">
    <cfRule type="cellIs" dxfId="2177" priority="1336" operator="equal">
      <formula>"x"</formula>
    </cfRule>
  </conditionalFormatting>
  <conditionalFormatting sqref="AR37">
    <cfRule type="cellIs" dxfId="2176" priority="1335" operator="equal">
      <formula>"x"</formula>
    </cfRule>
  </conditionalFormatting>
  <conditionalFormatting sqref="AT37">
    <cfRule type="cellIs" dxfId="2175" priority="1333" operator="notEqual">
      <formula>"x"</formula>
    </cfRule>
  </conditionalFormatting>
  <conditionalFormatting sqref="AV37">
    <cfRule type="cellIs" dxfId="2174" priority="1332" operator="equal">
      <formula>"x"</formula>
    </cfRule>
  </conditionalFormatting>
  <conditionalFormatting sqref="AR38">
    <cfRule type="cellIs" dxfId="2173" priority="1330" operator="equal">
      <formula>"x"</formula>
    </cfRule>
  </conditionalFormatting>
  <conditionalFormatting sqref="AT39">
    <cfRule type="cellIs" dxfId="2172" priority="1329" operator="equal">
      <formula>"x"</formula>
    </cfRule>
  </conditionalFormatting>
  <conditionalFormatting sqref="AR39">
    <cfRule type="cellIs" dxfId="2171" priority="1328" operator="equal">
      <formula>"x"</formula>
    </cfRule>
  </conditionalFormatting>
  <conditionalFormatting sqref="AV39">
    <cfRule type="cellIs" dxfId="2170" priority="1327" operator="equal">
      <formula>"x"</formula>
    </cfRule>
  </conditionalFormatting>
  <conditionalFormatting sqref="AT20">
    <cfRule type="cellIs" dxfId="2169" priority="1326" operator="equal">
      <formula>"x"</formula>
    </cfRule>
  </conditionalFormatting>
  <conditionalFormatting sqref="AR20">
    <cfRule type="cellIs" dxfId="2168" priority="1325" operator="equal">
      <formula>"x"</formula>
    </cfRule>
  </conditionalFormatting>
  <conditionalFormatting sqref="AV20">
    <cfRule type="cellIs" dxfId="2167" priority="1324" operator="equal">
      <formula>"x"</formula>
    </cfRule>
  </conditionalFormatting>
  <conditionalFormatting sqref="AT21">
    <cfRule type="cellIs" dxfId="2166" priority="1323" operator="equal">
      <formula>"x"</formula>
    </cfRule>
  </conditionalFormatting>
  <conditionalFormatting sqref="AR21">
    <cfRule type="cellIs" dxfId="2165" priority="1322" operator="equal">
      <formula>"x"</formula>
    </cfRule>
  </conditionalFormatting>
  <conditionalFormatting sqref="AV21">
    <cfRule type="cellIs" dxfId="2164" priority="1321" operator="equal">
      <formula>"x"</formula>
    </cfRule>
  </conditionalFormatting>
  <conditionalFormatting sqref="AT6:AT7">
    <cfRule type="cellIs" dxfId="2163" priority="1320" operator="equal">
      <formula>"x"</formula>
    </cfRule>
  </conditionalFormatting>
  <conditionalFormatting sqref="AR6:AR7">
    <cfRule type="cellIs" dxfId="2162" priority="1319" operator="equal">
      <formula>"x"</formula>
    </cfRule>
  </conditionalFormatting>
  <conditionalFormatting sqref="AV6:AV7">
    <cfRule type="cellIs" dxfId="2161" priority="1318" operator="equal">
      <formula>"x"</formula>
    </cfRule>
  </conditionalFormatting>
  <conditionalFormatting sqref="BD22">
    <cfRule type="cellIs" dxfId="2160" priority="1273" operator="notEqual">
      <formula>"x"</formula>
    </cfRule>
  </conditionalFormatting>
  <conditionalFormatting sqref="AZ37">
    <cfRule type="cellIs" dxfId="2159" priority="1270" operator="notEqual">
      <formula>"x"</formula>
    </cfRule>
  </conditionalFormatting>
  <conditionalFormatting sqref="BB32:BB36 BB25:BB30 BB18:BB19 BB12:BB15 BB23">
    <cfRule type="cellIs" dxfId="2158" priority="1317" operator="equal">
      <formula>"x"</formula>
    </cfRule>
  </conditionalFormatting>
  <conditionalFormatting sqref="AZ12:AZ15 AZ18:AZ19 AZ25:AZ30 AZ32:AZ36 AZ23">
    <cfRule type="cellIs" dxfId="2157" priority="1316" operator="equal">
      <formula>"x"</formula>
    </cfRule>
  </conditionalFormatting>
  <conditionalFormatting sqref="AZ15 AZ23 AZ29:AZ30 AZ36">
    <cfRule type="cellIs" dxfId="2156" priority="1315" operator="notEqual">
      <formula>"x"</formula>
    </cfRule>
  </conditionalFormatting>
  <conditionalFormatting sqref="BB15 BB23 BB29:BB30 BB36">
    <cfRule type="cellIs" dxfId="2155" priority="1314" operator="notEqual">
      <formula>"x"</formula>
    </cfRule>
  </conditionalFormatting>
  <conditionalFormatting sqref="BD32:BD36 BD25:BD30 BD18:BD19 BD12:BD15 BD23">
    <cfRule type="cellIs" dxfId="2154" priority="1313" operator="equal">
      <formula>"x"</formula>
    </cfRule>
  </conditionalFormatting>
  <conditionalFormatting sqref="BD15 BD23 BD29:BD30 BD36">
    <cfRule type="cellIs" dxfId="2153" priority="1312" operator="notEqual">
      <formula>"x"</formula>
    </cfRule>
  </conditionalFormatting>
  <conditionalFormatting sqref="BB11">
    <cfRule type="cellIs" dxfId="2152" priority="1311" operator="equal">
      <formula>"x"</formula>
    </cfRule>
  </conditionalFormatting>
  <conditionalFormatting sqref="AZ11">
    <cfRule type="cellIs" dxfId="2151" priority="1310" operator="equal">
      <formula>"x"</formula>
    </cfRule>
  </conditionalFormatting>
  <conditionalFormatting sqref="BD11">
    <cfRule type="cellIs" dxfId="2150" priority="1309" operator="equal">
      <formula>"x"</formula>
    </cfRule>
  </conditionalFormatting>
  <conditionalFormatting sqref="BB10">
    <cfRule type="cellIs" dxfId="2149" priority="1308" operator="equal">
      <formula>"x"</formula>
    </cfRule>
  </conditionalFormatting>
  <conditionalFormatting sqref="AZ10">
    <cfRule type="cellIs" dxfId="2148" priority="1307" operator="equal">
      <formula>"x"</formula>
    </cfRule>
  </conditionalFormatting>
  <conditionalFormatting sqref="BD10">
    <cfRule type="cellIs" dxfId="2147" priority="1306" operator="equal">
      <formula>"x"</formula>
    </cfRule>
  </conditionalFormatting>
  <conditionalFormatting sqref="BD37">
    <cfRule type="cellIs" dxfId="2146" priority="1267" operator="notEqual">
      <formula>"x"</formula>
    </cfRule>
  </conditionalFormatting>
  <conditionalFormatting sqref="BB17">
    <cfRule type="cellIs" dxfId="2145" priority="1305" operator="equal">
      <formula>"x"</formula>
    </cfRule>
  </conditionalFormatting>
  <conditionalFormatting sqref="AZ17">
    <cfRule type="cellIs" dxfId="2144" priority="1304" operator="equal">
      <formula>"x"</formula>
    </cfRule>
  </conditionalFormatting>
  <conditionalFormatting sqref="BD17">
    <cfRule type="cellIs" dxfId="2143" priority="1303" operator="equal">
      <formula>"x"</formula>
    </cfRule>
  </conditionalFormatting>
  <conditionalFormatting sqref="BB24">
    <cfRule type="cellIs" dxfId="2142" priority="1302" operator="equal">
      <formula>"x"</formula>
    </cfRule>
  </conditionalFormatting>
  <conditionalFormatting sqref="AZ24">
    <cfRule type="cellIs" dxfId="2141" priority="1301" operator="equal">
      <formula>"x"</formula>
    </cfRule>
  </conditionalFormatting>
  <conditionalFormatting sqref="BD24">
    <cfRule type="cellIs" dxfId="2140" priority="1300" operator="equal">
      <formula>"x"</formula>
    </cfRule>
  </conditionalFormatting>
  <conditionalFormatting sqref="BB31">
    <cfRule type="cellIs" dxfId="2139" priority="1299" operator="equal">
      <formula>"x"</formula>
    </cfRule>
  </conditionalFormatting>
  <conditionalFormatting sqref="AZ31">
    <cfRule type="cellIs" dxfId="2138" priority="1298" operator="equal">
      <formula>"x"</formula>
    </cfRule>
  </conditionalFormatting>
  <conditionalFormatting sqref="BD31">
    <cfRule type="cellIs" dxfId="2137" priority="1297" operator="equal">
      <formula>"x"</formula>
    </cfRule>
  </conditionalFormatting>
  <conditionalFormatting sqref="BB9">
    <cfRule type="cellIs" dxfId="2136" priority="1296" operator="equal">
      <formula>"x"</formula>
    </cfRule>
  </conditionalFormatting>
  <conditionalFormatting sqref="AZ9">
    <cfRule type="cellIs" dxfId="2135" priority="1295" operator="equal">
      <formula>"x"</formula>
    </cfRule>
  </conditionalFormatting>
  <conditionalFormatting sqref="AZ9">
    <cfRule type="cellIs" dxfId="2134" priority="1294" operator="notEqual">
      <formula>"x"</formula>
    </cfRule>
  </conditionalFormatting>
  <conditionalFormatting sqref="BB9">
    <cfRule type="cellIs" dxfId="2133" priority="1293" operator="notEqual">
      <formula>"x"</formula>
    </cfRule>
  </conditionalFormatting>
  <conditionalFormatting sqref="BD9">
    <cfRule type="cellIs" dxfId="2132" priority="1292" operator="equal">
      <formula>"x"</formula>
    </cfRule>
  </conditionalFormatting>
  <conditionalFormatting sqref="BD9">
    <cfRule type="cellIs" dxfId="2131" priority="1291" operator="notEqual">
      <formula>"x"</formula>
    </cfRule>
  </conditionalFormatting>
  <conditionalFormatting sqref="BB8">
    <cfRule type="cellIs" dxfId="2130" priority="1290" operator="equal">
      <formula>"x"</formula>
    </cfRule>
  </conditionalFormatting>
  <conditionalFormatting sqref="AZ8">
    <cfRule type="cellIs" dxfId="2129" priority="1289" operator="equal">
      <formula>"x"</formula>
    </cfRule>
  </conditionalFormatting>
  <conditionalFormatting sqref="AZ8">
    <cfRule type="cellIs" dxfId="2128" priority="1288" operator="notEqual">
      <formula>"x"</formula>
    </cfRule>
  </conditionalFormatting>
  <conditionalFormatting sqref="BB8">
    <cfRule type="cellIs" dxfId="2127" priority="1287" operator="notEqual">
      <formula>"x"</formula>
    </cfRule>
  </conditionalFormatting>
  <conditionalFormatting sqref="BD8">
    <cfRule type="cellIs" dxfId="2126" priority="1286" operator="equal">
      <formula>"x"</formula>
    </cfRule>
  </conditionalFormatting>
  <conditionalFormatting sqref="BD8">
    <cfRule type="cellIs" dxfId="2125" priority="1285" operator="notEqual">
      <formula>"x"</formula>
    </cfRule>
  </conditionalFormatting>
  <conditionalFormatting sqref="BB16">
    <cfRule type="cellIs" dxfId="2124" priority="1284" operator="equal">
      <formula>"x"</formula>
    </cfRule>
  </conditionalFormatting>
  <conditionalFormatting sqref="AZ16">
    <cfRule type="cellIs" dxfId="2123" priority="1283" operator="equal">
      <formula>"x"</formula>
    </cfRule>
  </conditionalFormatting>
  <conditionalFormatting sqref="AZ16">
    <cfRule type="cellIs" dxfId="2122" priority="1282" operator="notEqual">
      <formula>"x"</formula>
    </cfRule>
  </conditionalFormatting>
  <conditionalFormatting sqref="BB16">
    <cfRule type="cellIs" dxfId="2121" priority="1281" operator="notEqual">
      <formula>"x"</formula>
    </cfRule>
  </conditionalFormatting>
  <conditionalFormatting sqref="BD16">
    <cfRule type="cellIs" dxfId="2120" priority="1280" operator="equal">
      <formula>"x"</formula>
    </cfRule>
  </conditionalFormatting>
  <conditionalFormatting sqref="BD16">
    <cfRule type="cellIs" dxfId="2119" priority="1279" operator="notEqual">
      <formula>"x"</formula>
    </cfRule>
  </conditionalFormatting>
  <conditionalFormatting sqref="BB22">
    <cfRule type="cellIs" dxfId="2118" priority="1278" operator="equal">
      <formula>"x"</formula>
    </cfRule>
  </conditionalFormatting>
  <conditionalFormatting sqref="AZ22">
    <cfRule type="cellIs" dxfId="2117" priority="1277" operator="equal">
      <formula>"x"</formula>
    </cfRule>
  </conditionalFormatting>
  <conditionalFormatting sqref="AZ22">
    <cfRule type="cellIs" dxfId="2116" priority="1276" operator="notEqual">
      <formula>"x"</formula>
    </cfRule>
  </conditionalFormatting>
  <conditionalFormatting sqref="BB22">
    <cfRule type="cellIs" dxfId="2115" priority="1275" operator="notEqual">
      <formula>"x"</formula>
    </cfRule>
  </conditionalFormatting>
  <conditionalFormatting sqref="BD22">
    <cfRule type="cellIs" dxfId="2114" priority="1274" operator="equal">
      <formula>"x"</formula>
    </cfRule>
  </conditionalFormatting>
  <conditionalFormatting sqref="BB37">
    <cfRule type="cellIs" dxfId="2113" priority="1272" operator="equal">
      <formula>"x"</formula>
    </cfRule>
  </conditionalFormatting>
  <conditionalFormatting sqref="AZ37">
    <cfRule type="cellIs" dxfId="2112" priority="1271" operator="equal">
      <formula>"x"</formula>
    </cfRule>
  </conditionalFormatting>
  <conditionalFormatting sqref="BB37">
    <cfRule type="cellIs" dxfId="2111" priority="1269" operator="notEqual">
      <formula>"x"</formula>
    </cfRule>
  </conditionalFormatting>
  <conditionalFormatting sqref="BD37">
    <cfRule type="cellIs" dxfId="2110" priority="1268" operator="equal">
      <formula>"x"</formula>
    </cfRule>
  </conditionalFormatting>
  <conditionalFormatting sqref="BB38">
    <cfRule type="cellIs" dxfId="2109" priority="1266" operator="equal">
      <formula>"x"</formula>
    </cfRule>
  </conditionalFormatting>
  <conditionalFormatting sqref="AZ38">
    <cfRule type="cellIs" dxfId="2108" priority="1265" operator="equal">
      <formula>"x"</formula>
    </cfRule>
  </conditionalFormatting>
  <conditionalFormatting sqref="BD38">
    <cfRule type="cellIs" dxfId="2107" priority="1264" operator="equal">
      <formula>"x"</formula>
    </cfRule>
  </conditionalFormatting>
  <conditionalFormatting sqref="BB39">
    <cfRule type="cellIs" dxfId="2106" priority="1263" operator="equal">
      <formula>"x"</formula>
    </cfRule>
  </conditionalFormatting>
  <conditionalFormatting sqref="AZ39">
    <cfRule type="cellIs" dxfId="2105" priority="1262" operator="equal">
      <formula>"x"</formula>
    </cfRule>
  </conditionalFormatting>
  <conditionalFormatting sqref="BD39">
    <cfRule type="cellIs" dxfId="2104" priority="1261" operator="equal">
      <formula>"x"</formula>
    </cfRule>
  </conditionalFormatting>
  <conditionalFormatting sqref="BB20">
    <cfRule type="cellIs" dxfId="2103" priority="1260" operator="equal">
      <formula>"x"</formula>
    </cfRule>
  </conditionalFormatting>
  <conditionalFormatting sqref="AZ20">
    <cfRule type="cellIs" dxfId="2102" priority="1259" operator="equal">
      <formula>"x"</formula>
    </cfRule>
  </conditionalFormatting>
  <conditionalFormatting sqref="BD20">
    <cfRule type="cellIs" dxfId="2101" priority="1258" operator="equal">
      <formula>"x"</formula>
    </cfRule>
  </conditionalFormatting>
  <conditionalFormatting sqref="BB21">
    <cfRule type="cellIs" dxfId="2100" priority="1257" operator="equal">
      <formula>"x"</formula>
    </cfRule>
  </conditionalFormatting>
  <conditionalFormatting sqref="AZ21">
    <cfRule type="cellIs" dxfId="2099" priority="1256" operator="equal">
      <formula>"x"</formula>
    </cfRule>
  </conditionalFormatting>
  <conditionalFormatting sqref="BD21">
    <cfRule type="cellIs" dxfId="2098" priority="1255" operator="equal">
      <formula>"x"</formula>
    </cfRule>
  </conditionalFormatting>
  <conditionalFormatting sqref="BB6:BB7">
    <cfRule type="cellIs" dxfId="2097" priority="1254" operator="equal">
      <formula>"x"</formula>
    </cfRule>
  </conditionalFormatting>
  <conditionalFormatting sqref="AZ6:AZ7">
    <cfRule type="cellIs" dxfId="2096" priority="1253" operator="equal">
      <formula>"x"</formula>
    </cfRule>
  </conditionalFormatting>
  <conditionalFormatting sqref="BD6:BD7">
    <cfRule type="cellIs" dxfId="2095" priority="1252" operator="equal">
      <formula>"x"</formula>
    </cfRule>
  </conditionalFormatting>
  <conditionalFormatting sqref="AZ5">
    <cfRule type="cellIs" dxfId="2094" priority="1251" operator="equal">
      <formula>"x"</formula>
    </cfRule>
  </conditionalFormatting>
  <conditionalFormatting sqref="BB5">
    <cfRule type="cellIs" dxfId="2093" priority="1250" operator="equal">
      <formula>"x"</formula>
    </cfRule>
  </conditionalFormatting>
  <conditionalFormatting sqref="BD5">
    <cfRule type="cellIs" dxfId="2092" priority="1249" operator="equal">
      <formula>"x"</formula>
    </cfRule>
  </conditionalFormatting>
  <conditionalFormatting sqref="BL22">
    <cfRule type="cellIs" dxfId="2091" priority="1209" operator="notEqual">
      <formula>"x"</formula>
    </cfRule>
  </conditionalFormatting>
  <conditionalFormatting sqref="BH37">
    <cfRule type="cellIs" dxfId="2090" priority="1206" operator="notEqual">
      <formula>"x"</formula>
    </cfRule>
  </conditionalFormatting>
  <conditionalFormatting sqref="BJ32:BJ36 BJ25:BJ30 BJ18:BJ19 BJ12:BJ15 BJ23">
    <cfRule type="cellIs" dxfId="2089" priority="1248" operator="equal">
      <formula>"x"</formula>
    </cfRule>
  </conditionalFormatting>
  <conditionalFormatting sqref="BH12:BH15 BH18:BH19 BH25:BH30 BH32:BH36 BH23">
    <cfRule type="cellIs" dxfId="2088" priority="1247" operator="equal">
      <formula>"x"</formula>
    </cfRule>
  </conditionalFormatting>
  <conditionalFormatting sqref="BH15 BH23 BH29:BH30 BH36">
    <cfRule type="cellIs" dxfId="2087" priority="1246" operator="notEqual">
      <formula>"x"</formula>
    </cfRule>
  </conditionalFormatting>
  <conditionalFormatting sqref="BJ15 BJ23 BJ29:BJ30 BJ36">
    <cfRule type="cellIs" dxfId="2086" priority="1245" operator="notEqual">
      <formula>"x"</formula>
    </cfRule>
  </conditionalFormatting>
  <conditionalFormatting sqref="BL32:BL36 BL25:BL30 BL18:BL19 BL12:BL15 BL23">
    <cfRule type="cellIs" dxfId="2085" priority="1244" operator="equal">
      <formula>"x"</formula>
    </cfRule>
  </conditionalFormatting>
  <conditionalFormatting sqref="BL15 BL23 BL29:BL30 BL36">
    <cfRule type="cellIs" dxfId="2084" priority="1243" operator="notEqual">
      <formula>"x"</formula>
    </cfRule>
  </conditionalFormatting>
  <conditionalFormatting sqref="BJ11">
    <cfRule type="cellIs" dxfId="2083" priority="1242" operator="equal">
      <formula>"x"</formula>
    </cfRule>
  </conditionalFormatting>
  <conditionalFormatting sqref="BH11">
    <cfRule type="cellIs" dxfId="2082" priority="1241" operator="equal">
      <formula>"x"</formula>
    </cfRule>
  </conditionalFormatting>
  <conditionalFormatting sqref="BL11">
    <cfRule type="cellIs" dxfId="2081" priority="1240" operator="equal">
      <formula>"x"</formula>
    </cfRule>
  </conditionalFormatting>
  <conditionalFormatting sqref="BJ10">
    <cfRule type="cellIs" dxfId="2080" priority="1239" operator="equal">
      <formula>"x"</formula>
    </cfRule>
  </conditionalFormatting>
  <conditionalFormatting sqref="BH10">
    <cfRule type="cellIs" dxfId="2079" priority="1238" operator="equal">
      <formula>"x"</formula>
    </cfRule>
  </conditionalFormatting>
  <conditionalFormatting sqref="BL10">
    <cfRule type="cellIs" dxfId="2078" priority="1237" operator="equal">
      <formula>"x"</formula>
    </cfRule>
  </conditionalFormatting>
  <conditionalFormatting sqref="BL37">
    <cfRule type="cellIs" dxfId="2077" priority="1203" operator="notEqual">
      <formula>"x"</formula>
    </cfRule>
  </conditionalFormatting>
  <conditionalFormatting sqref="BI17">
    <cfRule type="cellIs" dxfId="2076" priority="1236" operator="equal">
      <formula>"x"</formula>
    </cfRule>
  </conditionalFormatting>
  <conditionalFormatting sqref="BH17">
    <cfRule type="cellIs" dxfId="2075" priority="1235" operator="equal">
      <formula>"x"</formula>
    </cfRule>
  </conditionalFormatting>
  <conditionalFormatting sqref="BH24">
    <cfRule type="cellIs" dxfId="2074" priority="1234" operator="equal">
      <formula>"x"</formula>
    </cfRule>
  </conditionalFormatting>
  <conditionalFormatting sqref="BH31">
    <cfRule type="cellIs" dxfId="2073" priority="1233" operator="equal">
      <formula>"x"</formula>
    </cfRule>
  </conditionalFormatting>
  <conditionalFormatting sqref="BJ9">
    <cfRule type="cellIs" dxfId="2072" priority="1232" operator="equal">
      <formula>"x"</formula>
    </cfRule>
  </conditionalFormatting>
  <conditionalFormatting sqref="BH9">
    <cfRule type="cellIs" dxfId="2071" priority="1231" operator="equal">
      <formula>"x"</formula>
    </cfRule>
  </conditionalFormatting>
  <conditionalFormatting sqref="BH9">
    <cfRule type="cellIs" dxfId="2070" priority="1230" operator="notEqual">
      <formula>"x"</formula>
    </cfRule>
  </conditionalFormatting>
  <conditionalFormatting sqref="BJ9">
    <cfRule type="cellIs" dxfId="2069" priority="1229" operator="notEqual">
      <formula>"x"</formula>
    </cfRule>
  </conditionalFormatting>
  <conditionalFormatting sqref="BL9">
    <cfRule type="cellIs" dxfId="2068" priority="1228" operator="equal">
      <formula>"x"</formula>
    </cfRule>
  </conditionalFormatting>
  <conditionalFormatting sqref="BL9">
    <cfRule type="cellIs" dxfId="2067" priority="1227" operator="notEqual">
      <formula>"x"</formula>
    </cfRule>
  </conditionalFormatting>
  <conditionalFormatting sqref="BJ8">
    <cfRule type="cellIs" dxfId="2066" priority="1226" operator="equal">
      <formula>"x"</formula>
    </cfRule>
  </conditionalFormatting>
  <conditionalFormatting sqref="BH8">
    <cfRule type="cellIs" dxfId="2065" priority="1225" operator="equal">
      <formula>"x"</formula>
    </cfRule>
  </conditionalFormatting>
  <conditionalFormatting sqref="BH8">
    <cfRule type="cellIs" dxfId="2064" priority="1224" operator="notEqual">
      <formula>"x"</formula>
    </cfRule>
  </conditionalFormatting>
  <conditionalFormatting sqref="BJ8">
    <cfRule type="cellIs" dxfId="2063" priority="1223" operator="notEqual">
      <formula>"x"</formula>
    </cfRule>
  </conditionalFormatting>
  <conditionalFormatting sqref="BL8">
    <cfRule type="cellIs" dxfId="2062" priority="1222" operator="equal">
      <formula>"x"</formula>
    </cfRule>
  </conditionalFormatting>
  <conditionalFormatting sqref="BL8">
    <cfRule type="cellIs" dxfId="2061" priority="1221" operator="notEqual">
      <formula>"x"</formula>
    </cfRule>
  </conditionalFormatting>
  <conditionalFormatting sqref="BJ16">
    <cfRule type="cellIs" dxfId="2060" priority="1220" operator="equal">
      <formula>"x"</formula>
    </cfRule>
  </conditionalFormatting>
  <conditionalFormatting sqref="BH16">
    <cfRule type="cellIs" dxfId="2059" priority="1219" operator="equal">
      <formula>"x"</formula>
    </cfRule>
  </conditionalFormatting>
  <conditionalFormatting sqref="BH16">
    <cfRule type="cellIs" dxfId="2058" priority="1218" operator="notEqual">
      <formula>"x"</formula>
    </cfRule>
  </conditionalFormatting>
  <conditionalFormatting sqref="BJ16">
    <cfRule type="cellIs" dxfId="2057" priority="1217" operator="notEqual">
      <formula>"x"</formula>
    </cfRule>
  </conditionalFormatting>
  <conditionalFormatting sqref="BL16">
    <cfRule type="cellIs" dxfId="2056" priority="1216" operator="equal">
      <formula>"x"</formula>
    </cfRule>
  </conditionalFormatting>
  <conditionalFormatting sqref="BL16">
    <cfRule type="cellIs" dxfId="2055" priority="1215" operator="notEqual">
      <formula>"x"</formula>
    </cfRule>
  </conditionalFormatting>
  <conditionalFormatting sqref="BJ22">
    <cfRule type="cellIs" dxfId="2054" priority="1214" operator="equal">
      <formula>"x"</formula>
    </cfRule>
  </conditionalFormatting>
  <conditionalFormatting sqref="BH22">
    <cfRule type="cellIs" dxfId="2053" priority="1213" operator="equal">
      <formula>"x"</formula>
    </cfRule>
  </conditionalFormatting>
  <conditionalFormatting sqref="BH22">
    <cfRule type="cellIs" dxfId="2052" priority="1212" operator="notEqual">
      <formula>"x"</formula>
    </cfRule>
  </conditionalFormatting>
  <conditionalFormatting sqref="BJ22">
    <cfRule type="cellIs" dxfId="2051" priority="1211" operator="notEqual">
      <formula>"x"</formula>
    </cfRule>
  </conditionalFormatting>
  <conditionalFormatting sqref="BL22">
    <cfRule type="cellIs" dxfId="2050" priority="1210" operator="equal">
      <formula>"x"</formula>
    </cfRule>
  </conditionalFormatting>
  <conditionalFormatting sqref="BJ37">
    <cfRule type="cellIs" dxfId="2049" priority="1208" operator="equal">
      <formula>"x"</formula>
    </cfRule>
  </conditionalFormatting>
  <conditionalFormatting sqref="BH37">
    <cfRule type="cellIs" dxfId="2048" priority="1207" operator="equal">
      <formula>"x"</formula>
    </cfRule>
  </conditionalFormatting>
  <conditionalFormatting sqref="BJ37">
    <cfRule type="cellIs" dxfId="2047" priority="1205" operator="notEqual">
      <formula>"x"</formula>
    </cfRule>
  </conditionalFormatting>
  <conditionalFormatting sqref="BL37">
    <cfRule type="cellIs" dxfId="2046" priority="1204" operator="equal">
      <formula>"x"</formula>
    </cfRule>
  </conditionalFormatting>
  <conditionalFormatting sqref="BH38">
    <cfRule type="cellIs" dxfId="2045" priority="1202" operator="equal">
      <formula>"x"</formula>
    </cfRule>
  </conditionalFormatting>
  <conditionalFormatting sqref="BJ39">
    <cfRule type="cellIs" dxfId="2044" priority="1201" operator="equal">
      <formula>"x"</formula>
    </cfRule>
  </conditionalFormatting>
  <conditionalFormatting sqref="BH39">
    <cfRule type="cellIs" dxfId="2043" priority="1200" operator="equal">
      <formula>"x"</formula>
    </cfRule>
  </conditionalFormatting>
  <conditionalFormatting sqref="BL39">
    <cfRule type="cellIs" dxfId="2042" priority="1199" operator="equal">
      <formula>"x"</formula>
    </cfRule>
  </conditionalFormatting>
  <conditionalFormatting sqref="BJ20">
    <cfRule type="cellIs" dxfId="2041" priority="1198" operator="equal">
      <formula>"x"</formula>
    </cfRule>
  </conditionalFormatting>
  <conditionalFormatting sqref="BH20">
    <cfRule type="cellIs" dxfId="2040" priority="1197" operator="equal">
      <formula>"x"</formula>
    </cfRule>
  </conditionalFormatting>
  <conditionalFormatting sqref="BL20">
    <cfRule type="cellIs" dxfId="2039" priority="1196" operator="equal">
      <formula>"x"</formula>
    </cfRule>
  </conditionalFormatting>
  <conditionalFormatting sqref="BJ21">
    <cfRule type="cellIs" dxfId="2038" priority="1195" operator="equal">
      <formula>"x"</formula>
    </cfRule>
  </conditionalFormatting>
  <conditionalFormatting sqref="BH21">
    <cfRule type="cellIs" dxfId="2037" priority="1194" operator="equal">
      <formula>"x"</formula>
    </cfRule>
  </conditionalFormatting>
  <conditionalFormatting sqref="BL21">
    <cfRule type="cellIs" dxfId="2036" priority="1193" operator="equal">
      <formula>"x"</formula>
    </cfRule>
  </conditionalFormatting>
  <conditionalFormatting sqref="BJ6:BJ7">
    <cfRule type="cellIs" dxfId="2035" priority="1192" operator="equal">
      <formula>"x"</formula>
    </cfRule>
  </conditionalFormatting>
  <conditionalFormatting sqref="BH6:BH7">
    <cfRule type="cellIs" dxfId="2034" priority="1191" operator="equal">
      <formula>"x"</formula>
    </cfRule>
  </conditionalFormatting>
  <conditionalFormatting sqref="BL6:BL7">
    <cfRule type="cellIs" dxfId="2033" priority="1190" operator="equal">
      <formula>"x"</formula>
    </cfRule>
  </conditionalFormatting>
  <conditionalFormatting sqref="BH5">
    <cfRule type="cellIs" dxfId="2032" priority="1189" operator="equal">
      <formula>"x"</formula>
    </cfRule>
  </conditionalFormatting>
  <conditionalFormatting sqref="BJ5">
    <cfRule type="cellIs" dxfId="2031" priority="1188" operator="equal">
      <formula>"x"</formula>
    </cfRule>
  </conditionalFormatting>
  <conditionalFormatting sqref="BL5">
    <cfRule type="cellIs" dxfId="2030" priority="1187" operator="equal">
      <formula>"x"</formula>
    </cfRule>
  </conditionalFormatting>
  <conditionalFormatting sqref="BT22">
    <cfRule type="cellIs" dxfId="2029" priority="1146" operator="notEqual">
      <formula>"x"</formula>
    </cfRule>
  </conditionalFormatting>
  <conditionalFormatting sqref="BP37">
    <cfRule type="cellIs" dxfId="2028" priority="1143" operator="notEqual">
      <formula>"x"</formula>
    </cfRule>
  </conditionalFormatting>
  <conditionalFormatting sqref="BR32:BR36 BR25:BR30 BR18:BR19 BR12:BR15 BR23">
    <cfRule type="cellIs" dxfId="2027" priority="1186" operator="equal">
      <formula>"x"</formula>
    </cfRule>
  </conditionalFormatting>
  <conditionalFormatting sqref="BP12:BP15 BP18:BP19 BP25:BP30 BP32:BP36 BP23">
    <cfRule type="cellIs" dxfId="2026" priority="1185" operator="equal">
      <formula>"x"</formula>
    </cfRule>
  </conditionalFormatting>
  <conditionalFormatting sqref="BP15 BP23 BP29:BP30 BP36">
    <cfRule type="cellIs" dxfId="2025" priority="1184" operator="notEqual">
      <formula>"x"</formula>
    </cfRule>
  </conditionalFormatting>
  <conditionalFormatting sqref="BR15 BR23 BR29:BR30 BR36">
    <cfRule type="cellIs" dxfId="2024" priority="1183" operator="notEqual">
      <formula>"x"</formula>
    </cfRule>
  </conditionalFormatting>
  <conditionalFormatting sqref="BT32:BT36 BT25:BT30 BT18:BT19 BT12:BT15 BT23">
    <cfRule type="cellIs" dxfId="2023" priority="1182" operator="equal">
      <formula>"x"</formula>
    </cfRule>
  </conditionalFormatting>
  <conditionalFormatting sqref="BT15 BT23 BT29:BT30 BT36">
    <cfRule type="cellIs" dxfId="2022" priority="1181" operator="notEqual">
      <formula>"x"</formula>
    </cfRule>
  </conditionalFormatting>
  <conditionalFormatting sqref="BR11">
    <cfRule type="cellIs" dxfId="2021" priority="1180" operator="equal">
      <formula>"x"</formula>
    </cfRule>
  </conditionalFormatting>
  <conditionalFormatting sqref="BP11">
    <cfRule type="cellIs" dxfId="2020" priority="1179" operator="equal">
      <formula>"x"</formula>
    </cfRule>
  </conditionalFormatting>
  <conditionalFormatting sqref="BT11">
    <cfRule type="cellIs" dxfId="2019" priority="1178" operator="equal">
      <formula>"x"</formula>
    </cfRule>
  </conditionalFormatting>
  <conditionalFormatting sqref="BP10">
    <cfRule type="cellIs" dxfId="2018" priority="1177" operator="equal">
      <formula>"x"</formula>
    </cfRule>
  </conditionalFormatting>
  <conditionalFormatting sqref="BT37">
    <cfRule type="cellIs" dxfId="2017" priority="1140" operator="notEqual">
      <formula>"x"</formula>
    </cfRule>
  </conditionalFormatting>
  <conditionalFormatting sqref="BP17">
    <cfRule type="cellIs" dxfId="2016" priority="1176" operator="equal">
      <formula>"x"</formula>
    </cfRule>
  </conditionalFormatting>
  <conditionalFormatting sqref="BR24">
    <cfRule type="cellIs" dxfId="2015" priority="1175" operator="equal">
      <formula>"x"</formula>
    </cfRule>
  </conditionalFormatting>
  <conditionalFormatting sqref="BP24">
    <cfRule type="cellIs" dxfId="2014" priority="1174" operator="equal">
      <formula>"x"</formula>
    </cfRule>
  </conditionalFormatting>
  <conditionalFormatting sqref="BT24">
    <cfRule type="cellIs" dxfId="2013" priority="1173" operator="equal">
      <formula>"x"</formula>
    </cfRule>
  </conditionalFormatting>
  <conditionalFormatting sqref="BR31">
    <cfRule type="cellIs" dxfId="2012" priority="1172" operator="equal">
      <formula>"x"</formula>
    </cfRule>
  </conditionalFormatting>
  <conditionalFormatting sqref="BP31">
    <cfRule type="cellIs" dxfId="2011" priority="1171" operator="equal">
      <formula>"x"</formula>
    </cfRule>
  </conditionalFormatting>
  <conditionalFormatting sqref="BT31">
    <cfRule type="cellIs" dxfId="2010" priority="1170" operator="equal">
      <formula>"x"</formula>
    </cfRule>
  </conditionalFormatting>
  <conditionalFormatting sqref="BR9">
    <cfRule type="cellIs" dxfId="2009" priority="1169" operator="equal">
      <formula>"x"</formula>
    </cfRule>
  </conditionalFormatting>
  <conditionalFormatting sqref="BP9">
    <cfRule type="cellIs" dxfId="2008" priority="1168" operator="equal">
      <formula>"x"</formula>
    </cfRule>
  </conditionalFormatting>
  <conditionalFormatting sqref="BP9">
    <cfRule type="cellIs" dxfId="2007" priority="1167" operator="notEqual">
      <formula>"x"</formula>
    </cfRule>
  </conditionalFormatting>
  <conditionalFormatting sqref="BR9">
    <cfRule type="cellIs" dxfId="2006" priority="1166" operator="notEqual">
      <formula>"x"</formula>
    </cfRule>
  </conditionalFormatting>
  <conditionalFormatting sqref="BT9">
    <cfRule type="cellIs" dxfId="2005" priority="1165" operator="equal">
      <formula>"x"</formula>
    </cfRule>
  </conditionalFormatting>
  <conditionalFormatting sqref="BT9">
    <cfRule type="cellIs" dxfId="2004" priority="1164" operator="notEqual">
      <formula>"x"</formula>
    </cfRule>
  </conditionalFormatting>
  <conditionalFormatting sqref="BR8">
    <cfRule type="cellIs" dxfId="2003" priority="1163" operator="equal">
      <formula>"x"</formula>
    </cfRule>
  </conditionalFormatting>
  <conditionalFormatting sqref="BP8">
    <cfRule type="cellIs" dxfId="2002" priority="1162" operator="equal">
      <formula>"x"</formula>
    </cfRule>
  </conditionalFormatting>
  <conditionalFormatting sqref="BP8">
    <cfRule type="cellIs" dxfId="2001" priority="1161" operator="notEqual">
      <formula>"x"</formula>
    </cfRule>
  </conditionalFormatting>
  <conditionalFormatting sqref="BR8">
    <cfRule type="cellIs" dxfId="2000" priority="1160" operator="notEqual">
      <formula>"x"</formula>
    </cfRule>
  </conditionalFormatting>
  <conditionalFormatting sqref="BT8">
    <cfRule type="cellIs" dxfId="1999" priority="1159" operator="equal">
      <formula>"x"</formula>
    </cfRule>
  </conditionalFormatting>
  <conditionalFormatting sqref="BT8">
    <cfRule type="cellIs" dxfId="1998" priority="1158" operator="notEqual">
      <formula>"x"</formula>
    </cfRule>
  </conditionalFormatting>
  <conditionalFormatting sqref="BR16">
    <cfRule type="cellIs" dxfId="1997" priority="1157" operator="equal">
      <formula>"x"</formula>
    </cfRule>
  </conditionalFormatting>
  <conditionalFormatting sqref="BP16">
    <cfRule type="cellIs" dxfId="1996" priority="1156" operator="equal">
      <formula>"x"</formula>
    </cfRule>
  </conditionalFormatting>
  <conditionalFormatting sqref="BP16">
    <cfRule type="cellIs" dxfId="1995" priority="1155" operator="notEqual">
      <formula>"x"</formula>
    </cfRule>
  </conditionalFormatting>
  <conditionalFormatting sqref="BR16">
    <cfRule type="cellIs" dxfId="1994" priority="1154" operator="notEqual">
      <formula>"x"</formula>
    </cfRule>
  </conditionalFormatting>
  <conditionalFormatting sqref="BT16">
    <cfRule type="cellIs" dxfId="1993" priority="1153" operator="equal">
      <formula>"x"</formula>
    </cfRule>
  </conditionalFormatting>
  <conditionalFormatting sqref="BT16">
    <cfRule type="cellIs" dxfId="1992" priority="1152" operator="notEqual">
      <formula>"x"</formula>
    </cfRule>
  </conditionalFormatting>
  <conditionalFormatting sqref="BR22">
    <cfRule type="cellIs" dxfId="1991" priority="1151" operator="equal">
      <formula>"x"</formula>
    </cfRule>
  </conditionalFormatting>
  <conditionalFormatting sqref="BP22">
    <cfRule type="cellIs" dxfId="1990" priority="1150" operator="equal">
      <formula>"x"</formula>
    </cfRule>
  </conditionalFormatting>
  <conditionalFormatting sqref="BP22">
    <cfRule type="cellIs" dxfId="1989" priority="1149" operator="notEqual">
      <formula>"x"</formula>
    </cfRule>
  </conditionalFormatting>
  <conditionalFormatting sqref="BR22">
    <cfRule type="cellIs" dxfId="1988" priority="1148" operator="notEqual">
      <formula>"x"</formula>
    </cfRule>
  </conditionalFormatting>
  <conditionalFormatting sqref="BT22">
    <cfRule type="cellIs" dxfId="1987" priority="1147" operator="equal">
      <formula>"x"</formula>
    </cfRule>
  </conditionalFormatting>
  <conditionalFormatting sqref="BR37">
    <cfRule type="cellIs" dxfId="1986" priority="1145" operator="equal">
      <formula>"x"</formula>
    </cfRule>
  </conditionalFormatting>
  <conditionalFormatting sqref="BP37">
    <cfRule type="cellIs" dxfId="1985" priority="1144" operator="equal">
      <formula>"x"</formula>
    </cfRule>
  </conditionalFormatting>
  <conditionalFormatting sqref="BR37">
    <cfRule type="cellIs" dxfId="1984" priority="1142" operator="notEqual">
      <formula>"x"</formula>
    </cfRule>
  </conditionalFormatting>
  <conditionalFormatting sqref="BT37">
    <cfRule type="cellIs" dxfId="1983" priority="1141" operator="equal">
      <formula>"x"</formula>
    </cfRule>
  </conditionalFormatting>
  <conditionalFormatting sqref="BR38">
    <cfRule type="cellIs" dxfId="1982" priority="1139" operator="equal">
      <formula>"x"</formula>
    </cfRule>
  </conditionalFormatting>
  <conditionalFormatting sqref="BP38">
    <cfRule type="cellIs" dxfId="1981" priority="1138" operator="equal">
      <formula>"x"</formula>
    </cfRule>
  </conditionalFormatting>
  <conditionalFormatting sqref="BT38">
    <cfRule type="cellIs" dxfId="1980" priority="1137" operator="equal">
      <formula>"x"</formula>
    </cfRule>
  </conditionalFormatting>
  <conditionalFormatting sqref="BR39">
    <cfRule type="cellIs" dxfId="1979" priority="1136" operator="equal">
      <formula>"x"</formula>
    </cfRule>
  </conditionalFormatting>
  <conditionalFormatting sqref="BP39">
    <cfRule type="cellIs" dxfId="1978" priority="1135" operator="equal">
      <formula>"x"</formula>
    </cfRule>
  </conditionalFormatting>
  <conditionalFormatting sqref="BT39">
    <cfRule type="cellIs" dxfId="1977" priority="1134" operator="equal">
      <formula>"x"</formula>
    </cfRule>
  </conditionalFormatting>
  <conditionalFormatting sqref="BR20">
    <cfRule type="cellIs" dxfId="1976" priority="1133" operator="equal">
      <formula>"x"</formula>
    </cfRule>
  </conditionalFormatting>
  <conditionalFormatting sqref="BP20">
    <cfRule type="cellIs" dxfId="1975" priority="1132" operator="equal">
      <formula>"x"</formula>
    </cfRule>
  </conditionalFormatting>
  <conditionalFormatting sqref="BT20">
    <cfRule type="cellIs" dxfId="1974" priority="1131" operator="equal">
      <formula>"x"</formula>
    </cfRule>
  </conditionalFormatting>
  <conditionalFormatting sqref="BR21">
    <cfRule type="cellIs" dxfId="1973" priority="1130" operator="equal">
      <formula>"x"</formula>
    </cfRule>
  </conditionalFormatting>
  <conditionalFormatting sqref="BP21">
    <cfRule type="cellIs" dxfId="1972" priority="1129" operator="equal">
      <formula>"x"</formula>
    </cfRule>
  </conditionalFormatting>
  <conditionalFormatting sqref="BT21">
    <cfRule type="cellIs" dxfId="1971" priority="1128" operator="equal">
      <formula>"x"</formula>
    </cfRule>
  </conditionalFormatting>
  <conditionalFormatting sqref="BR6:BR7">
    <cfRule type="cellIs" dxfId="1970" priority="1127" operator="equal">
      <formula>"x"</formula>
    </cfRule>
  </conditionalFormatting>
  <conditionalFormatting sqref="BP6:BP7">
    <cfRule type="cellIs" dxfId="1969" priority="1126" operator="equal">
      <formula>"x"</formula>
    </cfRule>
  </conditionalFormatting>
  <conditionalFormatting sqref="BT6:BT7">
    <cfRule type="cellIs" dxfId="1968" priority="1125" operator="equal">
      <formula>"x"</formula>
    </cfRule>
  </conditionalFormatting>
  <conditionalFormatting sqref="BP5">
    <cfRule type="cellIs" dxfId="1967" priority="1124" operator="equal">
      <formula>"x"</formula>
    </cfRule>
  </conditionalFormatting>
  <conditionalFormatting sqref="BR5">
    <cfRule type="cellIs" dxfId="1966" priority="1123" operator="equal">
      <formula>"x"</formula>
    </cfRule>
  </conditionalFormatting>
  <conditionalFormatting sqref="BT5">
    <cfRule type="cellIs" dxfId="1965" priority="1122" operator="equal">
      <formula>"x"</formula>
    </cfRule>
  </conditionalFormatting>
  <conditionalFormatting sqref="BP4">
    <cfRule type="cellIs" dxfId="1964" priority="1121" operator="equal">
      <formula>"x"</formula>
    </cfRule>
  </conditionalFormatting>
  <conditionalFormatting sqref="BR4">
    <cfRule type="cellIs" dxfId="1963" priority="1120" operator="equal">
      <formula>"x"</formula>
    </cfRule>
  </conditionalFormatting>
  <conditionalFormatting sqref="BT4">
    <cfRule type="cellIs" dxfId="1962" priority="1119" operator="equal">
      <formula>"x"</formula>
    </cfRule>
  </conditionalFormatting>
  <conditionalFormatting sqref="CB22">
    <cfRule type="cellIs" dxfId="1961" priority="1079" operator="notEqual">
      <formula>"x"</formula>
    </cfRule>
  </conditionalFormatting>
  <conditionalFormatting sqref="BX37">
    <cfRule type="cellIs" dxfId="1960" priority="1076" operator="notEqual">
      <formula>"x"</formula>
    </cfRule>
  </conditionalFormatting>
  <conditionalFormatting sqref="BZ32:BZ36 BZ25:BZ30 BZ18:BZ19 BZ12:BZ15 BZ23">
    <cfRule type="cellIs" dxfId="1959" priority="1118" operator="equal">
      <formula>"x"</formula>
    </cfRule>
  </conditionalFormatting>
  <conditionalFormatting sqref="BX12:BX15 BX18:BX19 BX25:BX30 BX32:BX36 BX23">
    <cfRule type="cellIs" dxfId="1958" priority="1117" operator="equal">
      <formula>"x"</formula>
    </cfRule>
  </conditionalFormatting>
  <conditionalFormatting sqref="BX15 BX23 BX29:BX30 BX36">
    <cfRule type="cellIs" dxfId="1957" priority="1116" operator="notEqual">
      <formula>"x"</formula>
    </cfRule>
  </conditionalFormatting>
  <conditionalFormatting sqref="BZ15 BZ23 BZ29:BZ30 BZ36">
    <cfRule type="cellIs" dxfId="1956" priority="1115" operator="notEqual">
      <formula>"x"</formula>
    </cfRule>
  </conditionalFormatting>
  <conditionalFormatting sqref="CB32:CB36 CB25:CB30 CB18:CB19 CB12:CB15 CB23">
    <cfRule type="cellIs" dxfId="1955" priority="1114" operator="equal">
      <formula>"x"</formula>
    </cfRule>
  </conditionalFormatting>
  <conditionalFormatting sqref="CB15 CB23 CB29:CB30 CB36">
    <cfRule type="cellIs" dxfId="1954" priority="1113" operator="notEqual">
      <formula>"x"</formula>
    </cfRule>
  </conditionalFormatting>
  <conditionalFormatting sqref="BZ11">
    <cfRule type="cellIs" dxfId="1953" priority="1112" operator="equal">
      <formula>"x"</formula>
    </cfRule>
  </conditionalFormatting>
  <conditionalFormatting sqref="BX11">
    <cfRule type="cellIs" dxfId="1952" priority="1111" operator="equal">
      <formula>"x"</formula>
    </cfRule>
  </conditionalFormatting>
  <conditionalFormatting sqref="CB11">
    <cfRule type="cellIs" dxfId="1951" priority="1110" operator="equal">
      <formula>"x"</formula>
    </cfRule>
  </conditionalFormatting>
  <conditionalFormatting sqref="BZ10">
    <cfRule type="cellIs" dxfId="1950" priority="1109" operator="equal">
      <formula>"x"</formula>
    </cfRule>
  </conditionalFormatting>
  <conditionalFormatting sqref="BX10">
    <cfRule type="cellIs" dxfId="1949" priority="1108" operator="equal">
      <formula>"x"</formula>
    </cfRule>
  </conditionalFormatting>
  <conditionalFormatting sqref="CB10">
    <cfRule type="cellIs" dxfId="1948" priority="1107" operator="equal">
      <formula>"x"</formula>
    </cfRule>
  </conditionalFormatting>
  <conditionalFormatting sqref="CB37">
    <cfRule type="cellIs" dxfId="1947" priority="1073" operator="notEqual">
      <formula>"x"</formula>
    </cfRule>
  </conditionalFormatting>
  <conditionalFormatting sqref="BY17">
    <cfRule type="cellIs" dxfId="1946" priority="1106" operator="equal">
      <formula>"x"</formula>
    </cfRule>
  </conditionalFormatting>
  <conditionalFormatting sqref="BX17">
    <cfRule type="cellIs" dxfId="1945" priority="1105" operator="equal">
      <formula>"x"</formula>
    </cfRule>
  </conditionalFormatting>
  <conditionalFormatting sqref="BX24">
    <cfRule type="cellIs" dxfId="1944" priority="1104" operator="equal">
      <formula>"x"</formula>
    </cfRule>
  </conditionalFormatting>
  <conditionalFormatting sqref="BX31">
    <cfRule type="cellIs" dxfId="1943" priority="1103" operator="equal">
      <formula>"x"</formula>
    </cfRule>
  </conditionalFormatting>
  <conditionalFormatting sqref="BZ9">
    <cfRule type="cellIs" dxfId="1942" priority="1102" operator="equal">
      <formula>"x"</formula>
    </cfRule>
  </conditionalFormatting>
  <conditionalFormatting sqref="BX9">
    <cfRule type="cellIs" dxfId="1941" priority="1101" operator="equal">
      <formula>"x"</formula>
    </cfRule>
  </conditionalFormatting>
  <conditionalFormatting sqref="BX9">
    <cfRule type="cellIs" dxfId="1940" priority="1100" operator="notEqual">
      <formula>"x"</formula>
    </cfRule>
  </conditionalFormatting>
  <conditionalFormatting sqref="BZ9">
    <cfRule type="cellIs" dxfId="1939" priority="1099" operator="notEqual">
      <formula>"x"</formula>
    </cfRule>
  </conditionalFormatting>
  <conditionalFormatting sqref="CB9">
    <cfRule type="cellIs" dxfId="1938" priority="1098" operator="equal">
      <formula>"x"</formula>
    </cfRule>
  </conditionalFormatting>
  <conditionalFormatting sqref="CB9">
    <cfRule type="cellIs" dxfId="1937" priority="1097" operator="notEqual">
      <formula>"x"</formula>
    </cfRule>
  </conditionalFormatting>
  <conditionalFormatting sqref="BZ8">
    <cfRule type="cellIs" dxfId="1936" priority="1096" operator="equal">
      <formula>"x"</formula>
    </cfRule>
  </conditionalFormatting>
  <conditionalFormatting sqref="BX8">
    <cfRule type="cellIs" dxfId="1935" priority="1095" operator="equal">
      <formula>"x"</formula>
    </cfRule>
  </conditionalFormatting>
  <conditionalFormatting sqref="BX8">
    <cfRule type="cellIs" dxfId="1934" priority="1094" operator="notEqual">
      <formula>"x"</formula>
    </cfRule>
  </conditionalFormatting>
  <conditionalFormatting sqref="BZ8">
    <cfRule type="cellIs" dxfId="1933" priority="1093" operator="notEqual">
      <formula>"x"</formula>
    </cfRule>
  </conditionalFormatting>
  <conditionalFormatting sqref="CB8">
    <cfRule type="cellIs" dxfId="1932" priority="1092" operator="equal">
      <formula>"x"</formula>
    </cfRule>
  </conditionalFormatting>
  <conditionalFormatting sqref="CB8">
    <cfRule type="cellIs" dxfId="1931" priority="1091" operator="notEqual">
      <formula>"x"</formula>
    </cfRule>
  </conditionalFormatting>
  <conditionalFormatting sqref="BZ16">
    <cfRule type="cellIs" dxfId="1930" priority="1090" operator="equal">
      <formula>"x"</formula>
    </cfRule>
  </conditionalFormatting>
  <conditionalFormatting sqref="BX16">
    <cfRule type="cellIs" dxfId="1929" priority="1089" operator="equal">
      <formula>"x"</formula>
    </cfRule>
  </conditionalFormatting>
  <conditionalFormatting sqref="BX16">
    <cfRule type="cellIs" dxfId="1928" priority="1088" operator="notEqual">
      <formula>"x"</formula>
    </cfRule>
  </conditionalFormatting>
  <conditionalFormatting sqref="BZ16">
    <cfRule type="cellIs" dxfId="1927" priority="1087" operator="notEqual">
      <formula>"x"</formula>
    </cfRule>
  </conditionalFormatting>
  <conditionalFormatting sqref="CB16">
    <cfRule type="cellIs" dxfId="1926" priority="1086" operator="equal">
      <formula>"x"</formula>
    </cfRule>
  </conditionalFormatting>
  <conditionalFormatting sqref="CB16">
    <cfRule type="cellIs" dxfId="1925" priority="1085" operator="notEqual">
      <formula>"x"</formula>
    </cfRule>
  </conditionalFormatting>
  <conditionalFormatting sqref="BZ22">
    <cfRule type="cellIs" dxfId="1924" priority="1084" operator="equal">
      <formula>"x"</formula>
    </cfRule>
  </conditionalFormatting>
  <conditionalFormatting sqref="BX22">
    <cfRule type="cellIs" dxfId="1923" priority="1083" operator="equal">
      <formula>"x"</formula>
    </cfRule>
  </conditionalFormatting>
  <conditionalFormatting sqref="BX22">
    <cfRule type="cellIs" dxfId="1922" priority="1082" operator="notEqual">
      <formula>"x"</formula>
    </cfRule>
  </conditionalFormatting>
  <conditionalFormatting sqref="BZ22">
    <cfRule type="cellIs" dxfId="1921" priority="1081" operator="notEqual">
      <formula>"x"</formula>
    </cfRule>
  </conditionalFormatting>
  <conditionalFormatting sqref="CB22">
    <cfRule type="cellIs" dxfId="1920" priority="1080" operator="equal">
      <formula>"x"</formula>
    </cfRule>
  </conditionalFormatting>
  <conditionalFormatting sqref="BZ37">
    <cfRule type="cellIs" dxfId="1919" priority="1078" operator="equal">
      <formula>"x"</formula>
    </cfRule>
  </conditionalFormatting>
  <conditionalFormatting sqref="BX37">
    <cfRule type="cellIs" dxfId="1918" priority="1077" operator="equal">
      <formula>"x"</formula>
    </cfRule>
  </conditionalFormatting>
  <conditionalFormatting sqref="BZ37">
    <cfRule type="cellIs" dxfId="1917" priority="1075" operator="notEqual">
      <formula>"x"</formula>
    </cfRule>
  </conditionalFormatting>
  <conditionalFormatting sqref="CB37">
    <cfRule type="cellIs" dxfId="1916" priority="1074" operator="equal">
      <formula>"x"</formula>
    </cfRule>
  </conditionalFormatting>
  <conditionalFormatting sqref="BZ38">
    <cfRule type="cellIs" dxfId="1915" priority="1072" operator="equal">
      <formula>"x"</formula>
    </cfRule>
  </conditionalFormatting>
  <conditionalFormatting sqref="BX38">
    <cfRule type="cellIs" dxfId="1914" priority="1071" operator="equal">
      <formula>"x"</formula>
    </cfRule>
  </conditionalFormatting>
  <conditionalFormatting sqref="CB38">
    <cfRule type="cellIs" dxfId="1913" priority="1070" operator="equal">
      <formula>"x"</formula>
    </cfRule>
  </conditionalFormatting>
  <conditionalFormatting sqref="BZ39">
    <cfRule type="cellIs" dxfId="1912" priority="1069" operator="equal">
      <formula>"x"</formula>
    </cfRule>
  </conditionalFormatting>
  <conditionalFormatting sqref="BX39">
    <cfRule type="cellIs" dxfId="1911" priority="1068" operator="equal">
      <formula>"x"</formula>
    </cfRule>
  </conditionalFormatting>
  <conditionalFormatting sqref="CB39">
    <cfRule type="cellIs" dxfId="1910" priority="1067" operator="equal">
      <formula>"x"</formula>
    </cfRule>
  </conditionalFormatting>
  <conditionalFormatting sqref="BZ20">
    <cfRule type="cellIs" dxfId="1909" priority="1066" operator="equal">
      <formula>"x"</formula>
    </cfRule>
  </conditionalFormatting>
  <conditionalFormatting sqref="BX20">
    <cfRule type="cellIs" dxfId="1908" priority="1065" operator="equal">
      <formula>"x"</formula>
    </cfRule>
  </conditionalFormatting>
  <conditionalFormatting sqref="CB20">
    <cfRule type="cellIs" dxfId="1907" priority="1064" operator="equal">
      <formula>"x"</formula>
    </cfRule>
  </conditionalFormatting>
  <conditionalFormatting sqref="BZ21">
    <cfRule type="cellIs" dxfId="1906" priority="1063" operator="equal">
      <formula>"x"</formula>
    </cfRule>
  </conditionalFormatting>
  <conditionalFormatting sqref="BX21">
    <cfRule type="cellIs" dxfId="1905" priority="1062" operator="equal">
      <formula>"x"</formula>
    </cfRule>
  </conditionalFormatting>
  <conditionalFormatting sqref="CB21">
    <cfRule type="cellIs" dxfId="1904" priority="1061" operator="equal">
      <formula>"x"</formula>
    </cfRule>
  </conditionalFormatting>
  <conditionalFormatting sqref="BZ6:BZ7">
    <cfRule type="cellIs" dxfId="1903" priority="1060" operator="equal">
      <formula>"x"</formula>
    </cfRule>
  </conditionalFormatting>
  <conditionalFormatting sqref="BX6:BX7">
    <cfRule type="cellIs" dxfId="1902" priority="1059" operator="equal">
      <formula>"x"</formula>
    </cfRule>
  </conditionalFormatting>
  <conditionalFormatting sqref="CB6:CB7">
    <cfRule type="cellIs" dxfId="1901" priority="1058" operator="equal">
      <formula>"x"</formula>
    </cfRule>
  </conditionalFormatting>
  <conditionalFormatting sqref="BX5">
    <cfRule type="cellIs" dxfId="1900" priority="1057" operator="equal">
      <formula>"x"</formula>
    </cfRule>
  </conditionalFormatting>
  <conditionalFormatting sqref="BZ5">
    <cfRule type="cellIs" dxfId="1899" priority="1056" operator="equal">
      <formula>"x"</formula>
    </cfRule>
  </conditionalFormatting>
  <conditionalFormatting sqref="CB5">
    <cfRule type="cellIs" dxfId="1898" priority="1055" operator="equal">
      <formula>"x"</formula>
    </cfRule>
  </conditionalFormatting>
  <conditionalFormatting sqref="BX4">
    <cfRule type="cellIs" dxfId="1897" priority="1054" operator="equal">
      <formula>"x"</formula>
    </cfRule>
  </conditionalFormatting>
  <conditionalFormatting sqref="BZ4">
    <cfRule type="cellIs" dxfId="1896" priority="1053" operator="equal">
      <formula>"x"</formula>
    </cfRule>
  </conditionalFormatting>
  <conditionalFormatting sqref="CB4">
    <cfRule type="cellIs" dxfId="1895" priority="1052" operator="equal">
      <formula>"x"</formula>
    </cfRule>
  </conditionalFormatting>
  <conditionalFormatting sqref="CJ22">
    <cfRule type="cellIs" dxfId="1894" priority="1015" operator="notEqual">
      <formula>"x"</formula>
    </cfRule>
  </conditionalFormatting>
  <conditionalFormatting sqref="CF37">
    <cfRule type="cellIs" dxfId="1893" priority="1012" operator="notEqual">
      <formula>"x"</formula>
    </cfRule>
  </conditionalFormatting>
  <conditionalFormatting sqref="CH32:CH36 CH25:CH30 CH18:CH19 CH12:CH15 CH23">
    <cfRule type="cellIs" dxfId="1892" priority="1051" operator="equal">
      <formula>"x"</formula>
    </cfRule>
  </conditionalFormatting>
  <conditionalFormatting sqref="CF12:CF15 CF18:CF19 CF25:CF30 CF32:CF36 CF23">
    <cfRule type="cellIs" dxfId="1891" priority="1050" operator="equal">
      <formula>"x"</formula>
    </cfRule>
  </conditionalFormatting>
  <conditionalFormatting sqref="CF15 CF23 CF29:CF30 CF36">
    <cfRule type="cellIs" dxfId="1890" priority="1049" operator="notEqual">
      <formula>"x"</formula>
    </cfRule>
  </conditionalFormatting>
  <conditionalFormatting sqref="CH15 CH23 CH29:CH30 CH36">
    <cfRule type="cellIs" dxfId="1889" priority="1048" operator="notEqual">
      <formula>"x"</formula>
    </cfRule>
  </conditionalFormatting>
  <conditionalFormatting sqref="CJ32:CJ36 CJ25:CJ30 CJ18:CJ19 CJ12:CJ15 CJ23">
    <cfRule type="cellIs" dxfId="1888" priority="1047" operator="equal">
      <formula>"x"</formula>
    </cfRule>
  </conditionalFormatting>
  <conditionalFormatting sqref="CJ15 CJ23 CJ29:CJ30 CJ36">
    <cfRule type="cellIs" dxfId="1887" priority="1046" operator="notEqual">
      <formula>"x"</formula>
    </cfRule>
  </conditionalFormatting>
  <conditionalFormatting sqref="CH11">
    <cfRule type="cellIs" dxfId="1886" priority="1045" operator="equal">
      <formula>"x"</formula>
    </cfRule>
  </conditionalFormatting>
  <conditionalFormatting sqref="CF11">
    <cfRule type="cellIs" dxfId="1885" priority="1044" operator="equal">
      <formula>"x"</formula>
    </cfRule>
  </conditionalFormatting>
  <conditionalFormatting sqref="CJ11">
    <cfRule type="cellIs" dxfId="1884" priority="1043" operator="equal">
      <formula>"x"</formula>
    </cfRule>
  </conditionalFormatting>
  <conditionalFormatting sqref="CF10">
    <cfRule type="cellIs" dxfId="1883" priority="1042" operator="equal">
      <formula>"x"</formula>
    </cfRule>
  </conditionalFormatting>
  <conditionalFormatting sqref="CJ37">
    <cfRule type="cellIs" dxfId="1882" priority="1009" operator="notEqual">
      <formula>"x"</formula>
    </cfRule>
  </conditionalFormatting>
  <conditionalFormatting sqref="CF17">
    <cfRule type="cellIs" dxfId="1881" priority="1041" operator="equal">
      <formula>"x"</formula>
    </cfRule>
  </conditionalFormatting>
  <conditionalFormatting sqref="CF24">
    <cfRule type="cellIs" dxfId="1880" priority="1040" operator="equal">
      <formula>"x"</formula>
    </cfRule>
  </conditionalFormatting>
  <conditionalFormatting sqref="CF31">
    <cfRule type="cellIs" dxfId="1879" priority="1039" operator="equal">
      <formula>"x"</formula>
    </cfRule>
  </conditionalFormatting>
  <conditionalFormatting sqref="CH9">
    <cfRule type="cellIs" dxfId="1878" priority="1038" operator="equal">
      <formula>"x"</formula>
    </cfRule>
  </conditionalFormatting>
  <conditionalFormatting sqref="CF9">
    <cfRule type="cellIs" dxfId="1877" priority="1037" operator="equal">
      <formula>"x"</formula>
    </cfRule>
  </conditionalFormatting>
  <conditionalFormatting sqref="CF9">
    <cfRule type="cellIs" dxfId="1876" priority="1036" operator="notEqual">
      <formula>"x"</formula>
    </cfRule>
  </conditionalFormatting>
  <conditionalFormatting sqref="CH9">
    <cfRule type="cellIs" dxfId="1875" priority="1035" operator="notEqual">
      <formula>"x"</formula>
    </cfRule>
  </conditionalFormatting>
  <conditionalFormatting sqref="CJ9">
    <cfRule type="cellIs" dxfId="1874" priority="1034" operator="equal">
      <formula>"x"</formula>
    </cfRule>
  </conditionalFormatting>
  <conditionalFormatting sqref="CJ9">
    <cfRule type="cellIs" dxfId="1873" priority="1033" operator="notEqual">
      <formula>"x"</formula>
    </cfRule>
  </conditionalFormatting>
  <conditionalFormatting sqref="CH8">
    <cfRule type="cellIs" dxfId="1872" priority="1032" operator="equal">
      <formula>"x"</formula>
    </cfRule>
  </conditionalFormatting>
  <conditionalFormatting sqref="CF8">
    <cfRule type="cellIs" dxfId="1871" priority="1031" operator="equal">
      <formula>"x"</formula>
    </cfRule>
  </conditionalFormatting>
  <conditionalFormatting sqref="CF8">
    <cfRule type="cellIs" dxfId="1870" priority="1030" operator="notEqual">
      <formula>"x"</formula>
    </cfRule>
  </conditionalFormatting>
  <conditionalFormatting sqref="CH8">
    <cfRule type="cellIs" dxfId="1869" priority="1029" operator="notEqual">
      <formula>"x"</formula>
    </cfRule>
  </conditionalFormatting>
  <conditionalFormatting sqref="CJ8">
    <cfRule type="cellIs" dxfId="1868" priority="1028" operator="equal">
      <formula>"x"</formula>
    </cfRule>
  </conditionalFormatting>
  <conditionalFormatting sqref="CJ8">
    <cfRule type="cellIs" dxfId="1867" priority="1027" operator="notEqual">
      <formula>"x"</formula>
    </cfRule>
  </conditionalFormatting>
  <conditionalFormatting sqref="CH16">
    <cfRule type="cellIs" dxfId="1866" priority="1026" operator="equal">
      <formula>"x"</formula>
    </cfRule>
  </conditionalFormatting>
  <conditionalFormatting sqref="CF16">
    <cfRule type="cellIs" dxfId="1865" priority="1025" operator="equal">
      <formula>"x"</formula>
    </cfRule>
  </conditionalFormatting>
  <conditionalFormatting sqref="CF16">
    <cfRule type="cellIs" dxfId="1864" priority="1024" operator="notEqual">
      <formula>"x"</formula>
    </cfRule>
  </conditionalFormatting>
  <conditionalFormatting sqref="CH16">
    <cfRule type="cellIs" dxfId="1863" priority="1023" operator="notEqual">
      <formula>"x"</formula>
    </cfRule>
  </conditionalFormatting>
  <conditionalFormatting sqref="CJ16">
    <cfRule type="cellIs" dxfId="1862" priority="1022" operator="equal">
      <formula>"x"</formula>
    </cfRule>
  </conditionalFormatting>
  <conditionalFormatting sqref="CJ16">
    <cfRule type="cellIs" dxfId="1861" priority="1021" operator="notEqual">
      <formula>"x"</formula>
    </cfRule>
  </conditionalFormatting>
  <conditionalFormatting sqref="CH22">
    <cfRule type="cellIs" dxfId="1860" priority="1020" operator="equal">
      <formula>"x"</formula>
    </cfRule>
  </conditionalFormatting>
  <conditionalFormatting sqref="CF22">
    <cfRule type="cellIs" dxfId="1859" priority="1019" operator="equal">
      <formula>"x"</formula>
    </cfRule>
  </conditionalFormatting>
  <conditionalFormatting sqref="CF22">
    <cfRule type="cellIs" dxfId="1858" priority="1018" operator="notEqual">
      <formula>"x"</formula>
    </cfRule>
  </conditionalFormatting>
  <conditionalFormatting sqref="CH22">
    <cfRule type="cellIs" dxfId="1857" priority="1017" operator="notEqual">
      <formula>"x"</formula>
    </cfRule>
  </conditionalFormatting>
  <conditionalFormatting sqref="CJ22">
    <cfRule type="cellIs" dxfId="1856" priority="1016" operator="equal">
      <formula>"x"</formula>
    </cfRule>
  </conditionalFormatting>
  <conditionalFormatting sqref="CH37">
    <cfRule type="cellIs" dxfId="1855" priority="1014" operator="equal">
      <formula>"x"</formula>
    </cfRule>
  </conditionalFormatting>
  <conditionalFormatting sqref="CF37">
    <cfRule type="cellIs" dxfId="1854" priority="1013" operator="equal">
      <formula>"x"</formula>
    </cfRule>
  </conditionalFormatting>
  <conditionalFormatting sqref="CH37">
    <cfRule type="cellIs" dxfId="1853" priority="1011" operator="notEqual">
      <formula>"x"</formula>
    </cfRule>
  </conditionalFormatting>
  <conditionalFormatting sqref="CJ37">
    <cfRule type="cellIs" dxfId="1852" priority="1010" operator="equal">
      <formula>"x"</formula>
    </cfRule>
  </conditionalFormatting>
  <conditionalFormatting sqref="CF38">
    <cfRule type="cellIs" dxfId="1851" priority="1008" operator="equal">
      <formula>"x"</formula>
    </cfRule>
  </conditionalFormatting>
  <conditionalFormatting sqref="CH39">
    <cfRule type="cellIs" dxfId="1850" priority="1007" operator="equal">
      <formula>"x"</formula>
    </cfRule>
  </conditionalFormatting>
  <conditionalFormatting sqref="CF39">
    <cfRule type="cellIs" dxfId="1849" priority="1006" operator="equal">
      <formula>"x"</formula>
    </cfRule>
  </conditionalFormatting>
  <conditionalFormatting sqref="CJ39">
    <cfRule type="cellIs" dxfId="1848" priority="1005" operator="equal">
      <formula>"x"</formula>
    </cfRule>
  </conditionalFormatting>
  <conditionalFormatting sqref="CH20">
    <cfRule type="cellIs" dxfId="1847" priority="1004" operator="equal">
      <formula>"x"</formula>
    </cfRule>
  </conditionalFormatting>
  <conditionalFormatting sqref="CF20">
    <cfRule type="cellIs" dxfId="1846" priority="1003" operator="equal">
      <formula>"x"</formula>
    </cfRule>
  </conditionalFormatting>
  <conditionalFormatting sqref="CJ20">
    <cfRule type="cellIs" dxfId="1845" priority="1002" operator="equal">
      <formula>"x"</formula>
    </cfRule>
  </conditionalFormatting>
  <conditionalFormatting sqref="CH21">
    <cfRule type="cellIs" dxfId="1844" priority="1001" operator="equal">
      <formula>"x"</formula>
    </cfRule>
  </conditionalFormatting>
  <conditionalFormatting sqref="CF21">
    <cfRule type="cellIs" dxfId="1843" priority="1000" operator="equal">
      <formula>"x"</formula>
    </cfRule>
  </conditionalFormatting>
  <conditionalFormatting sqref="CJ21">
    <cfRule type="cellIs" dxfId="1842" priority="999" operator="equal">
      <formula>"x"</formula>
    </cfRule>
  </conditionalFormatting>
  <conditionalFormatting sqref="CH6:CH7">
    <cfRule type="cellIs" dxfId="1841" priority="998" operator="equal">
      <formula>"x"</formula>
    </cfRule>
  </conditionalFormatting>
  <conditionalFormatting sqref="CF6:CF7">
    <cfRule type="cellIs" dxfId="1840" priority="997" operator="equal">
      <formula>"x"</formula>
    </cfRule>
  </conditionalFormatting>
  <conditionalFormatting sqref="CJ6:CJ7">
    <cfRule type="cellIs" dxfId="1839" priority="996" operator="equal">
      <formula>"x"</formula>
    </cfRule>
  </conditionalFormatting>
  <conditionalFormatting sqref="CF5">
    <cfRule type="cellIs" dxfId="1838" priority="995" operator="equal">
      <formula>"x"</formula>
    </cfRule>
  </conditionalFormatting>
  <conditionalFormatting sqref="CH5">
    <cfRule type="cellIs" dxfId="1837" priority="994" operator="equal">
      <formula>"x"</formula>
    </cfRule>
  </conditionalFormatting>
  <conditionalFormatting sqref="CJ5">
    <cfRule type="cellIs" dxfId="1836" priority="993" operator="equal">
      <formula>"x"</formula>
    </cfRule>
  </conditionalFormatting>
  <conditionalFormatting sqref="CF4">
    <cfRule type="cellIs" dxfId="1835" priority="992" operator="equal">
      <formula>"x"</formula>
    </cfRule>
  </conditionalFormatting>
  <conditionalFormatting sqref="CH4">
    <cfRule type="cellIs" dxfId="1834" priority="991" operator="equal">
      <formula>"x"</formula>
    </cfRule>
  </conditionalFormatting>
  <conditionalFormatting sqref="CJ4">
    <cfRule type="cellIs" dxfId="1833" priority="990" operator="equal">
      <formula>"x"</formula>
    </cfRule>
  </conditionalFormatting>
  <conditionalFormatting sqref="CR22">
    <cfRule type="cellIs" dxfId="1832" priority="950" operator="notEqual">
      <formula>"x"</formula>
    </cfRule>
  </conditionalFormatting>
  <conditionalFormatting sqref="CN37">
    <cfRule type="cellIs" dxfId="1831" priority="947" operator="notEqual">
      <formula>"x"</formula>
    </cfRule>
  </conditionalFormatting>
  <conditionalFormatting sqref="CP32:CP36 CP25:CP30 CP18:CP19 CP12:CP15 CP23">
    <cfRule type="cellIs" dxfId="1830" priority="989" operator="equal">
      <formula>"x"</formula>
    </cfRule>
  </conditionalFormatting>
  <conditionalFormatting sqref="CN12:CN15 CN18:CN19 CN25:CN30 CN32:CN36 CN23">
    <cfRule type="cellIs" dxfId="1829" priority="988" operator="equal">
      <formula>"x"</formula>
    </cfRule>
  </conditionalFormatting>
  <conditionalFormatting sqref="CN15 CN23 CN29:CN30 CN36">
    <cfRule type="cellIs" dxfId="1828" priority="987" operator="notEqual">
      <formula>"x"</formula>
    </cfRule>
  </conditionalFormatting>
  <conditionalFormatting sqref="CP15 CP23 CP29:CP30 CP36">
    <cfRule type="cellIs" dxfId="1827" priority="986" operator="notEqual">
      <formula>"x"</formula>
    </cfRule>
  </conditionalFormatting>
  <conditionalFormatting sqref="CR32:CR36 CR25:CR30 CR18:CR19 CR12:CR15 CR23">
    <cfRule type="cellIs" dxfId="1826" priority="985" operator="equal">
      <formula>"x"</formula>
    </cfRule>
  </conditionalFormatting>
  <conditionalFormatting sqref="CR15 CR23 CR29:CR30 CR36">
    <cfRule type="cellIs" dxfId="1825" priority="984" operator="notEqual">
      <formula>"x"</formula>
    </cfRule>
  </conditionalFormatting>
  <conditionalFormatting sqref="CP11">
    <cfRule type="cellIs" dxfId="1824" priority="983" operator="equal">
      <formula>"x"</formula>
    </cfRule>
  </conditionalFormatting>
  <conditionalFormatting sqref="CN11">
    <cfRule type="cellIs" dxfId="1823" priority="982" operator="equal">
      <formula>"x"</formula>
    </cfRule>
  </conditionalFormatting>
  <conditionalFormatting sqref="CR11">
    <cfRule type="cellIs" dxfId="1822" priority="981" operator="equal">
      <formula>"x"</formula>
    </cfRule>
  </conditionalFormatting>
  <conditionalFormatting sqref="CN10">
    <cfRule type="cellIs" dxfId="1821" priority="980" operator="equal">
      <formula>"x"</formula>
    </cfRule>
  </conditionalFormatting>
  <conditionalFormatting sqref="CR37">
    <cfRule type="cellIs" dxfId="1820" priority="944" operator="notEqual">
      <formula>"x"</formula>
    </cfRule>
  </conditionalFormatting>
  <conditionalFormatting sqref="CN17">
    <cfRule type="cellIs" dxfId="1819" priority="979" operator="equal">
      <formula>"x"</formula>
    </cfRule>
  </conditionalFormatting>
  <conditionalFormatting sqref="CO24">
    <cfRule type="cellIs" dxfId="1818" priority="978" operator="equal">
      <formula>"x"</formula>
    </cfRule>
  </conditionalFormatting>
  <conditionalFormatting sqref="CN24">
    <cfRule type="cellIs" dxfId="1817" priority="977" operator="equal">
      <formula>"x"</formula>
    </cfRule>
  </conditionalFormatting>
  <conditionalFormatting sqref="CP31">
    <cfRule type="cellIs" dxfId="1816" priority="976" operator="equal">
      <formula>"x"</formula>
    </cfRule>
  </conditionalFormatting>
  <conditionalFormatting sqref="CN31">
    <cfRule type="cellIs" dxfId="1815" priority="975" operator="equal">
      <formula>"x"</formula>
    </cfRule>
  </conditionalFormatting>
  <conditionalFormatting sqref="CR31">
    <cfRule type="cellIs" dxfId="1814" priority="974" operator="equal">
      <formula>"x"</formula>
    </cfRule>
  </conditionalFormatting>
  <conditionalFormatting sqref="CP9">
    <cfRule type="cellIs" dxfId="1813" priority="973" operator="equal">
      <formula>"x"</formula>
    </cfRule>
  </conditionalFormatting>
  <conditionalFormatting sqref="CN9">
    <cfRule type="cellIs" dxfId="1812" priority="972" operator="equal">
      <formula>"x"</formula>
    </cfRule>
  </conditionalFormatting>
  <conditionalFormatting sqref="CN9">
    <cfRule type="cellIs" dxfId="1811" priority="971" operator="notEqual">
      <formula>"x"</formula>
    </cfRule>
  </conditionalFormatting>
  <conditionalFormatting sqref="CP9">
    <cfRule type="cellIs" dxfId="1810" priority="970" operator="notEqual">
      <formula>"x"</formula>
    </cfRule>
  </conditionalFormatting>
  <conditionalFormatting sqref="CR9">
    <cfRule type="cellIs" dxfId="1809" priority="969" operator="equal">
      <formula>"x"</formula>
    </cfRule>
  </conditionalFormatting>
  <conditionalFormatting sqref="CR9">
    <cfRule type="cellIs" dxfId="1808" priority="968" operator="notEqual">
      <formula>"x"</formula>
    </cfRule>
  </conditionalFormatting>
  <conditionalFormatting sqref="CP8">
    <cfRule type="cellIs" dxfId="1807" priority="967" operator="equal">
      <formula>"x"</formula>
    </cfRule>
  </conditionalFormatting>
  <conditionalFormatting sqref="CN8">
    <cfRule type="cellIs" dxfId="1806" priority="966" operator="equal">
      <formula>"x"</formula>
    </cfRule>
  </conditionalFormatting>
  <conditionalFormatting sqref="CN8">
    <cfRule type="cellIs" dxfId="1805" priority="965" operator="notEqual">
      <formula>"x"</formula>
    </cfRule>
  </conditionalFormatting>
  <conditionalFormatting sqref="CP8">
    <cfRule type="cellIs" dxfId="1804" priority="964" operator="notEqual">
      <formula>"x"</formula>
    </cfRule>
  </conditionalFormatting>
  <conditionalFormatting sqref="CR8">
    <cfRule type="cellIs" dxfId="1803" priority="963" operator="equal">
      <formula>"x"</formula>
    </cfRule>
  </conditionalFormatting>
  <conditionalFormatting sqref="CR8">
    <cfRule type="cellIs" dxfId="1802" priority="962" operator="notEqual">
      <formula>"x"</formula>
    </cfRule>
  </conditionalFormatting>
  <conditionalFormatting sqref="CP16">
    <cfRule type="cellIs" dxfId="1801" priority="961" operator="equal">
      <formula>"x"</formula>
    </cfRule>
  </conditionalFormatting>
  <conditionalFormatting sqref="CN16">
    <cfRule type="cellIs" dxfId="1800" priority="960" operator="equal">
      <formula>"x"</formula>
    </cfRule>
  </conditionalFormatting>
  <conditionalFormatting sqref="CN16">
    <cfRule type="cellIs" dxfId="1799" priority="959" operator="notEqual">
      <formula>"x"</formula>
    </cfRule>
  </conditionalFormatting>
  <conditionalFormatting sqref="CP16">
    <cfRule type="cellIs" dxfId="1798" priority="958" operator="notEqual">
      <formula>"x"</formula>
    </cfRule>
  </conditionalFormatting>
  <conditionalFormatting sqref="CR16">
    <cfRule type="cellIs" dxfId="1797" priority="957" operator="equal">
      <formula>"x"</formula>
    </cfRule>
  </conditionalFormatting>
  <conditionalFormatting sqref="CR16">
    <cfRule type="cellIs" dxfId="1796" priority="956" operator="notEqual">
      <formula>"x"</formula>
    </cfRule>
  </conditionalFormatting>
  <conditionalFormatting sqref="CP22">
    <cfRule type="cellIs" dxfId="1795" priority="955" operator="equal">
      <formula>"x"</formula>
    </cfRule>
  </conditionalFormatting>
  <conditionalFormatting sqref="CN22">
    <cfRule type="cellIs" dxfId="1794" priority="954" operator="equal">
      <formula>"x"</formula>
    </cfRule>
  </conditionalFormatting>
  <conditionalFormatting sqref="CN22">
    <cfRule type="cellIs" dxfId="1793" priority="953" operator="notEqual">
      <formula>"x"</formula>
    </cfRule>
  </conditionalFormatting>
  <conditionalFormatting sqref="CP22">
    <cfRule type="cellIs" dxfId="1792" priority="952" operator="notEqual">
      <formula>"x"</formula>
    </cfRule>
  </conditionalFormatting>
  <conditionalFormatting sqref="CR22">
    <cfRule type="cellIs" dxfId="1791" priority="951" operator="equal">
      <formula>"x"</formula>
    </cfRule>
  </conditionalFormatting>
  <conditionalFormatting sqref="CP37">
    <cfRule type="cellIs" dxfId="1790" priority="949" operator="equal">
      <formula>"x"</formula>
    </cfRule>
  </conditionalFormatting>
  <conditionalFormatting sqref="CN37">
    <cfRule type="cellIs" dxfId="1789" priority="948" operator="equal">
      <formula>"x"</formula>
    </cfRule>
  </conditionalFormatting>
  <conditionalFormatting sqref="CP37">
    <cfRule type="cellIs" dxfId="1788" priority="946" operator="notEqual">
      <formula>"x"</formula>
    </cfRule>
  </conditionalFormatting>
  <conditionalFormatting sqref="CR37">
    <cfRule type="cellIs" dxfId="1787" priority="945" operator="equal">
      <formula>"x"</formula>
    </cfRule>
  </conditionalFormatting>
  <conditionalFormatting sqref="CP38">
    <cfRule type="cellIs" dxfId="1786" priority="943" operator="equal">
      <formula>"x"</formula>
    </cfRule>
  </conditionalFormatting>
  <conditionalFormatting sqref="CN38">
    <cfRule type="cellIs" dxfId="1785" priority="942" operator="equal">
      <formula>"x"</formula>
    </cfRule>
  </conditionalFormatting>
  <conditionalFormatting sqref="CR38">
    <cfRule type="cellIs" dxfId="1784" priority="941" operator="equal">
      <formula>"x"</formula>
    </cfRule>
  </conditionalFormatting>
  <conditionalFormatting sqref="CP39">
    <cfRule type="cellIs" dxfId="1783" priority="940" operator="equal">
      <formula>"x"</formula>
    </cfRule>
  </conditionalFormatting>
  <conditionalFormatting sqref="CN39">
    <cfRule type="cellIs" dxfId="1782" priority="939" operator="equal">
      <formula>"x"</formula>
    </cfRule>
  </conditionalFormatting>
  <conditionalFormatting sqref="CR39">
    <cfRule type="cellIs" dxfId="1781" priority="938" operator="equal">
      <formula>"x"</formula>
    </cfRule>
  </conditionalFormatting>
  <conditionalFormatting sqref="CP20">
    <cfRule type="cellIs" dxfId="1780" priority="937" operator="equal">
      <formula>"x"</formula>
    </cfRule>
  </conditionalFormatting>
  <conditionalFormatting sqref="CN20">
    <cfRule type="cellIs" dxfId="1779" priority="936" operator="equal">
      <formula>"x"</formula>
    </cfRule>
  </conditionalFormatting>
  <conditionalFormatting sqref="CR20">
    <cfRule type="cellIs" dxfId="1778" priority="935" operator="equal">
      <formula>"x"</formula>
    </cfRule>
  </conditionalFormatting>
  <conditionalFormatting sqref="CP21">
    <cfRule type="cellIs" dxfId="1777" priority="934" operator="equal">
      <formula>"x"</formula>
    </cfRule>
  </conditionalFormatting>
  <conditionalFormatting sqref="CN21">
    <cfRule type="cellIs" dxfId="1776" priority="933" operator="equal">
      <formula>"x"</formula>
    </cfRule>
  </conditionalFormatting>
  <conditionalFormatting sqref="CR21">
    <cfRule type="cellIs" dxfId="1775" priority="932" operator="equal">
      <formula>"x"</formula>
    </cfRule>
  </conditionalFormatting>
  <conditionalFormatting sqref="CP6:CP7">
    <cfRule type="cellIs" dxfId="1774" priority="931" operator="equal">
      <formula>"x"</formula>
    </cfRule>
  </conditionalFormatting>
  <conditionalFormatting sqref="CN6:CN7">
    <cfRule type="cellIs" dxfId="1773" priority="930" operator="equal">
      <formula>"x"</formula>
    </cfRule>
  </conditionalFormatting>
  <conditionalFormatting sqref="CR6:CR7">
    <cfRule type="cellIs" dxfId="1772" priority="929" operator="equal">
      <formula>"x"</formula>
    </cfRule>
  </conditionalFormatting>
  <conditionalFormatting sqref="CN5">
    <cfRule type="cellIs" dxfId="1771" priority="928" operator="equal">
      <formula>"x"</formula>
    </cfRule>
  </conditionalFormatting>
  <conditionalFormatting sqref="CP5">
    <cfRule type="cellIs" dxfId="1770" priority="927" operator="equal">
      <formula>"x"</formula>
    </cfRule>
  </conditionalFormatting>
  <conditionalFormatting sqref="CR5">
    <cfRule type="cellIs" dxfId="1769" priority="926" operator="equal">
      <formula>"x"</formula>
    </cfRule>
  </conditionalFormatting>
  <conditionalFormatting sqref="CN4">
    <cfRule type="cellIs" dxfId="1768" priority="924" operator="equal">
      <formula>"x"</formula>
    </cfRule>
  </conditionalFormatting>
  <conditionalFormatting sqref="D31">
    <cfRule type="cellIs" dxfId="1767" priority="925" operator="equal">
      <formula>"x"</formula>
    </cfRule>
  </conditionalFormatting>
  <conditionalFormatting sqref="CP4">
    <cfRule type="cellIs" dxfId="1766" priority="923" operator="equal">
      <formula>"x"</formula>
    </cfRule>
  </conditionalFormatting>
  <conditionalFormatting sqref="CR4">
    <cfRule type="cellIs" dxfId="1765" priority="922" operator="equal">
      <formula>"x"</formula>
    </cfRule>
  </conditionalFormatting>
  <conditionalFormatting sqref="N14">
    <cfRule type="cellIs" dxfId="1764" priority="921" operator="notEqual">
      <formula>"x"</formula>
    </cfRule>
  </conditionalFormatting>
  <conditionalFormatting sqref="N13">
    <cfRule type="cellIs" dxfId="1763" priority="920" operator="notEqual">
      <formula>"x"</formula>
    </cfRule>
  </conditionalFormatting>
  <conditionalFormatting sqref="N12">
    <cfRule type="cellIs" dxfId="1762" priority="919" operator="notEqual">
      <formula>"x"</formula>
    </cfRule>
  </conditionalFormatting>
  <conditionalFormatting sqref="N11">
    <cfRule type="cellIs" dxfId="1761" priority="918" operator="equal">
      <formula>"x"</formula>
    </cfRule>
  </conditionalFormatting>
  <conditionalFormatting sqref="N11">
    <cfRule type="cellIs" dxfId="1760" priority="917" operator="notEqual">
      <formula>"x"</formula>
    </cfRule>
  </conditionalFormatting>
  <conditionalFormatting sqref="F32">
    <cfRule type="cellIs" dxfId="1759" priority="916" operator="equal">
      <formula>"x"</formula>
    </cfRule>
  </conditionalFormatting>
  <conditionalFormatting sqref="F33">
    <cfRule type="cellIs" dxfId="1758" priority="915" operator="equal">
      <formula>"x"</formula>
    </cfRule>
  </conditionalFormatting>
  <conditionalFormatting sqref="F34">
    <cfRule type="cellIs" dxfId="1757" priority="914" operator="equal">
      <formula>"x"</formula>
    </cfRule>
  </conditionalFormatting>
  <conditionalFormatting sqref="F35">
    <cfRule type="cellIs" dxfId="1756" priority="913" operator="equal">
      <formula>"x"</formula>
    </cfRule>
  </conditionalFormatting>
  <conditionalFormatting sqref="L10">
    <cfRule type="cellIs" dxfId="1755" priority="912" operator="equal">
      <formula>"x"</formula>
    </cfRule>
  </conditionalFormatting>
  <conditionalFormatting sqref="P10">
    <cfRule type="cellIs" dxfId="1754" priority="911" operator="equal">
      <formula>"x"</formula>
    </cfRule>
  </conditionalFormatting>
  <conditionalFormatting sqref="N10">
    <cfRule type="cellIs" dxfId="1753" priority="910" operator="equal">
      <formula>"x"</formula>
    </cfRule>
  </conditionalFormatting>
  <conditionalFormatting sqref="N10">
    <cfRule type="cellIs" dxfId="1752" priority="909" operator="notEqual">
      <formula>"x"</formula>
    </cfRule>
  </conditionalFormatting>
  <conditionalFormatting sqref="C6">
    <cfRule type="expression" dxfId="1751" priority="907">
      <formula>OR($A6="Sa",$A6="So")</formula>
    </cfRule>
    <cfRule type="expression" dxfId="1750" priority="908">
      <formula>AND(B6&gt;0,INDIRECT("Basistabelle!G" &amp; ($A$1+C$1+B6))&lt;="",INDIRECT("Basistabelle!H" &amp; ($A$1+C$1+B6))&gt;"")</formula>
    </cfRule>
  </conditionalFormatting>
  <conditionalFormatting sqref="C7">
    <cfRule type="expression" dxfId="1749" priority="905">
      <formula>OR($A7="Sa",$A7="So")</formula>
    </cfRule>
    <cfRule type="expression" dxfId="1748" priority="906">
      <formula>AND(B7&gt;0,INDIRECT("Basistabelle!G" &amp; ($A$1+C$1+B7))&lt;="",INDIRECT("Basistabelle!H" &amp; ($A$1+C$1+B7))&gt;"")</formula>
    </cfRule>
  </conditionalFormatting>
  <conditionalFormatting sqref="C8">
    <cfRule type="expression" dxfId="1747" priority="903">
      <formula>OR($A8="Sa",$A8="So")</formula>
    </cfRule>
    <cfRule type="expression" dxfId="1746" priority="904">
      <formula>AND(B8&gt;0,INDIRECT("Basistabelle!G" &amp; ($A$1+C$1+B8))&lt;="",INDIRECT("Basistabelle!H" &amp; ($A$1+C$1+B8))&gt;"")</formula>
    </cfRule>
  </conditionalFormatting>
  <conditionalFormatting sqref="C9">
    <cfRule type="expression" dxfId="1745" priority="901">
      <formula>OR($A9="Sa",$A9="So")</formula>
    </cfRule>
    <cfRule type="expression" dxfId="1744" priority="902">
      <formula>AND(B9&gt;0,INDIRECT("Basistabelle!G" &amp; ($A$1+C$1+B9))&lt;="",INDIRECT("Basistabelle!H" &amp; ($A$1+C$1+B9))&gt;"")</formula>
    </cfRule>
  </conditionalFormatting>
  <conditionalFormatting sqref="C10">
    <cfRule type="expression" dxfId="1743" priority="899">
      <formula>OR($A10="Sa",$A10="So")</formula>
    </cfRule>
    <cfRule type="expression" dxfId="1742" priority="900">
      <formula>AND(B10&gt;0,INDIRECT("Basistabelle!G" &amp; ($A$1+C$1+B10))&lt;="",INDIRECT("Basistabelle!H" &amp; ($A$1+C$1+B10))&gt;"")</formula>
    </cfRule>
  </conditionalFormatting>
  <conditionalFormatting sqref="C11">
    <cfRule type="expression" dxfId="1741" priority="897">
      <formula>OR($A11="Sa",$A11="So")</formula>
    </cfRule>
    <cfRule type="expression" dxfId="1740" priority="898">
      <formula>AND(B11&gt;0,INDIRECT("Basistabelle!G" &amp; ($A$1+C$1+B11))&lt;="",INDIRECT("Basistabelle!H" &amp; ($A$1+C$1+B11))&gt;"")</formula>
    </cfRule>
  </conditionalFormatting>
  <conditionalFormatting sqref="C12">
    <cfRule type="expression" dxfId="1739" priority="895">
      <formula>OR($A12="Sa",$A12="So")</formula>
    </cfRule>
    <cfRule type="expression" dxfId="1738" priority="896">
      <formula>AND(B12&gt;0,INDIRECT("Basistabelle!G" &amp; ($A$1+C$1+B12))&lt;="",INDIRECT("Basistabelle!H" &amp; ($A$1+C$1+B12))&gt;"")</formula>
    </cfRule>
  </conditionalFormatting>
  <conditionalFormatting sqref="C13">
    <cfRule type="expression" dxfId="1737" priority="893">
      <formula>OR($A13="Sa",$A13="So")</formula>
    </cfRule>
    <cfRule type="expression" dxfId="1736" priority="894">
      <formula>AND(B13&gt;0,INDIRECT("Basistabelle!G" &amp; ($A$1+C$1+B13))&lt;="",INDIRECT("Basistabelle!H" &amp; ($A$1+C$1+B13))&gt;"")</formula>
    </cfRule>
  </conditionalFormatting>
  <conditionalFormatting sqref="C14">
    <cfRule type="expression" dxfId="1735" priority="891">
      <formula>OR($A14="Sa",$A14="So")</formula>
    </cfRule>
    <cfRule type="expression" dxfId="1734" priority="892">
      <formula>AND(B14&gt;0,INDIRECT("Basistabelle!G" &amp; ($A$1+C$1+B14))&lt;="",INDIRECT("Basistabelle!H" &amp; ($A$1+C$1+B14))&gt;"")</formula>
    </cfRule>
  </conditionalFormatting>
  <conditionalFormatting sqref="C15">
    <cfRule type="expression" dxfId="1733" priority="889">
      <formula>OR($A15="Sa",$A15="So")</formula>
    </cfRule>
    <cfRule type="expression" dxfId="1732" priority="890">
      <formula>AND(B15&gt;0,INDIRECT("Basistabelle!G" &amp; ($A$1+C$1+B15))&lt;="",INDIRECT("Basistabelle!H" &amp; ($A$1+C$1+B15))&gt;"")</formula>
    </cfRule>
  </conditionalFormatting>
  <conditionalFormatting sqref="C16">
    <cfRule type="expression" dxfId="1731" priority="887">
      <formula>OR($A16="Sa",$A16="So")</formula>
    </cfRule>
    <cfRule type="expression" dxfId="1730" priority="888">
      <formula>AND(B16&gt;0,INDIRECT("Basistabelle!G" &amp; ($A$1+C$1+B16))&lt;="",INDIRECT("Basistabelle!H" &amp; ($A$1+C$1+B16))&gt;"")</formula>
    </cfRule>
  </conditionalFormatting>
  <conditionalFormatting sqref="C17">
    <cfRule type="expression" dxfId="1729" priority="885">
      <formula>OR($A17="Sa",$A17="So")</formula>
    </cfRule>
    <cfRule type="expression" dxfId="1728" priority="886">
      <formula>AND(B17&gt;0,INDIRECT("Basistabelle!G" &amp; ($A$1+C$1+B17))&lt;="",INDIRECT("Basistabelle!H" &amp; ($A$1+C$1+B17))&gt;"")</formula>
    </cfRule>
  </conditionalFormatting>
  <conditionalFormatting sqref="C18">
    <cfRule type="expression" dxfId="1727" priority="883">
      <formula>OR($A18="Sa",$A18="So")</formula>
    </cfRule>
    <cfRule type="expression" dxfId="1726" priority="884">
      <formula>AND(B18&gt;0,INDIRECT("Basistabelle!G" &amp; ($A$1+C$1+B18))&lt;="",INDIRECT("Basistabelle!H" &amp; ($A$1+C$1+B18))&gt;"")</formula>
    </cfRule>
  </conditionalFormatting>
  <conditionalFormatting sqref="C19">
    <cfRule type="expression" dxfId="1725" priority="881">
      <formula>OR($A19="Sa",$A19="So")</formula>
    </cfRule>
    <cfRule type="expression" dxfId="1724" priority="882">
      <formula>AND(B19&gt;0,INDIRECT("Basistabelle!G" &amp; ($A$1+C$1+B19))&lt;="",INDIRECT("Basistabelle!H" &amp; ($A$1+C$1+B19))&gt;"")</formula>
    </cfRule>
  </conditionalFormatting>
  <conditionalFormatting sqref="C20">
    <cfRule type="expression" dxfId="1723" priority="879">
      <formula>OR($A20="Sa",$A20="So")</formula>
    </cfRule>
    <cfRule type="expression" dxfId="1722" priority="880">
      <formula>AND(B20&gt;0,INDIRECT("Basistabelle!G" &amp; ($A$1+C$1+B20))&lt;="",INDIRECT("Basistabelle!H" &amp; ($A$1+C$1+B20))&gt;"")</formula>
    </cfRule>
  </conditionalFormatting>
  <conditionalFormatting sqref="C21">
    <cfRule type="expression" dxfId="1721" priority="877">
      <formula>OR($A21="Sa",$A21="So")</formula>
    </cfRule>
    <cfRule type="expression" dxfId="1720" priority="878">
      <formula>AND(B21&gt;0,INDIRECT("Basistabelle!G" &amp; ($A$1+C$1+B21))&lt;="",INDIRECT("Basistabelle!H" &amp; ($A$1+C$1+B21))&gt;"")</formula>
    </cfRule>
  </conditionalFormatting>
  <conditionalFormatting sqref="C22">
    <cfRule type="expression" dxfId="1719" priority="875">
      <formula>OR($A22="Sa",$A22="So")</formula>
    </cfRule>
    <cfRule type="expression" dxfId="1718" priority="876">
      <formula>AND(B22&gt;0,INDIRECT("Basistabelle!G" &amp; ($A$1+C$1+B22))&lt;="",INDIRECT("Basistabelle!H" &amp; ($A$1+C$1+B22))&gt;"")</formula>
    </cfRule>
  </conditionalFormatting>
  <conditionalFormatting sqref="C23">
    <cfRule type="expression" dxfId="1717" priority="873">
      <formula>OR($A23="Sa",$A23="So")</formula>
    </cfRule>
    <cfRule type="expression" dxfId="1716" priority="874">
      <formula>AND(B23&gt;0,INDIRECT("Basistabelle!G" &amp; ($A$1+C$1+B23))&lt;="",INDIRECT("Basistabelle!H" &amp; ($A$1+C$1+B23))&gt;"")</formula>
    </cfRule>
  </conditionalFormatting>
  <conditionalFormatting sqref="C24">
    <cfRule type="expression" dxfId="1715" priority="871">
      <formula>OR($A24="Sa",$A24="So")</formula>
    </cfRule>
    <cfRule type="expression" dxfId="1714" priority="872">
      <formula>AND(B24&gt;0,INDIRECT("Basistabelle!G" &amp; ($A$1+C$1+B24))&lt;="",INDIRECT("Basistabelle!H" &amp; ($A$1+C$1+B24))&gt;"")</formula>
    </cfRule>
  </conditionalFormatting>
  <conditionalFormatting sqref="C25">
    <cfRule type="expression" dxfId="1713" priority="869">
      <formula>OR($A25="Sa",$A25="So")</formula>
    </cfRule>
    <cfRule type="expression" dxfId="1712" priority="870">
      <formula>AND(B25&gt;0,INDIRECT("Basistabelle!G" &amp; ($A$1+C$1+B25))&lt;="",INDIRECT("Basistabelle!H" &amp; ($A$1+C$1+B25))&gt;"")</formula>
    </cfRule>
  </conditionalFormatting>
  <conditionalFormatting sqref="C26">
    <cfRule type="expression" dxfId="1711" priority="867">
      <formula>OR($A26="Sa",$A26="So")</formula>
    </cfRule>
    <cfRule type="expression" dxfId="1710" priority="868">
      <formula>AND(B26&gt;0,INDIRECT("Basistabelle!G" &amp; ($A$1+C$1+B26))&lt;="",INDIRECT("Basistabelle!H" &amp; ($A$1+C$1+B26))&gt;"")</formula>
    </cfRule>
  </conditionalFormatting>
  <conditionalFormatting sqref="C28">
    <cfRule type="expression" dxfId="1709" priority="865">
      <formula>OR($A28="Sa",$A28="So")</formula>
    </cfRule>
    <cfRule type="expression" dxfId="1708" priority="866">
      <formula>AND(B28&gt;0,INDIRECT("Basistabelle!G" &amp; ($A$1+C$1+B28))&lt;="",INDIRECT("Basistabelle!H" &amp; ($A$1+C$1+B28))&gt;"")</formula>
    </cfRule>
  </conditionalFormatting>
  <conditionalFormatting sqref="C29">
    <cfRule type="expression" dxfId="1707" priority="863">
      <formula>OR($A29="Sa",$A29="So")</formula>
    </cfRule>
    <cfRule type="expression" dxfId="1706" priority="864">
      <formula>AND(B29&gt;0,INDIRECT("Basistabelle!G" &amp; ($A$1+C$1+B29))&lt;="",INDIRECT("Basistabelle!H" &amp; ($A$1+C$1+B29))&gt;"")</formula>
    </cfRule>
  </conditionalFormatting>
  <conditionalFormatting sqref="C30">
    <cfRule type="expression" dxfId="1705" priority="861">
      <formula>OR($A30="Sa",$A30="So")</formula>
    </cfRule>
    <cfRule type="expression" dxfId="1704" priority="862">
      <formula>AND(B30&gt;0,INDIRECT("Basistabelle!G" &amp; ($A$1+C$1+B30))&lt;="",INDIRECT("Basistabelle!H" &amp; ($A$1+C$1+B30))&gt;"")</formula>
    </cfRule>
  </conditionalFormatting>
  <conditionalFormatting sqref="C31">
    <cfRule type="expression" dxfId="1703" priority="859">
      <formula>OR($A31="Sa",$A31="So")</formula>
    </cfRule>
    <cfRule type="expression" dxfId="1702" priority="860">
      <formula>AND(B31&gt;0,INDIRECT("Basistabelle!G" &amp; ($A$1+C$1+B31))&lt;="",INDIRECT("Basistabelle!H" &amp; ($A$1+C$1+B31))&gt;"")</formula>
    </cfRule>
  </conditionalFormatting>
  <conditionalFormatting sqref="C32">
    <cfRule type="expression" dxfId="1701" priority="857">
      <formula>OR($A32="Sa",$A32="So")</formula>
    </cfRule>
    <cfRule type="expression" dxfId="1700" priority="858">
      <formula>AND(B32&gt;0,INDIRECT("Basistabelle!G" &amp; ($A$1+C$1+B32))&lt;="",INDIRECT("Basistabelle!H" &amp; ($A$1+C$1+B32))&gt;"")</formula>
    </cfRule>
  </conditionalFormatting>
  <conditionalFormatting sqref="C33">
    <cfRule type="expression" dxfId="1699" priority="855">
      <formula>OR($A33="Sa",$A33="So")</formula>
    </cfRule>
    <cfRule type="expression" dxfId="1698" priority="856">
      <formula>AND(B33&gt;0,INDIRECT("Basistabelle!G" &amp; ($A$1+C$1+B33))&lt;="",INDIRECT("Basistabelle!H" &amp; ($A$1+C$1+B33))&gt;"")</formula>
    </cfRule>
  </conditionalFormatting>
  <conditionalFormatting sqref="C34">
    <cfRule type="expression" dxfId="1697" priority="853">
      <formula>OR($A34="Sa",$A34="So")</formula>
    </cfRule>
    <cfRule type="expression" dxfId="1696" priority="854">
      <formula>AND(B34&gt;0,INDIRECT("Basistabelle!G" &amp; ($A$1+C$1+B34))&lt;="",INDIRECT("Basistabelle!H" &amp; ($A$1+C$1+B34))&gt;"")</formula>
    </cfRule>
  </conditionalFormatting>
  <conditionalFormatting sqref="C35">
    <cfRule type="expression" dxfId="1695" priority="851">
      <formula>OR($A35="Sa",$A35="So")</formula>
    </cfRule>
    <cfRule type="expression" dxfId="1694" priority="852">
      <formula>AND(B35&gt;0,INDIRECT("Basistabelle!G" &amp; ($A$1+C$1+B35))&lt;="",INDIRECT("Basistabelle!H" &amp; ($A$1+C$1+B35))&gt;"")</formula>
    </cfRule>
  </conditionalFormatting>
  <conditionalFormatting sqref="C38">
    <cfRule type="expression" dxfId="1693" priority="847">
      <formula>OR($A38="Sa",$A38="So")</formula>
    </cfRule>
    <cfRule type="expression" dxfId="1692" priority="848">
      <formula>AND(B38&gt;0,INDIRECT("Basistabelle!G" &amp; ($A$1+C$1+B38))&lt;="",INDIRECT("Basistabelle!H" &amp; ($A$1+C$1+B38))&gt;"")</formula>
    </cfRule>
  </conditionalFormatting>
  <conditionalFormatting sqref="C37">
    <cfRule type="expression" dxfId="1691" priority="849">
      <formula>OR($A37="Sa",$A37="So")</formula>
    </cfRule>
    <cfRule type="expression" dxfId="1690" priority="850">
      <formula>AND(B37&gt;0,INDIRECT("Basistabelle!G" &amp; ($A$1+C$1+B37))&lt;="",INDIRECT("Basistabelle!H" &amp; ($A$1+C$1+B37))&gt;"")</formula>
    </cfRule>
  </conditionalFormatting>
  <conditionalFormatting sqref="C39">
    <cfRule type="expression" dxfId="1689" priority="845">
      <formula>OR($A39="Sa",$A39="So")</formula>
    </cfRule>
    <cfRule type="expression" dxfId="1688" priority="846">
      <formula>AND(B39&gt;0,INDIRECT("Basistabelle!G" &amp; ($A$1+C$1+B39))&lt;="",INDIRECT("Basistabelle!H" &amp; ($A$1+C$1+B39))&gt;"")</formula>
    </cfRule>
  </conditionalFormatting>
  <conditionalFormatting sqref="C40">
    <cfRule type="expression" dxfId="1687" priority="843">
      <formula>OR($A40="Sa",$A40="So")</formula>
    </cfRule>
    <cfRule type="expression" dxfId="1686" priority="844">
      <formula>AND(B40&gt;0,INDIRECT("Basistabelle!G" &amp; ($A$1+C$1+B40))&lt;="",INDIRECT("Basistabelle!H" &amp; ($A$1+C$1+B40))&gt;"")</formula>
    </cfRule>
  </conditionalFormatting>
  <conditionalFormatting sqref="C41">
    <cfRule type="expression" dxfId="1685" priority="841">
      <formula>OR($A41="Sa",$A41="So")</formula>
    </cfRule>
    <cfRule type="expression" dxfId="1684" priority="842">
      <formula>AND(B41&gt;0,INDIRECT("Basistabelle!G" &amp; ($A$1+C$1+B41))&lt;="",INDIRECT("Basistabelle!H" &amp; ($A$1+C$1+B41))&gt;"")</formula>
    </cfRule>
  </conditionalFormatting>
  <conditionalFormatting sqref="C5">
    <cfRule type="expression" dxfId="1683" priority="839">
      <formula>OR($A5="Sa",$A5="So")</formula>
    </cfRule>
    <cfRule type="expression" dxfId="1682" priority="840">
      <formula>AND(B5&gt;0,INDIRECT("Basistabelle!G" &amp; ($A$1+C$1+B5))&lt;="",INDIRECT("Basistabelle!H" &amp; ($A$1+C$1+B5))&gt;"")</formula>
    </cfRule>
  </conditionalFormatting>
  <conditionalFormatting sqref="C4">
    <cfRule type="expression" dxfId="1681" priority="837">
      <formula>OR($A4="Sa",$A4="So")</formula>
    </cfRule>
    <cfRule type="expression" dxfId="1680" priority="838">
      <formula>AND(B4&gt;0,INDIRECT("Basistabelle!G" &amp; ($A$1+C$1+B4))&lt;="",INDIRECT("Basistabelle!H" &amp; ($A$1+C$1+B4))&gt;"")</formula>
    </cfRule>
  </conditionalFormatting>
  <conditionalFormatting sqref="C3">
    <cfRule type="expression" dxfId="1679" priority="835">
      <formula>OR($A3="Sa",$A3="So")</formula>
    </cfRule>
    <cfRule type="expression" dxfId="1678" priority="836">
      <formula>AND(B3&gt;0,INDIRECT("Basistabelle!G" &amp; ($A$1+C$1+B3))&lt;="",INDIRECT("Basistabelle!H" &amp; ($A$1+C$1+B3))&gt;"")</formula>
    </cfRule>
  </conditionalFormatting>
  <conditionalFormatting sqref="BO3">
    <cfRule type="expression" dxfId="1677" priority="833">
      <formula>OR($A3="Sa",$A3="So")</formula>
    </cfRule>
    <cfRule type="expression" dxfId="1676" priority="834">
      <formula>AND(BN3&gt;0,INDIRECT("Basistabelle!G" &amp; ($A$1+BO$1+BN3))&lt;="",INDIRECT("Basistabelle!H" &amp; ($A$1+BO$1+BN3))&gt;"")</formula>
    </cfRule>
  </conditionalFormatting>
  <conditionalFormatting sqref="BO4">
    <cfRule type="expression" dxfId="1675" priority="831">
      <formula>OR($A4="Sa",$A4="So")</formula>
    </cfRule>
    <cfRule type="expression" dxfId="1674" priority="832">
      <formula>AND(BN4&gt;0,INDIRECT("Basistabelle!G" &amp; ($A$1+BO$1+BN4))&lt;="",INDIRECT("Basistabelle!H" &amp; ($A$1+BO$1+BN4))&gt;"")</formula>
    </cfRule>
  </conditionalFormatting>
  <conditionalFormatting sqref="BO5">
    <cfRule type="expression" dxfId="1673" priority="829">
      <formula>OR($A5="Sa",$A5="So")</formula>
    </cfRule>
    <cfRule type="expression" dxfId="1672" priority="830">
      <formula>AND(BN5&gt;0,INDIRECT("Basistabelle!G" &amp; ($A$1+BO$1+BN5))&lt;="",INDIRECT("Basistabelle!H" &amp; ($A$1+BO$1+BN5))&gt;"")</formula>
    </cfRule>
  </conditionalFormatting>
  <conditionalFormatting sqref="BO6">
    <cfRule type="expression" dxfId="1671" priority="827">
      <formula>OR($A6="Sa",$A6="So")</formula>
    </cfRule>
    <cfRule type="expression" dxfId="1670" priority="828">
      <formula>AND(BN6&gt;0,INDIRECT("Basistabelle!G" &amp; ($A$1+BO$1+BN6))&lt;="",INDIRECT("Basistabelle!H" &amp; ($A$1+BO$1+BN6))&gt;"")</formula>
    </cfRule>
  </conditionalFormatting>
  <conditionalFormatting sqref="BO7">
    <cfRule type="expression" dxfId="1669" priority="825">
      <formula>OR($A7="Sa",$A7="So")</formula>
    </cfRule>
    <cfRule type="expression" dxfId="1668" priority="826">
      <formula>AND(BN7&gt;0,INDIRECT("Basistabelle!G" &amp; ($A$1+BO$1+BN7))&lt;="",INDIRECT("Basistabelle!H" &amp; ($A$1+BO$1+BN7))&gt;"")</formula>
    </cfRule>
  </conditionalFormatting>
  <conditionalFormatting sqref="BO8">
    <cfRule type="expression" dxfId="1667" priority="823">
      <formula>OR($A8="Sa",$A8="So")</formula>
    </cfRule>
    <cfRule type="expression" dxfId="1666" priority="824">
      <formula>AND(BN8&gt;0,INDIRECT("Basistabelle!G" &amp; ($A$1+BO$1+BN8))&lt;="",INDIRECT("Basistabelle!H" &amp; ($A$1+BO$1+BN8))&gt;"")</formula>
    </cfRule>
  </conditionalFormatting>
  <conditionalFormatting sqref="BO9">
    <cfRule type="expression" dxfId="1665" priority="821">
      <formula>OR($A9="Sa",$A9="So")</formula>
    </cfRule>
    <cfRule type="expression" dxfId="1664" priority="822">
      <formula>AND(BN9&gt;0,INDIRECT("Basistabelle!G" &amp; ($A$1+BO$1+BN9))&lt;="",INDIRECT("Basistabelle!H" &amp; ($A$1+BO$1+BN9))&gt;"")</formula>
    </cfRule>
  </conditionalFormatting>
  <conditionalFormatting sqref="BO10">
    <cfRule type="expression" dxfId="1663" priority="819">
      <formula>OR($A10="Sa",$A10="So")</formula>
    </cfRule>
    <cfRule type="expression" dxfId="1662" priority="820">
      <formula>AND(BN10&gt;0,INDIRECT("Basistabelle!G" &amp; ($A$1+BO$1+BN10))&lt;="",INDIRECT("Basistabelle!H" &amp; ($A$1+BO$1+BN10))&gt;"")</formula>
    </cfRule>
  </conditionalFormatting>
  <conditionalFormatting sqref="BO11">
    <cfRule type="expression" dxfId="1661" priority="817">
      <formula>OR($A11="Sa",$A11="So")</formula>
    </cfRule>
    <cfRule type="expression" dxfId="1660" priority="818">
      <formula>AND(BN11&gt;0,INDIRECT("Basistabelle!G" &amp; ($A$1+BO$1+BN11))&lt;="",INDIRECT("Basistabelle!H" &amp; ($A$1+BO$1+BN11))&gt;"")</formula>
    </cfRule>
  </conditionalFormatting>
  <conditionalFormatting sqref="BO12">
    <cfRule type="expression" dxfId="1659" priority="815">
      <formula>OR($A12="Sa",$A12="So")</formula>
    </cfRule>
    <cfRule type="expression" dxfId="1658" priority="816">
      <formula>AND(BN12&gt;0,INDIRECT("Basistabelle!G" &amp; ($A$1+BO$1+BN12))&lt;="",INDIRECT("Basistabelle!H" &amp; ($A$1+BO$1+BN12))&gt;"")</formula>
    </cfRule>
  </conditionalFormatting>
  <conditionalFormatting sqref="BO13">
    <cfRule type="expression" dxfId="1657" priority="813">
      <formula>OR($A13="Sa",$A13="So")</formula>
    </cfRule>
    <cfRule type="expression" dxfId="1656" priority="814">
      <formula>AND(BN13&gt;0,INDIRECT("Basistabelle!G" &amp; ($A$1+BO$1+BN13))&lt;="",INDIRECT("Basistabelle!H" &amp; ($A$1+BO$1+BN13))&gt;"")</formula>
    </cfRule>
  </conditionalFormatting>
  <conditionalFormatting sqref="BO14">
    <cfRule type="expression" dxfId="1655" priority="811">
      <formula>OR($A14="Sa",$A14="So")</formula>
    </cfRule>
    <cfRule type="expression" dxfId="1654" priority="812">
      <formula>AND(BN14&gt;0,INDIRECT("Basistabelle!G" &amp; ($A$1+BO$1+BN14))&lt;="",INDIRECT("Basistabelle!H" &amp; ($A$1+BO$1+BN14))&gt;"")</formula>
    </cfRule>
  </conditionalFormatting>
  <conditionalFormatting sqref="BO15">
    <cfRule type="expression" dxfId="1653" priority="809">
      <formula>OR($A15="Sa",$A15="So")</formula>
    </cfRule>
    <cfRule type="expression" dxfId="1652" priority="810">
      <formula>AND(BN15&gt;0,INDIRECT("Basistabelle!G" &amp; ($A$1+BO$1+BN15))&lt;="",INDIRECT("Basistabelle!H" &amp; ($A$1+BO$1+BN15))&gt;"")</formula>
    </cfRule>
  </conditionalFormatting>
  <conditionalFormatting sqref="BO16">
    <cfRule type="expression" dxfId="1651" priority="807">
      <formula>OR($A16="Sa",$A16="So")</formula>
    </cfRule>
    <cfRule type="expression" dxfId="1650" priority="808">
      <formula>AND(BN16&gt;0,INDIRECT("Basistabelle!G" &amp; ($A$1+BO$1+BN16))&lt;="",INDIRECT("Basistabelle!H" &amp; ($A$1+BO$1+BN16))&gt;"")</formula>
    </cfRule>
  </conditionalFormatting>
  <conditionalFormatting sqref="BO17">
    <cfRule type="expression" dxfId="1649" priority="805">
      <formula>OR($A17="Sa",$A17="So")</formula>
    </cfRule>
    <cfRule type="expression" dxfId="1648" priority="806">
      <formula>AND(BN17&gt;0,INDIRECT("Basistabelle!G" &amp; ($A$1+BO$1+BN17))&lt;="",INDIRECT("Basistabelle!H" &amp; ($A$1+BO$1+BN17))&gt;"")</formula>
    </cfRule>
  </conditionalFormatting>
  <conditionalFormatting sqref="BO18">
    <cfRule type="expression" dxfId="1647" priority="803">
      <formula>OR($A18="Sa",$A18="So")</formula>
    </cfRule>
    <cfRule type="expression" dxfId="1646" priority="804">
      <formula>AND(BN18&gt;0,INDIRECT("Basistabelle!G" &amp; ($A$1+BO$1+BN18))&lt;="",INDIRECT("Basistabelle!H" &amp; ($A$1+BO$1+BN18))&gt;"")</formula>
    </cfRule>
  </conditionalFormatting>
  <conditionalFormatting sqref="BO19">
    <cfRule type="expression" dxfId="1645" priority="801">
      <formula>OR($A19="Sa",$A19="So")</formula>
    </cfRule>
    <cfRule type="expression" dxfId="1644" priority="802">
      <formula>AND(BN19&gt;0,INDIRECT("Basistabelle!G" &amp; ($A$1+BO$1+BN19))&lt;="",INDIRECT("Basistabelle!H" &amp; ($A$1+BO$1+BN19))&gt;"")</formula>
    </cfRule>
  </conditionalFormatting>
  <conditionalFormatting sqref="BO20">
    <cfRule type="expression" dxfId="1643" priority="799">
      <formula>OR($A20="Sa",$A20="So")</formula>
    </cfRule>
    <cfRule type="expression" dxfId="1642" priority="800">
      <formula>AND(BN20&gt;0,INDIRECT("Basistabelle!G" &amp; ($A$1+BO$1+BN20))&lt;="",INDIRECT("Basistabelle!H" &amp; ($A$1+BO$1+BN20))&gt;"")</formula>
    </cfRule>
  </conditionalFormatting>
  <conditionalFormatting sqref="BO21">
    <cfRule type="expression" dxfId="1641" priority="797">
      <formula>OR($A21="Sa",$A21="So")</formula>
    </cfRule>
    <cfRule type="expression" dxfId="1640" priority="798">
      <formula>AND(BN21&gt;0,INDIRECT("Basistabelle!G" &amp; ($A$1+BO$1+BN21))&lt;="",INDIRECT("Basistabelle!H" &amp; ($A$1+BO$1+BN21))&gt;"")</formula>
    </cfRule>
  </conditionalFormatting>
  <conditionalFormatting sqref="BO22">
    <cfRule type="expression" dxfId="1639" priority="795">
      <formula>OR($A22="Sa",$A22="So")</formula>
    </cfRule>
    <cfRule type="expression" dxfId="1638" priority="796">
      <formula>AND(BN22&gt;0,INDIRECT("Basistabelle!G" &amp; ($A$1+BO$1+BN22))&lt;="",INDIRECT("Basistabelle!H" &amp; ($A$1+BO$1+BN22))&gt;"")</formula>
    </cfRule>
  </conditionalFormatting>
  <conditionalFormatting sqref="BO23">
    <cfRule type="expression" dxfId="1637" priority="793">
      <formula>OR($A23="Sa",$A23="So")</formula>
    </cfRule>
    <cfRule type="expression" dxfId="1636" priority="794">
      <formula>AND(BN23&gt;0,INDIRECT("Basistabelle!G" &amp; ($A$1+BO$1+BN23))&lt;="",INDIRECT("Basistabelle!H" &amp; ($A$1+BO$1+BN23))&gt;"")</formula>
    </cfRule>
  </conditionalFormatting>
  <conditionalFormatting sqref="BO24">
    <cfRule type="expression" dxfId="1635" priority="791">
      <formula>OR($A24="Sa",$A24="So")</formula>
    </cfRule>
    <cfRule type="expression" dxfId="1634" priority="792">
      <formula>AND(BN24&gt;0,INDIRECT("Basistabelle!G" &amp; ($A$1+BO$1+BN24))&lt;="",INDIRECT("Basistabelle!H" &amp; ($A$1+BO$1+BN24))&gt;"")</formula>
    </cfRule>
  </conditionalFormatting>
  <conditionalFormatting sqref="BO25">
    <cfRule type="expression" dxfId="1633" priority="789">
      <formula>OR($A25="Sa",$A25="So")</formula>
    </cfRule>
    <cfRule type="expression" dxfId="1632" priority="790">
      <formula>AND(BN25&gt;0,INDIRECT("Basistabelle!G" &amp; ($A$1+BO$1+BN25))&lt;="",INDIRECT("Basistabelle!H" &amp; ($A$1+BO$1+BN25))&gt;"")</formula>
    </cfRule>
  </conditionalFormatting>
  <conditionalFormatting sqref="BO26">
    <cfRule type="expression" dxfId="1631" priority="787">
      <formula>OR($A26="Sa",$A26="So")</formula>
    </cfRule>
    <cfRule type="expression" dxfId="1630" priority="788">
      <formula>AND(BN26&gt;0,INDIRECT("Basistabelle!G" &amp; ($A$1+BO$1+BN26))&lt;="",INDIRECT("Basistabelle!H" &amp; ($A$1+BO$1+BN26))&gt;"")</formula>
    </cfRule>
  </conditionalFormatting>
  <conditionalFormatting sqref="BO27">
    <cfRule type="expression" dxfId="1629" priority="785">
      <formula>OR($A27="Sa",$A27="So")</formula>
    </cfRule>
    <cfRule type="expression" dxfId="1628" priority="786">
      <formula>AND(BN27&gt;0,INDIRECT("Basistabelle!G" &amp; ($A$1+BO$1+BN27))&lt;="",INDIRECT("Basistabelle!H" &amp; ($A$1+BO$1+BN27))&gt;"")</formula>
    </cfRule>
  </conditionalFormatting>
  <conditionalFormatting sqref="BO28">
    <cfRule type="expression" dxfId="1627" priority="783">
      <formula>OR($A28="Sa",$A28="So")</formula>
    </cfRule>
    <cfRule type="expression" dxfId="1626" priority="784">
      <formula>AND(BN28&gt;0,INDIRECT("Basistabelle!G" &amp; ($A$1+BO$1+BN28))&lt;="",INDIRECT("Basistabelle!H" &amp; ($A$1+BO$1+BN28))&gt;"")</formula>
    </cfRule>
  </conditionalFormatting>
  <conditionalFormatting sqref="BO29">
    <cfRule type="expression" dxfId="1625" priority="781">
      <formula>OR($A29="Sa",$A29="So")</formula>
    </cfRule>
    <cfRule type="expression" dxfId="1624" priority="782">
      <formula>AND(BN29&gt;0,INDIRECT("Basistabelle!G" &amp; ($A$1+BO$1+BN29))&lt;="",INDIRECT("Basistabelle!H" &amp; ($A$1+BO$1+BN29))&gt;"")</formula>
    </cfRule>
  </conditionalFormatting>
  <conditionalFormatting sqref="BO30">
    <cfRule type="expression" dxfId="1623" priority="779">
      <formula>OR($A30="Sa",$A30="So")</formula>
    </cfRule>
    <cfRule type="expression" dxfId="1622" priority="780">
      <formula>AND(BN30&gt;0,INDIRECT("Basistabelle!G" &amp; ($A$1+BO$1+BN30))&lt;="",INDIRECT("Basistabelle!H" &amp; ($A$1+BO$1+BN30))&gt;"")</formula>
    </cfRule>
  </conditionalFormatting>
  <conditionalFormatting sqref="BO31">
    <cfRule type="expression" dxfId="1621" priority="777">
      <formula>OR($A31="Sa",$A31="So")</formula>
    </cfRule>
    <cfRule type="expression" dxfId="1620" priority="778">
      <formula>AND(BN31&gt;0,INDIRECT("Basistabelle!G" &amp; ($A$1+BO$1+BN31))&lt;="",INDIRECT("Basistabelle!H" &amp; ($A$1+BO$1+BN31))&gt;"")</formula>
    </cfRule>
  </conditionalFormatting>
  <conditionalFormatting sqref="BO32">
    <cfRule type="expression" dxfId="1619" priority="775">
      <formula>OR($A32="Sa",$A32="So")</formula>
    </cfRule>
    <cfRule type="expression" dxfId="1618" priority="776">
      <formula>AND(BN32&gt;0,INDIRECT("Basistabelle!G" &amp; ($A$1+BO$1+BN32))&lt;="",INDIRECT("Basistabelle!H" &amp; ($A$1+BO$1+BN32))&gt;"")</formula>
    </cfRule>
  </conditionalFormatting>
  <conditionalFormatting sqref="BO33">
    <cfRule type="expression" dxfId="1617" priority="773">
      <formula>OR($A33="Sa",$A33="So")</formula>
    </cfRule>
    <cfRule type="expression" dxfId="1616" priority="774">
      <formula>AND(BN33&gt;0,INDIRECT("Basistabelle!G" &amp; ($A$1+BO$1+BN33))&lt;="",INDIRECT("Basistabelle!H" &amp; ($A$1+BO$1+BN33))&gt;"")</formula>
    </cfRule>
  </conditionalFormatting>
  <conditionalFormatting sqref="BO34">
    <cfRule type="expression" dxfId="1615" priority="771">
      <formula>OR($A34="Sa",$A34="So")</formula>
    </cfRule>
    <cfRule type="expression" dxfId="1614" priority="772">
      <formula>AND(BN34&gt;0,INDIRECT("Basistabelle!G" &amp; ($A$1+BO$1+BN34))&lt;="",INDIRECT("Basistabelle!H" &amp; ($A$1+BO$1+BN34))&gt;"")</formula>
    </cfRule>
  </conditionalFormatting>
  <conditionalFormatting sqref="BO35">
    <cfRule type="expression" dxfId="1613" priority="769">
      <formula>OR($A35="Sa",$A35="So")</formula>
    </cfRule>
    <cfRule type="expression" dxfId="1612" priority="770">
      <formula>AND(BN35&gt;0,INDIRECT("Basistabelle!G" &amp; ($A$1+BO$1+BN35))&lt;="",INDIRECT("Basistabelle!H" &amp; ($A$1+BO$1+BN35))&gt;"")</formula>
    </cfRule>
  </conditionalFormatting>
  <conditionalFormatting sqref="BO36">
    <cfRule type="expression" dxfId="1611" priority="767">
      <formula>OR($A36="Sa",$A36="So")</formula>
    </cfRule>
    <cfRule type="expression" dxfId="1610" priority="768">
      <formula>AND(BN36&gt;0,INDIRECT("Basistabelle!G" &amp; ($A$1+BO$1+BN36))&lt;="",INDIRECT("Basistabelle!H" &amp; ($A$1+BO$1+BN36))&gt;"")</formula>
    </cfRule>
  </conditionalFormatting>
  <conditionalFormatting sqref="BO37">
    <cfRule type="expression" dxfId="1609" priority="765">
      <formula>OR($A37="Sa",$A37="So")</formula>
    </cfRule>
    <cfRule type="expression" dxfId="1608" priority="766">
      <formula>AND(BN37&gt;0,INDIRECT("Basistabelle!G" &amp; ($A$1+BO$1+BN37))&lt;="",INDIRECT("Basistabelle!H" &amp; ($A$1+BO$1+BN37))&gt;"")</formula>
    </cfRule>
  </conditionalFormatting>
  <conditionalFormatting sqref="BO38">
    <cfRule type="expression" dxfId="1607" priority="763">
      <formula>OR($A38="Sa",$A38="So")</formula>
    </cfRule>
    <cfRule type="expression" dxfId="1606" priority="764">
      <formula>AND(BN38&gt;0,INDIRECT("Basistabelle!G" &amp; ($A$1+BO$1+BN38))&lt;="",INDIRECT("Basistabelle!H" &amp; ($A$1+BO$1+BN38))&gt;"")</formula>
    </cfRule>
  </conditionalFormatting>
  <conditionalFormatting sqref="BO39">
    <cfRule type="expression" dxfId="1605" priority="761">
      <formula>OR($A39="Sa",$A39="So")</formula>
    </cfRule>
    <cfRule type="expression" dxfId="1604" priority="762">
      <formula>AND(BN39&gt;0,INDIRECT("Basistabelle!G" &amp; ($A$1+BO$1+BN39))&lt;="",INDIRECT("Basistabelle!H" &amp; ($A$1+BO$1+BN39))&gt;"")</formula>
    </cfRule>
  </conditionalFormatting>
  <conditionalFormatting sqref="BO40">
    <cfRule type="expression" dxfId="1603" priority="759">
      <formula>OR($A40="Sa",$A40="So")</formula>
    </cfRule>
    <cfRule type="expression" dxfId="1602" priority="760">
      <formula>AND(BN40&gt;0,INDIRECT("Basistabelle!G" &amp; ($A$1+BO$1+BN40))&lt;="",INDIRECT("Basistabelle!H" &amp; ($A$1+BO$1+BN40))&gt;"")</formula>
    </cfRule>
  </conditionalFormatting>
  <conditionalFormatting sqref="BO41">
    <cfRule type="expression" dxfId="1601" priority="757">
      <formula>OR($A41="Sa",$A41="So")</formula>
    </cfRule>
    <cfRule type="expression" dxfId="1600" priority="758">
      <formula>AND(BN41&gt;0,INDIRECT("Basistabelle!G" &amp; ($A$1+BO$1+BN41))&lt;="",INDIRECT("Basistabelle!H" &amp; ($A$1+BO$1+BN41))&gt;"")</formula>
    </cfRule>
  </conditionalFormatting>
  <conditionalFormatting sqref="BW3:BW16">
    <cfRule type="expression" dxfId="1599" priority="755">
      <formula>OR($A3="Sa",$A3="So")</formula>
    </cfRule>
    <cfRule type="expression" dxfId="1598" priority="756">
      <formula>AND(BV3&gt;0,INDIRECT("Basistabelle!G" &amp; ($A$1+BW$1+BV3))&lt;="",INDIRECT("Basistabelle!H" &amp; ($A$1+BW$1+BV3))&gt;"")</formula>
    </cfRule>
  </conditionalFormatting>
  <conditionalFormatting sqref="BW17">
    <cfRule type="expression" dxfId="1597" priority="753">
      <formula>OR($A17="Sa",$A17="So")</formula>
    </cfRule>
    <cfRule type="expression" dxfId="1596" priority="754">
      <formula>AND(BV17&gt;0,INDIRECT("Basistabelle!G" &amp; ($A$1+BW$1+BV17))&lt;="",INDIRECT("Basistabelle!H" &amp; ($A$1+BW$1+BV17))&gt;"")</formula>
    </cfRule>
  </conditionalFormatting>
  <conditionalFormatting sqref="BW18">
    <cfRule type="expression" dxfId="1595" priority="751">
      <formula>OR($A18="Sa",$A18="So")</formula>
    </cfRule>
    <cfRule type="expression" dxfId="1594" priority="752">
      <formula>AND(BV18&gt;0,INDIRECT("Basistabelle!G" &amp; ($A$1+BW$1+BV18))&lt;="",INDIRECT("Basistabelle!H" &amp; ($A$1+BW$1+BV18))&gt;"")</formula>
    </cfRule>
  </conditionalFormatting>
  <conditionalFormatting sqref="BW19">
    <cfRule type="expression" dxfId="1593" priority="749">
      <formula>OR($A19="Sa",$A19="So")</formula>
    </cfRule>
    <cfRule type="expression" dxfId="1592" priority="750">
      <formula>AND(BV19&gt;0,INDIRECT("Basistabelle!G" &amp; ($A$1+BW$1+BV19))&lt;="",INDIRECT("Basistabelle!H" &amp; ($A$1+BW$1+BV19))&gt;"")</formula>
    </cfRule>
  </conditionalFormatting>
  <conditionalFormatting sqref="BW20">
    <cfRule type="expression" dxfId="1591" priority="747">
      <formula>OR($A20="Sa",$A20="So")</formula>
    </cfRule>
    <cfRule type="expression" dxfId="1590" priority="748">
      <formula>AND(BV20&gt;0,INDIRECT("Basistabelle!G" &amp; ($A$1+BW$1+BV20))&lt;="",INDIRECT("Basistabelle!H" &amp; ($A$1+BW$1+BV20))&gt;"")</formula>
    </cfRule>
  </conditionalFormatting>
  <conditionalFormatting sqref="BW21">
    <cfRule type="expression" dxfId="1589" priority="745">
      <formula>OR($A21="Sa",$A21="So")</formula>
    </cfRule>
    <cfRule type="expression" dxfId="1588" priority="746">
      <formula>AND(BV21&gt;0,INDIRECT("Basistabelle!G" &amp; ($A$1+BW$1+BV21))&lt;="",INDIRECT("Basistabelle!H" &amp; ($A$1+BW$1+BV21))&gt;"")</formula>
    </cfRule>
  </conditionalFormatting>
  <conditionalFormatting sqref="BW22">
    <cfRule type="expression" dxfId="1587" priority="743">
      <formula>OR($A22="Sa",$A22="So")</formula>
    </cfRule>
    <cfRule type="expression" dxfId="1586" priority="744">
      <formula>AND(BV22&gt;0,INDIRECT("Basistabelle!G" &amp; ($A$1+BW$1+BV22))&lt;="",INDIRECT("Basistabelle!H" &amp; ($A$1+BW$1+BV22))&gt;"")</formula>
    </cfRule>
  </conditionalFormatting>
  <conditionalFormatting sqref="BW23">
    <cfRule type="expression" dxfId="1585" priority="741">
      <formula>OR($A23="Sa",$A23="So")</formula>
    </cfRule>
    <cfRule type="expression" dxfId="1584" priority="742">
      <formula>AND(BV23&gt;0,INDIRECT("Basistabelle!G" &amp; ($A$1+BW$1+BV23))&lt;="",INDIRECT("Basistabelle!H" &amp; ($A$1+BW$1+BV23))&gt;"")</formula>
    </cfRule>
  </conditionalFormatting>
  <conditionalFormatting sqref="BW24">
    <cfRule type="expression" dxfId="1583" priority="739">
      <formula>OR($A24="Sa",$A24="So")</formula>
    </cfRule>
    <cfRule type="expression" dxfId="1582" priority="740">
      <formula>AND(BV24&gt;0,INDIRECT("Basistabelle!G" &amp; ($A$1+BW$1+BV24))&lt;="",INDIRECT("Basistabelle!H" &amp; ($A$1+BW$1+BV24))&gt;"")</formula>
    </cfRule>
  </conditionalFormatting>
  <conditionalFormatting sqref="BW25">
    <cfRule type="expression" dxfId="1581" priority="737">
      <formula>OR($A25="Sa",$A25="So")</formula>
    </cfRule>
    <cfRule type="expression" dxfId="1580" priority="738">
      <formula>AND(BV25&gt;0,INDIRECT("Basistabelle!G" &amp; ($A$1+BW$1+BV25))&lt;="",INDIRECT("Basistabelle!H" &amp; ($A$1+BW$1+BV25))&gt;"")</formula>
    </cfRule>
  </conditionalFormatting>
  <conditionalFormatting sqref="BW26">
    <cfRule type="expression" dxfId="1579" priority="735">
      <formula>OR($A26="Sa",$A26="So")</formula>
    </cfRule>
    <cfRule type="expression" dxfId="1578" priority="736">
      <formula>AND(BV26&gt;0,INDIRECT("Basistabelle!G" &amp; ($A$1+BW$1+BV26))&lt;="",INDIRECT("Basistabelle!H" &amp; ($A$1+BW$1+BV26))&gt;"")</formula>
    </cfRule>
  </conditionalFormatting>
  <conditionalFormatting sqref="BW27">
    <cfRule type="expression" dxfId="1577" priority="733">
      <formula>OR($A27="Sa",$A27="So")</formula>
    </cfRule>
    <cfRule type="expression" dxfId="1576" priority="734">
      <formula>AND(BV27&gt;0,INDIRECT("Basistabelle!G" &amp; ($A$1+BW$1+BV27))&lt;="",INDIRECT("Basistabelle!H" &amp; ($A$1+BW$1+BV27))&gt;"")</formula>
    </cfRule>
  </conditionalFormatting>
  <conditionalFormatting sqref="BW28">
    <cfRule type="expression" dxfId="1575" priority="731">
      <formula>OR($A28="Sa",$A28="So")</formula>
    </cfRule>
    <cfRule type="expression" dxfId="1574" priority="732">
      <formula>AND(BV28&gt;0,INDIRECT("Basistabelle!G" &amp; ($A$1+BW$1+BV28))&lt;="",INDIRECT("Basistabelle!H" &amp; ($A$1+BW$1+BV28))&gt;"")</formula>
    </cfRule>
  </conditionalFormatting>
  <conditionalFormatting sqref="BW29">
    <cfRule type="expression" dxfId="1573" priority="729">
      <formula>OR($A29="Sa",$A29="So")</formula>
    </cfRule>
    <cfRule type="expression" dxfId="1572" priority="730">
      <formula>AND(BV29&gt;0,INDIRECT("Basistabelle!G" &amp; ($A$1+BW$1+BV29))&lt;="",INDIRECT("Basistabelle!H" &amp; ($A$1+BW$1+BV29))&gt;"")</formula>
    </cfRule>
  </conditionalFormatting>
  <conditionalFormatting sqref="BW30">
    <cfRule type="expression" dxfId="1571" priority="727">
      <formula>OR($A30="Sa",$A30="So")</formula>
    </cfRule>
    <cfRule type="expression" dxfId="1570" priority="728">
      <formula>AND(BV30&gt;0,INDIRECT("Basistabelle!G" &amp; ($A$1+BW$1+BV30))&lt;="",INDIRECT("Basistabelle!H" &amp; ($A$1+BW$1+BV30))&gt;"")</formula>
    </cfRule>
  </conditionalFormatting>
  <conditionalFormatting sqref="BW31">
    <cfRule type="expression" dxfId="1569" priority="725">
      <formula>OR($A31="Sa",$A31="So")</formula>
    </cfRule>
    <cfRule type="expression" dxfId="1568" priority="726">
      <formula>AND(BV31&gt;0,INDIRECT("Basistabelle!G" &amp; ($A$1+BW$1+BV31))&lt;="",INDIRECT("Basistabelle!H" &amp; ($A$1+BW$1+BV31))&gt;"")</formula>
    </cfRule>
  </conditionalFormatting>
  <conditionalFormatting sqref="BW32">
    <cfRule type="expression" dxfId="1567" priority="723">
      <formula>OR($A32="Sa",$A32="So")</formula>
    </cfRule>
    <cfRule type="expression" dxfId="1566" priority="724">
      <formula>AND(BV32&gt;0,INDIRECT("Basistabelle!G" &amp; ($A$1+BW$1+BV32))&lt;="",INDIRECT("Basistabelle!H" &amp; ($A$1+BW$1+BV32))&gt;"")</formula>
    </cfRule>
  </conditionalFormatting>
  <conditionalFormatting sqref="BW33">
    <cfRule type="expression" dxfId="1565" priority="721">
      <formula>OR($A33="Sa",$A33="So")</formula>
    </cfRule>
    <cfRule type="expression" dxfId="1564" priority="722">
      <formula>AND(BV33&gt;0,INDIRECT("Basistabelle!G" &amp; ($A$1+BW$1+BV33))&lt;="",INDIRECT("Basistabelle!H" &amp; ($A$1+BW$1+BV33))&gt;"")</formula>
    </cfRule>
  </conditionalFormatting>
  <conditionalFormatting sqref="BW34">
    <cfRule type="expression" dxfId="1563" priority="719">
      <formula>OR($A34="Sa",$A34="So")</formula>
    </cfRule>
    <cfRule type="expression" dxfId="1562" priority="720">
      <formula>AND(BV34&gt;0,INDIRECT("Basistabelle!G" &amp; ($A$1+BW$1+BV34))&lt;="",INDIRECT("Basistabelle!H" &amp; ($A$1+BW$1+BV34))&gt;"")</formula>
    </cfRule>
  </conditionalFormatting>
  <conditionalFormatting sqref="BW35">
    <cfRule type="expression" dxfId="1561" priority="717">
      <formula>OR($A35="Sa",$A35="So")</formula>
    </cfRule>
    <cfRule type="expression" dxfId="1560" priority="718">
      <formula>AND(BV35&gt;0,INDIRECT("Basistabelle!G" &amp; ($A$1+BW$1+BV35))&lt;="",INDIRECT("Basistabelle!H" &amp; ($A$1+BW$1+BV35))&gt;"")</formula>
    </cfRule>
  </conditionalFormatting>
  <conditionalFormatting sqref="BW36">
    <cfRule type="expression" dxfId="1559" priority="715">
      <formula>OR($A36="Sa",$A36="So")</formula>
    </cfRule>
    <cfRule type="expression" dxfId="1558" priority="716">
      <formula>AND(BV36&gt;0,INDIRECT("Basistabelle!G" &amp; ($A$1+BW$1+BV36))&lt;="",INDIRECT("Basistabelle!H" &amp; ($A$1+BW$1+BV36))&gt;"")</formula>
    </cfRule>
  </conditionalFormatting>
  <conditionalFormatting sqref="BW37">
    <cfRule type="expression" dxfId="1557" priority="713">
      <formula>OR($A37="Sa",$A37="So")</formula>
    </cfRule>
    <cfRule type="expression" dxfId="1556" priority="714">
      <formula>AND(BV37&gt;0,INDIRECT("Basistabelle!G" &amp; ($A$1+BW$1+BV37))&lt;="",INDIRECT("Basistabelle!H" &amp; ($A$1+BW$1+BV37))&gt;"")</formula>
    </cfRule>
  </conditionalFormatting>
  <conditionalFormatting sqref="BW38">
    <cfRule type="expression" dxfId="1555" priority="711">
      <formula>OR($A38="Sa",$A38="So")</formula>
    </cfRule>
    <cfRule type="expression" dxfId="1554" priority="712">
      <formula>AND(BV38&gt;0,INDIRECT("Basistabelle!G" &amp; ($A$1+BW$1+BV38))&lt;="",INDIRECT("Basistabelle!H" &amp; ($A$1+BW$1+BV38))&gt;"")</formula>
    </cfRule>
  </conditionalFormatting>
  <conditionalFormatting sqref="BW39">
    <cfRule type="expression" dxfId="1553" priority="709">
      <formula>OR($A39="Sa",$A39="So")</formula>
    </cfRule>
    <cfRule type="expression" dxfId="1552" priority="710">
      <formula>AND(BV39&gt;0,INDIRECT("Basistabelle!G" &amp; ($A$1+BW$1+BV39))&lt;="",INDIRECT("Basistabelle!H" &amp; ($A$1+BW$1+BV39))&gt;"")</formula>
    </cfRule>
  </conditionalFormatting>
  <conditionalFormatting sqref="BW40">
    <cfRule type="expression" dxfId="1551" priority="707">
      <formula>OR($A40="Sa",$A40="So")</formula>
    </cfRule>
    <cfRule type="expression" dxfId="1550" priority="708">
      <formula>AND(BV40&gt;0,INDIRECT("Basistabelle!G" &amp; ($A$1+BW$1+BV40))&lt;="",INDIRECT("Basistabelle!H" &amp; ($A$1+BW$1+BV40))&gt;"")</formula>
    </cfRule>
  </conditionalFormatting>
  <conditionalFormatting sqref="BW41">
    <cfRule type="expression" dxfId="1549" priority="705">
      <formula>OR($A41="Sa",$A41="So")</formula>
    </cfRule>
    <cfRule type="expression" dxfId="1548" priority="706">
      <formula>AND(BV41&gt;0,INDIRECT("Basistabelle!G" &amp; ($A$1+BW$1+BV41))&lt;="",INDIRECT("Basistabelle!H" &amp; ($A$1+BW$1+BV41))&gt;"")</formula>
    </cfRule>
  </conditionalFormatting>
  <conditionalFormatting sqref="CE3">
    <cfRule type="expression" dxfId="1547" priority="703">
      <formula>OR($A3="Sa",$A3="So")</formula>
    </cfRule>
    <cfRule type="expression" dxfId="1546" priority="704">
      <formula>AND(CD3&gt;0,INDIRECT("Basistabelle!G" &amp; ($A$1+CE$1+CD3))&lt;="",INDIRECT("Basistabelle!H" &amp; ($A$1+CE$1+CD3))&gt;"")</formula>
    </cfRule>
  </conditionalFormatting>
  <conditionalFormatting sqref="CE4">
    <cfRule type="expression" dxfId="1545" priority="701">
      <formula>OR($A4="Sa",$A4="So")</formula>
    </cfRule>
    <cfRule type="expression" dxfId="1544" priority="702">
      <formula>AND(CD4&gt;0,INDIRECT("Basistabelle!G" &amp; ($A$1+CE$1+CD4))&lt;="",INDIRECT("Basistabelle!H" &amp; ($A$1+CE$1+CD4))&gt;"")</formula>
    </cfRule>
  </conditionalFormatting>
  <conditionalFormatting sqref="CE5">
    <cfRule type="expression" dxfId="1543" priority="699">
      <formula>OR($A5="Sa",$A5="So")</formula>
    </cfRule>
    <cfRule type="expression" dxfId="1542" priority="700">
      <formula>AND(CD5&gt;0,INDIRECT("Basistabelle!G" &amp; ($A$1+CE$1+CD5))&lt;="",INDIRECT("Basistabelle!H" &amp; ($A$1+CE$1+CD5))&gt;"")</formula>
    </cfRule>
  </conditionalFormatting>
  <conditionalFormatting sqref="CE6">
    <cfRule type="expression" dxfId="1541" priority="697">
      <formula>OR($A6="Sa",$A6="So")</formula>
    </cfRule>
    <cfRule type="expression" dxfId="1540" priority="698">
      <formula>AND(CD6&gt;0,INDIRECT("Basistabelle!G" &amp; ($A$1+CE$1+CD6))&lt;="",INDIRECT("Basistabelle!H" &amp; ($A$1+CE$1+CD6))&gt;"")</formula>
    </cfRule>
  </conditionalFormatting>
  <conditionalFormatting sqref="CE7">
    <cfRule type="expression" dxfId="1539" priority="695">
      <formula>OR($A7="Sa",$A7="So")</formula>
    </cfRule>
    <cfRule type="expression" dxfId="1538" priority="696">
      <formula>AND(CD7&gt;0,INDIRECT("Basistabelle!G" &amp; ($A$1+CE$1+CD7))&lt;="",INDIRECT("Basistabelle!H" &amp; ($A$1+CE$1+CD7))&gt;"")</formula>
    </cfRule>
  </conditionalFormatting>
  <conditionalFormatting sqref="CE8">
    <cfRule type="expression" dxfId="1537" priority="693">
      <formula>OR($A8="Sa",$A8="So")</formula>
    </cfRule>
    <cfRule type="expression" dxfId="1536" priority="694">
      <formula>AND(CD8&gt;0,INDIRECT("Basistabelle!G" &amp; ($A$1+CE$1+CD8))&lt;="",INDIRECT("Basistabelle!H" &amp; ($A$1+CE$1+CD8))&gt;"")</formula>
    </cfRule>
  </conditionalFormatting>
  <conditionalFormatting sqref="CE9">
    <cfRule type="expression" dxfId="1535" priority="691">
      <formula>OR($A9="Sa",$A9="So")</formula>
    </cfRule>
    <cfRule type="expression" dxfId="1534" priority="692">
      <formula>AND(CD9&gt;0,INDIRECT("Basistabelle!G" &amp; ($A$1+CE$1+CD9))&lt;="",INDIRECT("Basistabelle!H" &amp; ($A$1+CE$1+CD9))&gt;"")</formula>
    </cfRule>
  </conditionalFormatting>
  <conditionalFormatting sqref="CE10">
    <cfRule type="expression" dxfId="1533" priority="689">
      <formula>OR($A10="Sa",$A10="So")</formula>
    </cfRule>
    <cfRule type="expression" dxfId="1532" priority="690">
      <formula>AND(CD10&gt;0,INDIRECT("Basistabelle!G" &amp; ($A$1+CE$1+CD10))&lt;="",INDIRECT("Basistabelle!H" &amp; ($A$1+CE$1+CD10))&gt;"")</formula>
    </cfRule>
  </conditionalFormatting>
  <conditionalFormatting sqref="CE11">
    <cfRule type="expression" dxfId="1531" priority="687">
      <formula>OR($A11="Sa",$A11="So")</formula>
    </cfRule>
    <cfRule type="expression" dxfId="1530" priority="688">
      <formula>AND(CD11&gt;0,INDIRECT("Basistabelle!G" &amp; ($A$1+CE$1+CD11))&lt;="",INDIRECT("Basistabelle!H" &amp; ($A$1+CE$1+CD11))&gt;"")</formula>
    </cfRule>
  </conditionalFormatting>
  <conditionalFormatting sqref="CE12">
    <cfRule type="expression" dxfId="1529" priority="685">
      <formula>OR($A12="Sa",$A12="So")</formula>
    </cfRule>
    <cfRule type="expression" dxfId="1528" priority="686">
      <formula>AND(CD12&gt;0,INDIRECT("Basistabelle!G" &amp; ($A$1+CE$1+CD12))&lt;="",INDIRECT("Basistabelle!H" &amp; ($A$1+CE$1+CD12))&gt;"")</formula>
    </cfRule>
  </conditionalFormatting>
  <conditionalFormatting sqref="CE13">
    <cfRule type="expression" dxfId="1527" priority="683">
      <formula>OR($A13="Sa",$A13="So")</formula>
    </cfRule>
    <cfRule type="expression" dxfId="1526" priority="684">
      <formula>AND(CD13&gt;0,INDIRECT("Basistabelle!G" &amp; ($A$1+CE$1+CD13))&lt;="",INDIRECT("Basistabelle!H" &amp; ($A$1+CE$1+CD13))&gt;"")</formula>
    </cfRule>
  </conditionalFormatting>
  <conditionalFormatting sqref="CE14">
    <cfRule type="expression" dxfId="1525" priority="681">
      <formula>OR($A14="Sa",$A14="So")</formula>
    </cfRule>
    <cfRule type="expression" dxfId="1524" priority="682">
      <formula>AND(CD14&gt;0,INDIRECT("Basistabelle!G" &amp; ($A$1+CE$1+CD14))&lt;="",INDIRECT("Basistabelle!H" &amp; ($A$1+CE$1+CD14))&gt;"")</formula>
    </cfRule>
  </conditionalFormatting>
  <conditionalFormatting sqref="CE15">
    <cfRule type="expression" dxfId="1523" priority="679">
      <formula>OR($A15="Sa",$A15="So")</formula>
    </cfRule>
    <cfRule type="expression" dxfId="1522" priority="680">
      <formula>AND(CD15&gt;0,INDIRECT("Basistabelle!G" &amp; ($A$1+CE$1+CD15))&lt;="",INDIRECT("Basistabelle!H" &amp; ($A$1+CE$1+CD15))&gt;"")</formula>
    </cfRule>
  </conditionalFormatting>
  <conditionalFormatting sqref="CE16">
    <cfRule type="expression" dxfId="1521" priority="677">
      <formula>OR($A16="Sa",$A16="So")</formula>
    </cfRule>
    <cfRule type="expression" dxfId="1520" priority="678">
      <formula>AND(CD16&gt;0,INDIRECT("Basistabelle!G" &amp; ($A$1+CE$1+CD16))&lt;="",INDIRECT("Basistabelle!H" &amp; ($A$1+CE$1+CD16))&gt;"")</formula>
    </cfRule>
  </conditionalFormatting>
  <conditionalFormatting sqref="CE17">
    <cfRule type="expression" dxfId="1519" priority="675">
      <formula>OR($A17="Sa",$A17="So")</formula>
    </cfRule>
    <cfRule type="expression" dxfId="1518" priority="676">
      <formula>AND(CD17&gt;0,INDIRECT("Basistabelle!G" &amp; ($A$1+CE$1+CD17))&lt;="",INDIRECT("Basistabelle!H" &amp; ($A$1+CE$1+CD17))&gt;"")</formula>
    </cfRule>
  </conditionalFormatting>
  <conditionalFormatting sqref="CE18">
    <cfRule type="expression" dxfId="1517" priority="673">
      <formula>OR($A18="Sa",$A18="So")</formula>
    </cfRule>
    <cfRule type="expression" dxfId="1516" priority="674">
      <formula>AND(CD18&gt;0,INDIRECT("Basistabelle!G" &amp; ($A$1+CE$1+CD18))&lt;="",INDIRECT("Basistabelle!H" &amp; ($A$1+CE$1+CD18))&gt;"")</formula>
    </cfRule>
  </conditionalFormatting>
  <conditionalFormatting sqref="CE19">
    <cfRule type="expression" dxfId="1515" priority="671">
      <formula>OR($A19="Sa",$A19="So")</formula>
    </cfRule>
    <cfRule type="expression" dxfId="1514" priority="672">
      <formula>AND(CD19&gt;0,INDIRECT("Basistabelle!G" &amp; ($A$1+CE$1+CD19))&lt;="",INDIRECT("Basistabelle!H" &amp; ($A$1+CE$1+CD19))&gt;"")</formula>
    </cfRule>
  </conditionalFormatting>
  <conditionalFormatting sqref="CE20">
    <cfRule type="expression" dxfId="1513" priority="669">
      <formula>OR($A20="Sa",$A20="So")</formula>
    </cfRule>
    <cfRule type="expression" dxfId="1512" priority="670">
      <formula>AND(CD20&gt;0,INDIRECT("Basistabelle!G" &amp; ($A$1+CE$1+CD20))&lt;="",INDIRECT("Basistabelle!H" &amp; ($A$1+CE$1+CD20))&gt;"")</formula>
    </cfRule>
  </conditionalFormatting>
  <conditionalFormatting sqref="CE21">
    <cfRule type="expression" dxfId="1511" priority="667">
      <formula>OR($A21="Sa",$A21="So")</formula>
    </cfRule>
    <cfRule type="expression" dxfId="1510" priority="668">
      <formula>AND(CD21&gt;0,INDIRECT("Basistabelle!G" &amp; ($A$1+CE$1+CD21))&lt;="",INDIRECT("Basistabelle!H" &amp; ($A$1+CE$1+CD21))&gt;"")</formula>
    </cfRule>
  </conditionalFormatting>
  <conditionalFormatting sqref="CE22">
    <cfRule type="expression" dxfId="1509" priority="665">
      <formula>OR($A22="Sa",$A22="So")</formula>
    </cfRule>
    <cfRule type="expression" dxfId="1508" priority="666">
      <formula>AND(CD22&gt;0,INDIRECT("Basistabelle!G" &amp; ($A$1+CE$1+CD22))&lt;="",INDIRECT("Basistabelle!H" &amp; ($A$1+CE$1+CD22))&gt;"")</formula>
    </cfRule>
  </conditionalFormatting>
  <conditionalFormatting sqref="CE23">
    <cfRule type="expression" dxfId="1507" priority="663">
      <formula>OR($A23="Sa",$A23="So")</formula>
    </cfRule>
    <cfRule type="expression" dxfId="1506" priority="664">
      <formula>AND(CD23&gt;0,INDIRECT("Basistabelle!G" &amp; ($A$1+CE$1+CD23))&lt;="",INDIRECT("Basistabelle!H" &amp; ($A$1+CE$1+CD23))&gt;"")</formula>
    </cfRule>
  </conditionalFormatting>
  <conditionalFormatting sqref="CE24">
    <cfRule type="expression" dxfId="1505" priority="661">
      <formula>OR($A24="Sa",$A24="So")</formula>
    </cfRule>
    <cfRule type="expression" dxfId="1504" priority="662">
      <formula>AND(CD24&gt;0,INDIRECT("Basistabelle!G" &amp; ($A$1+CE$1+CD24))&lt;="",INDIRECT("Basistabelle!H" &amp; ($A$1+CE$1+CD24))&gt;"")</formula>
    </cfRule>
  </conditionalFormatting>
  <conditionalFormatting sqref="CE25">
    <cfRule type="expression" dxfId="1503" priority="659">
      <formula>OR($A25="Sa",$A25="So")</formula>
    </cfRule>
    <cfRule type="expression" dxfId="1502" priority="660">
      <formula>AND(CD25&gt;0,INDIRECT("Basistabelle!G" &amp; ($A$1+CE$1+CD25))&lt;="",INDIRECT("Basistabelle!H" &amp; ($A$1+CE$1+CD25))&gt;"")</formula>
    </cfRule>
  </conditionalFormatting>
  <conditionalFormatting sqref="CE26">
    <cfRule type="expression" dxfId="1501" priority="657">
      <formula>OR($A26="Sa",$A26="So")</formula>
    </cfRule>
    <cfRule type="expression" dxfId="1500" priority="658">
      <formula>AND(CD26&gt;0,INDIRECT("Basistabelle!G" &amp; ($A$1+CE$1+CD26))&lt;="",INDIRECT("Basistabelle!H" &amp; ($A$1+CE$1+CD26))&gt;"")</formula>
    </cfRule>
  </conditionalFormatting>
  <conditionalFormatting sqref="CE27">
    <cfRule type="expression" dxfId="1499" priority="655">
      <formula>OR($A27="Sa",$A27="So")</formula>
    </cfRule>
    <cfRule type="expression" dxfId="1498" priority="656">
      <formula>AND(CD27&gt;0,INDIRECT("Basistabelle!G" &amp; ($A$1+CE$1+CD27))&lt;="",INDIRECT("Basistabelle!H" &amp; ($A$1+CE$1+CD27))&gt;"")</formula>
    </cfRule>
  </conditionalFormatting>
  <conditionalFormatting sqref="CE28">
    <cfRule type="expression" dxfId="1497" priority="653">
      <formula>OR($A28="Sa",$A28="So")</formula>
    </cfRule>
    <cfRule type="expression" dxfId="1496" priority="654">
      <formula>AND(CD28&gt;0,INDIRECT("Basistabelle!G" &amp; ($A$1+CE$1+CD28))&lt;="",INDIRECT("Basistabelle!H" &amp; ($A$1+CE$1+CD28))&gt;"")</formula>
    </cfRule>
  </conditionalFormatting>
  <conditionalFormatting sqref="CE29">
    <cfRule type="expression" dxfId="1495" priority="651">
      <formula>OR($A29="Sa",$A29="So")</formula>
    </cfRule>
    <cfRule type="expression" dxfId="1494" priority="652">
      <formula>AND(CD29&gt;0,INDIRECT("Basistabelle!G" &amp; ($A$1+CE$1+CD29))&lt;="",INDIRECT("Basistabelle!H" &amp; ($A$1+CE$1+CD29))&gt;"")</formula>
    </cfRule>
  </conditionalFormatting>
  <conditionalFormatting sqref="CE30">
    <cfRule type="expression" dxfId="1493" priority="649">
      <formula>OR($A30="Sa",$A30="So")</formula>
    </cfRule>
    <cfRule type="expression" dxfId="1492" priority="650">
      <formula>AND(CD30&gt;0,INDIRECT("Basistabelle!G" &amp; ($A$1+CE$1+CD30))&lt;="",INDIRECT("Basistabelle!H" &amp; ($A$1+CE$1+CD30))&gt;"")</formula>
    </cfRule>
  </conditionalFormatting>
  <conditionalFormatting sqref="CE31">
    <cfRule type="expression" dxfId="1491" priority="647">
      <formula>OR($A31="Sa",$A31="So")</formula>
    </cfRule>
    <cfRule type="expression" dxfId="1490" priority="648">
      <formula>AND(CD31&gt;0,INDIRECT("Basistabelle!G" &amp; ($A$1+CE$1+CD31))&lt;="",INDIRECT("Basistabelle!H" &amp; ($A$1+CE$1+CD31))&gt;"")</formula>
    </cfRule>
  </conditionalFormatting>
  <conditionalFormatting sqref="CE32">
    <cfRule type="expression" dxfId="1489" priority="645">
      <formula>OR($A32="Sa",$A32="So")</formula>
    </cfRule>
    <cfRule type="expression" dxfId="1488" priority="646">
      <formula>AND(CD32&gt;0,INDIRECT("Basistabelle!G" &amp; ($A$1+CE$1+CD32))&lt;="",INDIRECT("Basistabelle!H" &amp; ($A$1+CE$1+CD32))&gt;"")</formula>
    </cfRule>
  </conditionalFormatting>
  <conditionalFormatting sqref="CE33">
    <cfRule type="expression" dxfId="1487" priority="643">
      <formula>OR($A33="Sa",$A33="So")</formula>
    </cfRule>
    <cfRule type="expression" dxfId="1486" priority="644">
      <formula>AND(CD33&gt;0,INDIRECT("Basistabelle!G" &amp; ($A$1+CE$1+CD33))&lt;="",INDIRECT("Basistabelle!H" &amp; ($A$1+CE$1+CD33))&gt;"")</formula>
    </cfRule>
  </conditionalFormatting>
  <conditionalFormatting sqref="CE34">
    <cfRule type="expression" dxfId="1485" priority="641">
      <formula>OR($A34="Sa",$A34="So")</formula>
    </cfRule>
    <cfRule type="expression" dxfId="1484" priority="642">
      <formula>AND(CD34&gt;0,INDIRECT("Basistabelle!G" &amp; ($A$1+CE$1+CD34))&lt;="",INDIRECT("Basistabelle!H" &amp; ($A$1+CE$1+CD34))&gt;"")</formula>
    </cfRule>
  </conditionalFormatting>
  <conditionalFormatting sqref="CE35">
    <cfRule type="expression" dxfId="1483" priority="639">
      <formula>OR($A35="Sa",$A35="So")</formula>
    </cfRule>
    <cfRule type="expression" dxfId="1482" priority="640">
      <formula>AND(CD35&gt;0,INDIRECT("Basistabelle!G" &amp; ($A$1+CE$1+CD35))&lt;="",INDIRECT("Basistabelle!H" &amp; ($A$1+CE$1+CD35))&gt;"")</formula>
    </cfRule>
  </conditionalFormatting>
  <conditionalFormatting sqref="CE36">
    <cfRule type="expression" dxfId="1481" priority="637">
      <formula>OR($A36="Sa",$A36="So")</formula>
    </cfRule>
    <cfRule type="expression" dxfId="1480" priority="638">
      <formula>AND(CD36&gt;0,INDIRECT("Basistabelle!G" &amp; ($A$1+CE$1+CD36))&lt;="",INDIRECT("Basistabelle!H" &amp; ($A$1+CE$1+CD36))&gt;"")</formula>
    </cfRule>
  </conditionalFormatting>
  <conditionalFormatting sqref="CE37">
    <cfRule type="expression" dxfId="1479" priority="635">
      <formula>OR($A37="Sa",$A37="So")</formula>
    </cfRule>
    <cfRule type="expression" dxfId="1478" priority="636">
      <formula>AND(CD37&gt;0,INDIRECT("Basistabelle!G" &amp; ($A$1+CE$1+CD37))&lt;="",INDIRECT("Basistabelle!H" &amp; ($A$1+CE$1+CD37))&gt;"")</formula>
    </cfRule>
  </conditionalFormatting>
  <conditionalFormatting sqref="CE38">
    <cfRule type="expression" dxfId="1477" priority="633">
      <formula>OR($A38="Sa",$A38="So")</formula>
    </cfRule>
    <cfRule type="expression" dxfId="1476" priority="634">
      <formula>AND(CD38&gt;0,INDIRECT("Basistabelle!G" &amp; ($A$1+CE$1+CD38))&lt;="",INDIRECT("Basistabelle!H" &amp; ($A$1+CE$1+CD38))&gt;"")</formula>
    </cfRule>
  </conditionalFormatting>
  <conditionalFormatting sqref="CE39">
    <cfRule type="expression" dxfId="1475" priority="631">
      <formula>OR($A39="Sa",$A39="So")</formula>
    </cfRule>
    <cfRule type="expression" dxfId="1474" priority="632">
      <formula>AND(CD39&gt;0,INDIRECT("Basistabelle!G" &amp; ($A$1+CE$1+CD39))&lt;="",INDIRECT("Basistabelle!H" &amp; ($A$1+CE$1+CD39))&gt;"")</formula>
    </cfRule>
  </conditionalFormatting>
  <conditionalFormatting sqref="CE40">
    <cfRule type="expression" dxfId="1473" priority="629">
      <formula>OR($A40="Sa",$A40="So")</formula>
    </cfRule>
    <cfRule type="expression" dxfId="1472" priority="630">
      <formula>AND(CD40&gt;0,INDIRECT("Basistabelle!G" &amp; ($A$1+CE$1+CD40))&lt;="",INDIRECT("Basistabelle!H" &amp; ($A$1+CE$1+CD40))&gt;"")</formula>
    </cfRule>
  </conditionalFormatting>
  <conditionalFormatting sqref="CE41">
    <cfRule type="expression" dxfId="1471" priority="627">
      <formula>OR($A41="Sa",$A41="So")</formula>
    </cfRule>
    <cfRule type="expression" dxfId="1470" priority="628">
      <formula>AND(CD41&gt;0,INDIRECT("Basistabelle!G" &amp; ($A$1+CE$1+CD41))&lt;="",INDIRECT("Basistabelle!H" &amp; ($A$1+CE$1+CD41))&gt;"")</formula>
    </cfRule>
  </conditionalFormatting>
  <conditionalFormatting sqref="CM3">
    <cfRule type="expression" dxfId="1469" priority="625">
      <formula>OR($A3="Sa",$A3="So")</formula>
    </cfRule>
    <cfRule type="expression" dxfId="1468" priority="626">
      <formula>AND(CL3&gt;0,INDIRECT("Basistabelle!G" &amp; ($A$1+CM$1+CL3))&lt;="",INDIRECT("Basistabelle!H" &amp; ($A$1+CM$1+CL3))&gt;"")</formula>
    </cfRule>
  </conditionalFormatting>
  <conditionalFormatting sqref="CM4">
    <cfRule type="expression" dxfId="1467" priority="623">
      <formula>OR($A4="Sa",$A4="So")</formula>
    </cfRule>
    <cfRule type="expression" dxfId="1466" priority="624">
      <formula>AND(CL4&gt;0,INDIRECT("Basistabelle!G" &amp; ($A$1+CM$1+CL4))&lt;="",INDIRECT("Basistabelle!H" &amp; ($A$1+CM$1+CL4))&gt;"")</formula>
    </cfRule>
  </conditionalFormatting>
  <conditionalFormatting sqref="CM5">
    <cfRule type="expression" dxfId="1465" priority="621">
      <formula>OR($A5="Sa",$A5="So")</formula>
    </cfRule>
    <cfRule type="expression" dxfId="1464" priority="622">
      <formula>AND(CL5&gt;0,INDIRECT("Basistabelle!G" &amp; ($A$1+CM$1+CL5))&lt;="",INDIRECT("Basistabelle!H" &amp; ($A$1+CM$1+CL5))&gt;"")</formula>
    </cfRule>
  </conditionalFormatting>
  <conditionalFormatting sqref="CM6">
    <cfRule type="expression" dxfId="1463" priority="619">
      <formula>OR($A6="Sa",$A6="So")</formula>
    </cfRule>
    <cfRule type="expression" dxfId="1462" priority="620">
      <formula>AND(CL6&gt;0,INDIRECT("Basistabelle!G" &amp; ($A$1+CM$1+CL6))&lt;="",INDIRECT("Basistabelle!H" &amp; ($A$1+CM$1+CL6))&gt;"")</formula>
    </cfRule>
  </conditionalFormatting>
  <conditionalFormatting sqref="CM7">
    <cfRule type="expression" dxfId="1461" priority="617">
      <formula>OR($A7="Sa",$A7="So")</formula>
    </cfRule>
    <cfRule type="expression" dxfId="1460" priority="618">
      <formula>AND(CL7&gt;0,INDIRECT("Basistabelle!G" &amp; ($A$1+CM$1+CL7))&lt;="",INDIRECT("Basistabelle!H" &amp; ($A$1+CM$1+CL7))&gt;"")</formula>
    </cfRule>
  </conditionalFormatting>
  <conditionalFormatting sqref="CM8">
    <cfRule type="expression" dxfId="1459" priority="615">
      <formula>OR($A8="Sa",$A8="So")</formula>
    </cfRule>
    <cfRule type="expression" dxfId="1458" priority="616">
      <formula>AND(CL8&gt;0,INDIRECT("Basistabelle!G" &amp; ($A$1+CM$1+CL8))&lt;="",INDIRECT("Basistabelle!H" &amp; ($A$1+CM$1+CL8))&gt;"")</formula>
    </cfRule>
  </conditionalFormatting>
  <conditionalFormatting sqref="CM9">
    <cfRule type="expression" dxfId="1457" priority="613">
      <formula>OR($A9="Sa",$A9="So")</formula>
    </cfRule>
    <cfRule type="expression" dxfId="1456" priority="614">
      <formula>AND(CL9&gt;0,INDIRECT("Basistabelle!G" &amp; ($A$1+CM$1+CL9))&lt;="",INDIRECT("Basistabelle!H" &amp; ($A$1+CM$1+CL9))&gt;"")</formula>
    </cfRule>
  </conditionalFormatting>
  <conditionalFormatting sqref="CM10">
    <cfRule type="expression" dxfId="1455" priority="611">
      <formula>OR($A10="Sa",$A10="So")</formula>
    </cfRule>
    <cfRule type="expression" dxfId="1454" priority="612">
      <formula>AND(CL10&gt;0,INDIRECT("Basistabelle!G" &amp; ($A$1+CM$1+CL10))&lt;="",INDIRECT("Basistabelle!H" &amp; ($A$1+CM$1+CL10))&gt;"")</formula>
    </cfRule>
  </conditionalFormatting>
  <conditionalFormatting sqref="CM11">
    <cfRule type="expression" dxfId="1453" priority="609">
      <formula>OR($A11="Sa",$A11="So")</formula>
    </cfRule>
    <cfRule type="expression" dxfId="1452" priority="610">
      <formula>AND(CL11&gt;0,INDIRECT("Basistabelle!G" &amp; ($A$1+CM$1+CL11))&lt;="",INDIRECT("Basistabelle!H" &amp; ($A$1+CM$1+CL11))&gt;"")</formula>
    </cfRule>
  </conditionalFormatting>
  <conditionalFormatting sqref="CM12">
    <cfRule type="expression" dxfId="1451" priority="607">
      <formula>OR($A12="Sa",$A12="So")</formula>
    </cfRule>
    <cfRule type="expression" dxfId="1450" priority="608">
      <formula>AND(CL12&gt;0,INDIRECT("Basistabelle!G" &amp; ($A$1+CM$1+CL12))&lt;="",INDIRECT("Basistabelle!H" &amp; ($A$1+CM$1+CL12))&gt;"")</formula>
    </cfRule>
  </conditionalFormatting>
  <conditionalFormatting sqref="CM13">
    <cfRule type="expression" dxfId="1449" priority="605">
      <formula>OR($A13="Sa",$A13="So")</formula>
    </cfRule>
    <cfRule type="expression" dxfId="1448" priority="606">
      <formula>AND(CL13&gt;0,INDIRECT("Basistabelle!G" &amp; ($A$1+CM$1+CL13))&lt;="",INDIRECT("Basistabelle!H" &amp; ($A$1+CM$1+CL13))&gt;"")</formula>
    </cfRule>
  </conditionalFormatting>
  <conditionalFormatting sqref="CM14">
    <cfRule type="expression" dxfId="1447" priority="603">
      <formula>OR($A14="Sa",$A14="So")</formula>
    </cfRule>
    <cfRule type="expression" dxfId="1446" priority="604">
      <formula>AND(CL14&gt;0,INDIRECT("Basistabelle!G" &amp; ($A$1+CM$1+CL14))&lt;="",INDIRECT("Basistabelle!H" &amp; ($A$1+CM$1+CL14))&gt;"")</formula>
    </cfRule>
  </conditionalFormatting>
  <conditionalFormatting sqref="CM15">
    <cfRule type="expression" dxfId="1445" priority="601">
      <formula>OR($A15="Sa",$A15="So")</formula>
    </cfRule>
    <cfRule type="expression" dxfId="1444" priority="602">
      <formula>AND(CL15&gt;0,INDIRECT("Basistabelle!G" &amp; ($A$1+CM$1+CL15))&lt;="",INDIRECT("Basistabelle!H" &amp; ($A$1+CM$1+CL15))&gt;"")</formula>
    </cfRule>
  </conditionalFormatting>
  <conditionalFormatting sqref="CM16">
    <cfRule type="expression" dxfId="1443" priority="599">
      <formula>OR($A16="Sa",$A16="So")</formula>
    </cfRule>
    <cfRule type="expression" dxfId="1442" priority="600">
      <formula>AND(CL16&gt;0,INDIRECT("Basistabelle!G" &amp; ($A$1+CM$1+CL16))&lt;="",INDIRECT("Basistabelle!H" &amp; ($A$1+CM$1+CL16))&gt;"")</formula>
    </cfRule>
  </conditionalFormatting>
  <conditionalFormatting sqref="CM17">
    <cfRule type="expression" dxfId="1441" priority="597">
      <formula>OR($A17="Sa",$A17="So")</formula>
    </cfRule>
    <cfRule type="expression" dxfId="1440" priority="598">
      <formula>AND(CL17&gt;0,INDIRECT("Basistabelle!G" &amp; ($A$1+CM$1+CL17))&lt;="",INDIRECT("Basistabelle!H" &amp; ($A$1+CM$1+CL17))&gt;"")</formula>
    </cfRule>
  </conditionalFormatting>
  <conditionalFormatting sqref="CM18">
    <cfRule type="expression" dxfId="1439" priority="595">
      <formula>OR($A18="Sa",$A18="So")</formula>
    </cfRule>
    <cfRule type="expression" dxfId="1438" priority="596">
      <formula>AND(CL18&gt;0,INDIRECT("Basistabelle!G" &amp; ($A$1+CM$1+CL18))&lt;="",INDIRECT("Basistabelle!H" &amp; ($A$1+CM$1+CL18))&gt;"")</formula>
    </cfRule>
  </conditionalFormatting>
  <conditionalFormatting sqref="CM19">
    <cfRule type="expression" dxfId="1437" priority="593">
      <formula>OR($A19="Sa",$A19="So")</formula>
    </cfRule>
    <cfRule type="expression" dxfId="1436" priority="594">
      <formula>AND(CL19&gt;0,INDIRECT("Basistabelle!G" &amp; ($A$1+CM$1+CL19))&lt;="",INDIRECT("Basistabelle!H" &amp; ($A$1+CM$1+CL19))&gt;"")</formula>
    </cfRule>
  </conditionalFormatting>
  <conditionalFormatting sqref="CM20">
    <cfRule type="expression" dxfId="1435" priority="591">
      <formula>OR($A20="Sa",$A20="So")</formula>
    </cfRule>
    <cfRule type="expression" dxfId="1434" priority="592">
      <formula>AND(CL20&gt;0,INDIRECT("Basistabelle!G" &amp; ($A$1+CM$1+CL20))&lt;="",INDIRECT("Basistabelle!H" &amp; ($A$1+CM$1+CL20))&gt;"")</formula>
    </cfRule>
  </conditionalFormatting>
  <conditionalFormatting sqref="CM21">
    <cfRule type="expression" dxfId="1433" priority="589">
      <formula>OR($A21="Sa",$A21="So")</formula>
    </cfRule>
    <cfRule type="expression" dxfId="1432" priority="590">
      <formula>AND(CL21&gt;0,INDIRECT("Basistabelle!G" &amp; ($A$1+CM$1+CL21))&lt;="",INDIRECT("Basistabelle!H" &amp; ($A$1+CM$1+CL21))&gt;"")</formula>
    </cfRule>
  </conditionalFormatting>
  <conditionalFormatting sqref="CM22">
    <cfRule type="expression" dxfId="1431" priority="587">
      <formula>OR($A22="Sa",$A22="So")</formula>
    </cfRule>
    <cfRule type="expression" dxfId="1430" priority="588">
      <formula>AND(CL22&gt;0,INDIRECT("Basistabelle!G" &amp; ($A$1+CM$1+CL22))&lt;="",INDIRECT("Basistabelle!H" &amp; ($A$1+CM$1+CL22))&gt;"")</formula>
    </cfRule>
  </conditionalFormatting>
  <conditionalFormatting sqref="CM23">
    <cfRule type="expression" dxfId="1429" priority="585">
      <formula>OR($A23="Sa",$A23="So")</formula>
    </cfRule>
    <cfRule type="expression" dxfId="1428" priority="586">
      <formula>AND(CL23&gt;0,INDIRECT("Basistabelle!G" &amp; ($A$1+CM$1+CL23))&lt;="",INDIRECT("Basistabelle!H" &amp; ($A$1+CM$1+CL23))&gt;"")</formula>
    </cfRule>
  </conditionalFormatting>
  <conditionalFormatting sqref="CM24">
    <cfRule type="expression" dxfId="1427" priority="583">
      <formula>OR($A24="Sa",$A24="So")</formula>
    </cfRule>
    <cfRule type="expression" dxfId="1426" priority="584">
      <formula>AND(CL24&gt;0,INDIRECT("Basistabelle!G" &amp; ($A$1+CM$1+CL24))&lt;="",INDIRECT("Basistabelle!H" &amp; ($A$1+CM$1+CL24))&gt;"")</formula>
    </cfRule>
  </conditionalFormatting>
  <conditionalFormatting sqref="CM25">
    <cfRule type="expression" dxfId="1425" priority="581">
      <formula>OR($A25="Sa",$A25="So")</formula>
    </cfRule>
    <cfRule type="expression" dxfId="1424" priority="582">
      <formula>AND(CL25&gt;0,INDIRECT("Basistabelle!G" &amp; ($A$1+CM$1+CL25))&lt;="",INDIRECT("Basistabelle!H" &amp; ($A$1+CM$1+CL25))&gt;"")</formula>
    </cfRule>
  </conditionalFormatting>
  <conditionalFormatting sqref="CM26">
    <cfRule type="expression" dxfId="1423" priority="579">
      <formula>OR($A26="Sa",$A26="So")</formula>
    </cfRule>
    <cfRule type="expression" dxfId="1422" priority="580">
      <formula>AND(CL26&gt;0,INDIRECT("Basistabelle!G" &amp; ($A$1+CM$1+CL26))&lt;="",INDIRECT("Basistabelle!H" &amp; ($A$1+CM$1+CL26))&gt;"")</formula>
    </cfRule>
  </conditionalFormatting>
  <conditionalFormatting sqref="CM27">
    <cfRule type="expression" dxfId="1421" priority="577">
      <formula>OR($A27="Sa",$A27="So")</formula>
    </cfRule>
    <cfRule type="expression" dxfId="1420" priority="578">
      <formula>AND(CL27&gt;0,INDIRECT("Basistabelle!G" &amp; ($A$1+CM$1+CL27))&lt;="",INDIRECT("Basistabelle!H" &amp; ($A$1+CM$1+CL27))&gt;"")</formula>
    </cfRule>
  </conditionalFormatting>
  <conditionalFormatting sqref="CM28">
    <cfRule type="expression" dxfId="1419" priority="575">
      <formula>OR($A28="Sa",$A28="So")</formula>
    </cfRule>
    <cfRule type="expression" dxfId="1418" priority="576">
      <formula>AND(CL28&gt;0,INDIRECT("Basistabelle!G" &amp; ($A$1+CM$1+CL28))&lt;="",INDIRECT("Basistabelle!H" &amp; ($A$1+CM$1+CL28))&gt;"")</formula>
    </cfRule>
  </conditionalFormatting>
  <conditionalFormatting sqref="CM29">
    <cfRule type="expression" dxfId="1417" priority="573">
      <formula>OR($A29="Sa",$A29="So")</formula>
    </cfRule>
    <cfRule type="expression" dxfId="1416" priority="574">
      <formula>AND(CL29&gt;0,INDIRECT("Basistabelle!G" &amp; ($A$1+CM$1+CL29))&lt;="",INDIRECT("Basistabelle!H" &amp; ($A$1+CM$1+CL29))&gt;"")</formula>
    </cfRule>
  </conditionalFormatting>
  <conditionalFormatting sqref="CM30">
    <cfRule type="expression" dxfId="1415" priority="571">
      <formula>OR($A30="Sa",$A30="So")</formula>
    </cfRule>
    <cfRule type="expression" dxfId="1414" priority="572">
      <formula>AND(CL30&gt;0,INDIRECT("Basistabelle!G" &amp; ($A$1+CM$1+CL30))&lt;="",INDIRECT("Basistabelle!H" &amp; ($A$1+CM$1+CL30))&gt;"")</formula>
    </cfRule>
  </conditionalFormatting>
  <conditionalFormatting sqref="CM31">
    <cfRule type="expression" dxfId="1413" priority="569">
      <formula>OR($A31="Sa",$A31="So")</formula>
    </cfRule>
    <cfRule type="expression" dxfId="1412" priority="570">
      <formula>AND(CL31&gt;0,INDIRECT("Basistabelle!G" &amp; ($A$1+CM$1+CL31))&lt;="",INDIRECT("Basistabelle!H" &amp; ($A$1+CM$1+CL31))&gt;"")</formula>
    </cfRule>
  </conditionalFormatting>
  <conditionalFormatting sqref="CM32">
    <cfRule type="expression" dxfId="1411" priority="567">
      <formula>OR($A32="Sa",$A32="So")</formula>
    </cfRule>
    <cfRule type="expression" dxfId="1410" priority="568">
      <formula>AND(CL32&gt;0,INDIRECT("Basistabelle!G" &amp; ($A$1+CM$1+CL32))&lt;="",INDIRECT("Basistabelle!H" &amp; ($A$1+CM$1+CL32))&gt;"")</formula>
    </cfRule>
  </conditionalFormatting>
  <conditionalFormatting sqref="CM33">
    <cfRule type="expression" dxfId="1409" priority="565">
      <formula>OR($A33="Sa",$A33="So")</formula>
    </cfRule>
    <cfRule type="expression" dxfId="1408" priority="566">
      <formula>AND(CL33&gt;0,INDIRECT("Basistabelle!G" &amp; ($A$1+CM$1+CL33))&lt;="",INDIRECT("Basistabelle!H" &amp; ($A$1+CM$1+CL33))&gt;"")</formula>
    </cfRule>
  </conditionalFormatting>
  <conditionalFormatting sqref="CM34">
    <cfRule type="expression" dxfId="1407" priority="563">
      <formula>OR($A34="Sa",$A34="So")</formula>
    </cfRule>
    <cfRule type="expression" dxfId="1406" priority="564">
      <formula>AND(CL34&gt;0,INDIRECT("Basistabelle!G" &amp; ($A$1+CM$1+CL34))&lt;="",INDIRECT("Basistabelle!H" &amp; ($A$1+CM$1+CL34))&gt;"")</formula>
    </cfRule>
  </conditionalFormatting>
  <conditionalFormatting sqref="CM35">
    <cfRule type="expression" dxfId="1405" priority="561">
      <formula>OR($A35="Sa",$A35="So")</formula>
    </cfRule>
    <cfRule type="expression" dxfId="1404" priority="562">
      <formula>AND(CL35&gt;0,INDIRECT("Basistabelle!G" &amp; ($A$1+CM$1+CL35))&lt;="",INDIRECT("Basistabelle!H" &amp; ($A$1+CM$1+CL35))&gt;"")</formula>
    </cfRule>
  </conditionalFormatting>
  <conditionalFormatting sqref="CM36">
    <cfRule type="expression" dxfId="1403" priority="559">
      <formula>OR($A36="Sa",$A36="So")</formula>
    </cfRule>
    <cfRule type="expression" dxfId="1402" priority="560">
      <formula>AND(CL36&gt;0,INDIRECT("Basistabelle!G" &amp; ($A$1+CM$1+CL36))&lt;="",INDIRECT("Basistabelle!H" &amp; ($A$1+CM$1+CL36))&gt;"")</formula>
    </cfRule>
  </conditionalFormatting>
  <conditionalFormatting sqref="CM37">
    <cfRule type="expression" dxfId="1401" priority="557">
      <formula>OR($A37="Sa",$A37="So")</formula>
    </cfRule>
    <cfRule type="expression" dxfId="1400" priority="558">
      <formula>AND(CL37&gt;0,INDIRECT("Basistabelle!G" &amp; ($A$1+CM$1+CL37))&lt;="",INDIRECT("Basistabelle!H" &amp; ($A$1+CM$1+CL37))&gt;"")</formula>
    </cfRule>
  </conditionalFormatting>
  <conditionalFormatting sqref="CM38">
    <cfRule type="expression" dxfId="1399" priority="555">
      <formula>OR($A38="Sa",$A38="So")</formula>
    </cfRule>
    <cfRule type="expression" dxfId="1398" priority="556">
      <formula>AND(CL38&gt;0,INDIRECT("Basistabelle!G" &amp; ($A$1+CM$1+CL38))&lt;="",INDIRECT("Basistabelle!H" &amp; ($A$1+CM$1+CL38))&gt;"")</formula>
    </cfRule>
  </conditionalFormatting>
  <conditionalFormatting sqref="CM39">
    <cfRule type="expression" dxfId="1397" priority="553">
      <formula>OR($A39="Sa",$A39="So")</formula>
    </cfRule>
    <cfRule type="expression" dxfId="1396" priority="554">
      <formula>AND(CL39&gt;0,INDIRECT("Basistabelle!G" &amp; ($A$1+CM$1+CL39))&lt;="",INDIRECT("Basistabelle!H" &amp; ($A$1+CM$1+CL39))&gt;"")</formula>
    </cfRule>
  </conditionalFormatting>
  <conditionalFormatting sqref="CM40">
    <cfRule type="expression" dxfId="1395" priority="551">
      <formula>OR($A40="Sa",$A40="So")</formula>
    </cfRule>
    <cfRule type="expression" dxfId="1394" priority="552">
      <formula>AND(CL40&gt;0,INDIRECT("Basistabelle!G" &amp; ($A$1+CM$1+CL40))&lt;="",INDIRECT("Basistabelle!H" &amp; ($A$1+CM$1+CL40))&gt;"")</formula>
    </cfRule>
  </conditionalFormatting>
  <conditionalFormatting sqref="CM41">
    <cfRule type="expression" dxfId="1393" priority="549">
      <formula>OR($A41="Sa",$A41="So")</formula>
    </cfRule>
    <cfRule type="expression" dxfId="1392" priority="550">
      <formula>AND(CL41&gt;0,INDIRECT("Basistabelle!G" &amp; ($A$1+CM$1+CL41))&lt;="",INDIRECT("Basistabelle!H" &amp; ($A$1+CM$1+CL41))&gt;"")</formula>
    </cfRule>
  </conditionalFormatting>
  <conditionalFormatting sqref="BG3">
    <cfRule type="expression" dxfId="1391" priority="547">
      <formula>OR($A3="Sa",$A3="So")</formula>
    </cfRule>
    <cfRule type="expression" dxfId="1390" priority="548">
      <formula>AND(BF3&gt;0,INDIRECT("Basistabelle!G" &amp; ($A$1+BG$1+BF3))&lt;="",INDIRECT("Basistabelle!H" &amp; ($A$1+BG$1+BF3))&gt;"")</formula>
    </cfRule>
  </conditionalFormatting>
  <conditionalFormatting sqref="BG4">
    <cfRule type="expression" dxfId="1389" priority="545">
      <formula>OR($A4="Sa",$A4="So")</formula>
    </cfRule>
    <cfRule type="expression" dxfId="1388" priority="546">
      <formula>AND(BF4&gt;0,INDIRECT("Basistabelle!G" &amp; ($A$1+BG$1+BF4))&lt;="",INDIRECT("Basistabelle!H" &amp; ($A$1+BG$1+BF4))&gt;"")</formula>
    </cfRule>
  </conditionalFormatting>
  <conditionalFormatting sqref="BG5">
    <cfRule type="expression" dxfId="1387" priority="543">
      <formula>OR($A5="Sa",$A5="So")</formula>
    </cfRule>
    <cfRule type="expression" dxfId="1386" priority="544">
      <formula>AND(BF5&gt;0,INDIRECT("Basistabelle!G" &amp; ($A$1+BG$1+BF5))&lt;="",INDIRECT("Basistabelle!H" &amp; ($A$1+BG$1+BF5))&gt;"")</formula>
    </cfRule>
  </conditionalFormatting>
  <conditionalFormatting sqref="BG6">
    <cfRule type="expression" dxfId="1385" priority="541">
      <formula>OR($A6="Sa",$A6="So")</formula>
    </cfRule>
    <cfRule type="expression" dxfId="1384" priority="542">
      <formula>AND(BF6&gt;0,INDIRECT("Basistabelle!G" &amp; ($A$1+BG$1+BF6))&lt;="",INDIRECT("Basistabelle!H" &amp; ($A$1+BG$1+BF6))&gt;"")</formula>
    </cfRule>
  </conditionalFormatting>
  <conditionalFormatting sqref="BG7">
    <cfRule type="expression" dxfId="1383" priority="539">
      <formula>OR($A7="Sa",$A7="So")</formula>
    </cfRule>
    <cfRule type="expression" dxfId="1382" priority="540">
      <formula>AND(BF7&gt;0,INDIRECT("Basistabelle!G" &amp; ($A$1+BG$1+BF7))&lt;="",INDIRECT("Basistabelle!H" &amp; ($A$1+BG$1+BF7))&gt;"")</formula>
    </cfRule>
  </conditionalFormatting>
  <conditionalFormatting sqref="BG8">
    <cfRule type="expression" dxfId="1381" priority="537">
      <formula>OR($A8="Sa",$A8="So")</formula>
    </cfRule>
    <cfRule type="expression" dxfId="1380" priority="538">
      <formula>AND(BF8&gt;0,INDIRECT("Basistabelle!G" &amp; ($A$1+BG$1+BF8))&lt;="",INDIRECT("Basistabelle!H" &amp; ($A$1+BG$1+BF8))&gt;"")</formula>
    </cfRule>
  </conditionalFormatting>
  <conditionalFormatting sqref="BG9">
    <cfRule type="expression" dxfId="1379" priority="535">
      <formula>OR($A9="Sa",$A9="So")</formula>
    </cfRule>
    <cfRule type="expression" dxfId="1378" priority="536">
      <formula>AND(BF9&gt;0,INDIRECT("Basistabelle!G" &amp; ($A$1+BG$1+BF9))&lt;="",INDIRECT("Basistabelle!H" &amp; ($A$1+BG$1+BF9))&gt;"")</formula>
    </cfRule>
  </conditionalFormatting>
  <conditionalFormatting sqref="BG10">
    <cfRule type="expression" dxfId="1377" priority="533">
      <formula>OR($A10="Sa",$A10="So")</formula>
    </cfRule>
    <cfRule type="expression" dxfId="1376" priority="534">
      <formula>AND(BF10&gt;0,INDIRECT("Basistabelle!G" &amp; ($A$1+BG$1+BF10))&lt;="",INDIRECT("Basistabelle!H" &amp; ($A$1+BG$1+BF10))&gt;"")</formula>
    </cfRule>
  </conditionalFormatting>
  <conditionalFormatting sqref="BG11">
    <cfRule type="expression" dxfId="1375" priority="531">
      <formula>OR($A11="Sa",$A11="So")</formula>
    </cfRule>
    <cfRule type="expression" dxfId="1374" priority="532">
      <formula>AND(BF11&gt;0,INDIRECT("Basistabelle!G" &amp; ($A$1+BG$1+BF11))&lt;="",INDIRECT("Basistabelle!H" &amp; ($A$1+BG$1+BF11))&gt;"")</formula>
    </cfRule>
  </conditionalFormatting>
  <conditionalFormatting sqref="BG12">
    <cfRule type="expression" dxfId="1373" priority="529">
      <formula>OR($A12="Sa",$A12="So")</formula>
    </cfRule>
    <cfRule type="expression" dxfId="1372" priority="530">
      <formula>AND(BF12&gt;0,INDIRECT("Basistabelle!G" &amp; ($A$1+BG$1+BF12))&lt;="",INDIRECT("Basistabelle!H" &amp; ($A$1+BG$1+BF12))&gt;"")</formula>
    </cfRule>
  </conditionalFormatting>
  <conditionalFormatting sqref="BG13">
    <cfRule type="expression" dxfId="1371" priority="527">
      <formula>OR($A13="Sa",$A13="So")</formula>
    </cfRule>
    <cfRule type="expression" dxfId="1370" priority="528">
      <formula>AND(BF13&gt;0,INDIRECT("Basistabelle!G" &amp; ($A$1+BG$1+BF13))&lt;="",INDIRECT("Basistabelle!H" &amp; ($A$1+BG$1+BF13))&gt;"")</formula>
    </cfRule>
  </conditionalFormatting>
  <conditionalFormatting sqref="BG14">
    <cfRule type="expression" dxfId="1369" priority="525">
      <formula>OR($A14="Sa",$A14="So")</formula>
    </cfRule>
    <cfRule type="expression" dxfId="1368" priority="526">
      <formula>AND(BF14&gt;0,INDIRECT("Basistabelle!G" &amp; ($A$1+BG$1+BF14))&lt;="",INDIRECT("Basistabelle!H" &amp; ($A$1+BG$1+BF14))&gt;"")</formula>
    </cfRule>
  </conditionalFormatting>
  <conditionalFormatting sqref="BG15">
    <cfRule type="expression" dxfId="1367" priority="523">
      <formula>OR($A15="Sa",$A15="So")</formula>
    </cfRule>
    <cfRule type="expression" dxfId="1366" priority="524">
      <formula>AND(BF15&gt;0,INDIRECT("Basistabelle!G" &amp; ($A$1+BG$1+BF15))&lt;="",INDIRECT("Basistabelle!H" &amp; ($A$1+BG$1+BF15))&gt;"")</formula>
    </cfRule>
  </conditionalFormatting>
  <conditionalFormatting sqref="BG16">
    <cfRule type="expression" dxfId="1365" priority="521">
      <formula>OR($A16="Sa",$A16="So")</formula>
    </cfRule>
    <cfRule type="expression" dxfId="1364" priority="522">
      <formula>AND(BF16&gt;0,INDIRECT("Basistabelle!G" &amp; ($A$1+BG$1+BF16))&lt;="",INDIRECT("Basistabelle!H" &amp; ($A$1+BG$1+BF16))&gt;"")</formula>
    </cfRule>
  </conditionalFormatting>
  <conditionalFormatting sqref="BG17">
    <cfRule type="expression" dxfId="1363" priority="519">
      <formula>OR($A17="Sa",$A17="So")</formula>
    </cfRule>
    <cfRule type="expression" dxfId="1362" priority="520">
      <formula>AND(BF17&gt;0,INDIRECT("Basistabelle!G" &amp; ($A$1+BG$1+BF17))&lt;="",INDIRECT("Basistabelle!H" &amp; ($A$1+BG$1+BF17))&gt;"")</formula>
    </cfRule>
  </conditionalFormatting>
  <conditionalFormatting sqref="BG18">
    <cfRule type="expression" dxfId="1361" priority="517">
      <formula>OR($A18="Sa",$A18="So")</formula>
    </cfRule>
    <cfRule type="expression" dxfId="1360" priority="518">
      <formula>AND(BF18&gt;0,INDIRECT("Basistabelle!G" &amp; ($A$1+BG$1+BF18))&lt;="",INDIRECT("Basistabelle!H" &amp; ($A$1+BG$1+BF18))&gt;"")</formula>
    </cfRule>
  </conditionalFormatting>
  <conditionalFormatting sqref="BG19">
    <cfRule type="expression" dxfId="1359" priority="515">
      <formula>OR($A19="Sa",$A19="So")</formula>
    </cfRule>
    <cfRule type="expression" dxfId="1358" priority="516">
      <formula>AND(BF19&gt;0,INDIRECT("Basistabelle!G" &amp; ($A$1+BG$1+BF19))&lt;="",INDIRECT("Basistabelle!H" &amp; ($A$1+BG$1+BF19))&gt;"")</formula>
    </cfRule>
  </conditionalFormatting>
  <conditionalFormatting sqref="BG20">
    <cfRule type="expression" dxfId="1357" priority="513">
      <formula>OR($A20="Sa",$A20="So")</formula>
    </cfRule>
    <cfRule type="expression" dxfId="1356" priority="514">
      <formula>AND(BF20&gt;0,INDIRECT("Basistabelle!G" &amp; ($A$1+BG$1+BF20))&lt;="",INDIRECT("Basistabelle!H" &amp; ($A$1+BG$1+BF20))&gt;"")</formula>
    </cfRule>
  </conditionalFormatting>
  <conditionalFormatting sqref="BG21">
    <cfRule type="expression" dxfId="1355" priority="511">
      <formula>OR($A21="Sa",$A21="So")</formula>
    </cfRule>
    <cfRule type="expression" dxfId="1354" priority="512">
      <formula>AND(BF21&gt;0,INDIRECT("Basistabelle!G" &amp; ($A$1+BG$1+BF21))&lt;="",INDIRECT("Basistabelle!H" &amp; ($A$1+BG$1+BF21))&gt;"")</formula>
    </cfRule>
  </conditionalFormatting>
  <conditionalFormatting sqref="BG22">
    <cfRule type="expression" dxfId="1353" priority="509">
      <formula>OR($A22="Sa",$A22="So")</formula>
    </cfRule>
    <cfRule type="expression" dxfId="1352" priority="510">
      <formula>AND(BF22&gt;0,INDIRECT("Basistabelle!G" &amp; ($A$1+BG$1+BF22))&lt;="",INDIRECT("Basistabelle!H" &amp; ($A$1+BG$1+BF22))&gt;"")</formula>
    </cfRule>
  </conditionalFormatting>
  <conditionalFormatting sqref="BG23">
    <cfRule type="expression" dxfId="1351" priority="507">
      <formula>OR($A23="Sa",$A23="So")</formula>
    </cfRule>
    <cfRule type="expression" dxfId="1350" priority="508">
      <formula>AND(BF23&gt;0,INDIRECT("Basistabelle!G" &amp; ($A$1+BG$1+BF23))&lt;="",INDIRECT("Basistabelle!H" &amp; ($A$1+BG$1+BF23))&gt;"")</formula>
    </cfRule>
  </conditionalFormatting>
  <conditionalFormatting sqref="BG24">
    <cfRule type="expression" dxfId="1349" priority="505">
      <formula>OR($A24="Sa",$A24="So")</formula>
    </cfRule>
    <cfRule type="expression" dxfId="1348" priority="506">
      <formula>AND(BF24&gt;0,INDIRECT("Basistabelle!G" &amp; ($A$1+BG$1+BF24))&lt;="",INDIRECT("Basistabelle!H" &amp; ($A$1+BG$1+BF24))&gt;"")</formula>
    </cfRule>
  </conditionalFormatting>
  <conditionalFormatting sqref="BG25">
    <cfRule type="expression" dxfId="1347" priority="503">
      <formula>OR($A25="Sa",$A25="So")</formula>
    </cfRule>
    <cfRule type="expression" dxfId="1346" priority="504">
      <formula>AND(BF25&gt;0,INDIRECT("Basistabelle!G" &amp; ($A$1+BG$1+BF25))&lt;="",INDIRECT("Basistabelle!H" &amp; ($A$1+BG$1+BF25))&gt;"")</formula>
    </cfRule>
  </conditionalFormatting>
  <conditionalFormatting sqref="BG26">
    <cfRule type="expression" dxfId="1345" priority="501">
      <formula>OR($A26="Sa",$A26="So")</formula>
    </cfRule>
    <cfRule type="expression" dxfId="1344" priority="502">
      <formula>AND(BF26&gt;0,INDIRECT("Basistabelle!G" &amp; ($A$1+BG$1+BF26))&lt;="",INDIRECT("Basistabelle!H" &amp; ($A$1+BG$1+BF26))&gt;"")</formula>
    </cfRule>
  </conditionalFormatting>
  <conditionalFormatting sqref="BG27">
    <cfRule type="expression" dxfId="1343" priority="499">
      <formula>OR($A27="Sa",$A27="So")</formula>
    </cfRule>
    <cfRule type="expression" dxfId="1342" priority="500">
      <formula>AND(BF27&gt;0,INDIRECT("Basistabelle!G" &amp; ($A$1+BG$1+BF27))&lt;="",INDIRECT("Basistabelle!H" &amp; ($A$1+BG$1+BF27))&gt;"")</formula>
    </cfRule>
  </conditionalFormatting>
  <conditionalFormatting sqref="BG28">
    <cfRule type="expression" dxfId="1341" priority="497">
      <formula>OR($A28="Sa",$A28="So")</formula>
    </cfRule>
    <cfRule type="expression" dxfId="1340" priority="498">
      <formula>AND(BF28&gt;0,INDIRECT("Basistabelle!G" &amp; ($A$1+BG$1+BF28))&lt;="",INDIRECT("Basistabelle!H" &amp; ($A$1+BG$1+BF28))&gt;"")</formula>
    </cfRule>
  </conditionalFormatting>
  <conditionalFormatting sqref="BG29">
    <cfRule type="expression" dxfId="1339" priority="495">
      <formula>OR($A29="Sa",$A29="So")</formula>
    </cfRule>
    <cfRule type="expression" dxfId="1338" priority="496">
      <formula>AND(BF29&gt;0,INDIRECT("Basistabelle!G" &amp; ($A$1+BG$1+BF29))&lt;="",INDIRECT("Basistabelle!H" &amp; ($A$1+BG$1+BF29))&gt;"")</formula>
    </cfRule>
  </conditionalFormatting>
  <conditionalFormatting sqref="BG30">
    <cfRule type="expression" dxfId="1337" priority="493">
      <formula>OR($A30="Sa",$A30="So")</formula>
    </cfRule>
    <cfRule type="expression" dxfId="1336" priority="494">
      <formula>AND(BF30&gt;0,INDIRECT("Basistabelle!G" &amp; ($A$1+BG$1+BF30))&lt;="",INDIRECT("Basistabelle!H" &amp; ($A$1+BG$1+BF30))&gt;"")</formula>
    </cfRule>
  </conditionalFormatting>
  <conditionalFormatting sqref="BG31">
    <cfRule type="expression" dxfId="1335" priority="491">
      <formula>OR($A31="Sa",$A31="So")</formula>
    </cfRule>
    <cfRule type="expression" dxfId="1334" priority="492">
      <formula>AND(BF31&gt;0,INDIRECT("Basistabelle!G" &amp; ($A$1+BG$1+BF31))&lt;="",INDIRECT("Basistabelle!H" &amp; ($A$1+BG$1+BF31))&gt;"")</formula>
    </cfRule>
  </conditionalFormatting>
  <conditionalFormatting sqref="BG32">
    <cfRule type="expression" dxfId="1333" priority="489">
      <formula>OR($A32="Sa",$A32="So")</formula>
    </cfRule>
    <cfRule type="expression" dxfId="1332" priority="490">
      <formula>AND(BF32&gt;0,INDIRECT("Basistabelle!G" &amp; ($A$1+BG$1+BF32))&lt;="",INDIRECT("Basistabelle!H" &amp; ($A$1+BG$1+BF32))&gt;"")</formula>
    </cfRule>
  </conditionalFormatting>
  <conditionalFormatting sqref="BG33">
    <cfRule type="expression" dxfId="1331" priority="487">
      <formula>OR($A33="Sa",$A33="So")</formula>
    </cfRule>
    <cfRule type="expression" dxfId="1330" priority="488">
      <formula>AND(BF33&gt;0,INDIRECT("Basistabelle!G" &amp; ($A$1+BG$1+BF33))&lt;="",INDIRECT("Basistabelle!H" &amp; ($A$1+BG$1+BF33))&gt;"")</formula>
    </cfRule>
  </conditionalFormatting>
  <conditionalFormatting sqref="BG34">
    <cfRule type="expression" dxfId="1329" priority="485">
      <formula>OR($A34="Sa",$A34="So")</formula>
    </cfRule>
    <cfRule type="expression" dxfId="1328" priority="486">
      <formula>AND(BF34&gt;0,INDIRECT("Basistabelle!G" &amp; ($A$1+BG$1+BF34))&lt;="",INDIRECT("Basistabelle!H" &amp; ($A$1+BG$1+BF34))&gt;"")</formula>
    </cfRule>
  </conditionalFormatting>
  <conditionalFormatting sqref="BG35">
    <cfRule type="expression" dxfId="1327" priority="483">
      <formula>OR($A35="Sa",$A35="So")</formula>
    </cfRule>
    <cfRule type="expression" dxfId="1326" priority="484">
      <formula>AND(BF35&gt;0,INDIRECT("Basistabelle!G" &amp; ($A$1+BG$1+BF35))&lt;="",INDIRECT("Basistabelle!H" &amp; ($A$1+BG$1+BF35))&gt;"")</formula>
    </cfRule>
  </conditionalFormatting>
  <conditionalFormatting sqref="BG36">
    <cfRule type="expression" dxfId="1325" priority="481">
      <formula>OR($A36="Sa",$A36="So")</formula>
    </cfRule>
    <cfRule type="expression" dxfId="1324" priority="482">
      <formula>AND(BF36&gt;0,INDIRECT("Basistabelle!G" &amp; ($A$1+BG$1+BF36))&lt;="",INDIRECT("Basistabelle!H" &amp; ($A$1+BG$1+BF36))&gt;"")</formula>
    </cfRule>
  </conditionalFormatting>
  <conditionalFormatting sqref="BG37">
    <cfRule type="expression" dxfId="1323" priority="479">
      <formula>OR($A37="Sa",$A37="So")</formula>
    </cfRule>
    <cfRule type="expression" dxfId="1322" priority="480">
      <formula>AND(BF37&gt;0,INDIRECT("Basistabelle!G" &amp; ($A$1+BG$1+BF37))&lt;="",INDIRECT("Basistabelle!H" &amp; ($A$1+BG$1+BF37))&gt;"")</formula>
    </cfRule>
  </conditionalFormatting>
  <conditionalFormatting sqref="BG38">
    <cfRule type="expression" dxfId="1321" priority="477">
      <formula>OR($A38="Sa",$A38="So")</formula>
    </cfRule>
    <cfRule type="expression" dxfId="1320" priority="478">
      <formula>AND(BF38&gt;0,INDIRECT("Basistabelle!G" &amp; ($A$1+BG$1+BF38))&lt;="",INDIRECT("Basistabelle!H" &amp; ($A$1+BG$1+BF38))&gt;"")</formula>
    </cfRule>
  </conditionalFormatting>
  <conditionalFormatting sqref="BG39">
    <cfRule type="expression" dxfId="1319" priority="475">
      <formula>OR($A39="Sa",$A39="So")</formula>
    </cfRule>
    <cfRule type="expression" dxfId="1318" priority="476">
      <formula>AND(BF39&gt;0,INDIRECT("Basistabelle!G" &amp; ($A$1+BG$1+BF39))&lt;="",INDIRECT("Basistabelle!H" &amp; ($A$1+BG$1+BF39))&gt;"")</formula>
    </cfRule>
  </conditionalFormatting>
  <conditionalFormatting sqref="BG40">
    <cfRule type="expression" dxfId="1317" priority="473">
      <formula>OR($A40="Sa",$A40="So")</formula>
    </cfRule>
    <cfRule type="expression" dxfId="1316" priority="474">
      <formula>AND(BF40&gt;0,INDIRECT("Basistabelle!G" &amp; ($A$1+BG$1+BF40))&lt;="",INDIRECT("Basistabelle!H" &amp; ($A$1+BG$1+BF40))&gt;"")</formula>
    </cfRule>
  </conditionalFormatting>
  <conditionalFormatting sqref="BG41">
    <cfRule type="expression" dxfId="1315" priority="471">
      <formula>OR($A41="Sa",$A41="So")</formula>
    </cfRule>
    <cfRule type="expression" dxfId="1314" priority="472">
      <formula>AND(BF41&gt;0,INDIRECT("Basistabelle!G" &amp; ($A$1+BG$1+BF41))&lt;="",INDIRECT("Basistabelle!H" &amp; ($A$1+BG$1+BF41))&gt;"")</formula>
    </cfRule>
  </conditionalFormatting>
  <conditionalFormatting sqref="AY3">
    <cfRule type="expression" dxfId="1313" priority="469">
      <formula>OR($A3="Sa",$A3="So")</formula>
    </cfRule>
    <cfRule type="expression" dxfId="1312" priority="470">
      <formula>AND(AX3&gt;0,INDIRECT("Basistabelle!G" &amp; ($A$1+AY$1+AX3))&lt;="",INDIRECT("Basistabelle!H" &amp; ($A$1+AY$1+AX3))&gt;"")</formula>
    </cfRule>
  </conditionalFormatting>
  <conditionalFormatting sqref="AY4">
    <cfRule type="expression" dxfId="1311" priority="467">
      <formula>OR($A4="Sa",$A4="So")</formula>
    </cfRule>
    <cfRule type="expression" dxfId="1310" priority="468">
      <formula>AND(AX4&gt;0,INDIRECT("Basistabelle!G" &amp; ($A$1+AY$1+AX4))&lt;="",INDIRECT("Basistabelle!H" &amp; ($A$1+AY$1+AX4))&gt;"")</formula>
    </cfRule>
  </conditionalFormatting>
  <conditionalFormatting sqref="AY5">
    <cfRule type="expression" dxfId="1309" priority="465">
      <formula>OR($A5="Sa",$A5="So")</formula>
    </cfRule>
    <cfRule type="expression" dxfId="1308" priority="466">
      <formula>AND(AX5&gt;0,INDIRECT("Basistabelle!G" &amp; ($A$1+AY$1+AX5))&lt;="",INDIRECT("Basistabelle!H" &amp; ($A$1+AY$1+AX5))&gt;"")</formula>
    </cfRule>
  </conditionalFormatting>
  <conditionalFormatting sqref="AY6">
    <cfRule type="expression" dxfId="1307" priority="463">
      <formula>OR($A6="Sa",$A6="So")</formula>
    </cfRule>
    <cfRule type="expression" dxfId="1306" priority="464">
      <formula>AND(AX6&gt;0,INDIRECT("Basistabelle!G" &amp; ($A$1+AY$1+AX6))&lt;="",INDIRECT("Basistabelle!H" &amp; ($A$1+AY$1+AX6))&gt;"")</formula>
    </cfRule>
  </conditionalFormatting>
  <conditionalFormatting sqref="AY7">
    <cfRule type="expression" dxfId="1305" priority="461">
      <formula>OR($A7="Sa",$A7="So")</formula>
    </cfRule>
    <cfRule type="expression" dxfId="1304" priority="462">
      <formula>AND(AX7&gt;0,INDIRECT("Basistabelle!G" &amp; ($A$1+AY$1+AX7))&lt;="",INDIRECT("Basistabelle!H" &amp; ($A$1+AY$1+AX7))&gt;"")</formula>
    </cfRule>
  </conditionalFormatting>
  <conditionalFormatting sqref="AY8">
    <cfRule type="expression" dxfId="1303" priority="459">
      <formula>OR($A8="Sa",$A8="So")</formula>
    </cfRule>
    <cfRule type="expression" dxfId="1302" priority="460">
      <formula>AND(AX8&gt;0,INDIRECT("Basistabelle!G" &amp; ($A$1+AY$1+AX8))&lt;="",INDIRECT("Basistabelle!H" &amp; ($A$1+AY$1+AX8))&gt;"")</formula>
    </cfRule>
  </conditionalFormatting>
  <conditionalFormatting sqref="AY9">
    <cfRule type="expression" dxfId="1301" priority="457">
      <formula>OR($A9="Sa",$A9="So")</formula>
    </cfRule>
    <cfRule type="expression" dxfId="1300" priority="458">
      <formula>AND(AX9&gt;0,INDIRECT("Basistabelle!G" &amp; ($A$1+AY$1+AX9))&lt;="",INDIRECT("Basistabelle!H" &amp; ($A$1+AY$1+AX9))&gt;"")</formula>
    </cfRule>
  </conditionalFormatting>
  <conditionalFormatting sqref="AY10">
    <cfRule type="expression" dxfId="1299" priority="455">
      <formula>OR($A10="Sa",$A10="So")</formula>
    </cfRule>
    <cfRule type="expression" dxfId="1298" priority="456">
      <formula>AND(AX10&gt;0,INDIRECT("Basistabelle!G" &amp; ($A$1+AY$1+AX10))&lt;="",INDIRECT("Basistabelle!H" &amp; ($A$1+AY$1+AX10))&gt;"")</formula>
    </cfRule>
  </conditionalFormatting>
  <conditionalFormatting sqref="AY11">
    <cfRule type="expression" dxfId="1297" priority="453">
      <formula>OR($A11="Sa",$A11="So")</formula>
    </cfRule>
    <cfRule type="expression" dxfId="1296" priority="454">
      <formula>AND(AX11&gt;0,INDIRECT("Basistabelle!G" &amp; ($A$1+AY$1+AX11))&lt;="",INDIRECT("Basistabelle!H" &amp; ($A$1+AY$1+AX11))&gt;"")</formula>
    </cfRule>
  </conditionalFormatting>
  <conditionalFormatting sqref="AY12">
    <cfRule type="expression" dxfId="1295" priority="451">
      <formula>OR($A12="Sa",$A12="So")</formula>
    </cfRule>
    <cfRule type="expression" dxfId="1294" priority="452">
      <formula>AND(AX12&gt;0,INDIRECT("Basistabelle!G" &amp; ($A$1+AY$1+AX12))&lt;="",INDIRECT("Basistabelle!H" &amp; ($A$1+AY$1+AX12))&gt;"")</formula>
    </cfRule>
  </conditionalFormatting>
  <conditionalFormatting sqref="AY13">
    <cfRule type="expression" dxfId="1293" priority="449">
      <formula>OR($A13="Sa",$A13="So")</formula>
    </cfRule>
    <cfRule type="expression" dxfId="1292" priority="450">
      <formula>AND(AX13&gt;0,INDIRECT("Basistabelle!G" &amp; ($A$1+AY$1+AX13))&lt;="",INDIRECT("Basistabelle!H" &amp; ($A$1+AY$1+AX13))&gt;"")</formula>
    </cfRule>
  </conditionalFormatting>
  <conditionalFormatting sqref="AY14">
    <cfRule type="expression" dxfId="1291" priority="447">
      <formula>OR($A14="Sa",$A14="So")</formula>
    </cfRule>
    <cfRule type="expression" dxfId="1290" priority="448">
      <formula>AND(AX14&gt;0,INDIRECT("Basistabelle!G" &amp; ($A$1+AY$1+AX14))&lt;="",INDIRECT("Basistabelle!H" &amp; ($A$1+AY$1+AX14))&gt;"")</formula>
    </cfRule>
  </conditionalFormatting>
  <conditionalFormatting sqref="AY15">
    <cfRule type="expression" dxfId="1289" priority="445">
      <formula>OR($A15="Sa",$A15="So")</formula>
    </cfRule>
    <cfRule type="expression" dxfId="1288" priority="446">
      <formula>AND(AX15&gt;0,INDIRECT("Basistabelle!G" &amp; ($A$1+AY$1+AX15))&lt;="",INDIRECT("Basistabelle!H" &amp; ($A$1+AY$1+AX15))&gt;"")</formula>
    </cfRule>
  </conditionalFormatting>
  <conditionalFormatting sqref="AY16">
    <cfRule type="expression" dxfId="1287" priority="443">
      <formula>OR($A16="Sa",$A16="So")</formula>
    </cfRule>
    <cfRule type="expression" dxfId="1286" priority="444">
      <formula>AND(AX16&gt;0,INDIRECT("Basistabelle!G" &amp; ($A$1+AY$1+AX16))&lt;="",INDIRECT("Basistabelle!H" &amp; ($A$1+AY$1+AX16))&gt;"")</formula>
    </cfRule>
  </conditionalFormatting>
  <conditionalFormatting sqref="AY17">
    <cfRule type="expression" dxfId="1285" priority="441">
      <formula>OR($A17="Sa",$A17="So")</formula>
    </cfRule>
    <cfRule type="expression" dxfId="1284" priority="442">
      <formula>AND(AX17&gt;0,INDIRECT("Basistabelle!G" &amp; ($A$1+AY$1+AX17))&lt;="",INDIRECT("Basistabelle!H" &amp; ($A$1+AY$1+AX17))&gt;"")</formula>
    </cfRule>
  </conditionalFormatting>
  <conditionalFormatting sqref="AY18">
    <cfRule type="expression" dxfId="1283" priority="439">
      <formula>OR($A18="Sa",$A18="So")</formula>
    </cfRule>
    <cfRule type="expression" dxfId="1282" priority="440">
      <formula>AND(AX18&gt;0,INDIRECT("Basistabelle!G" &amp; ($A$1+AY$1+AX18))&lt;="",INDIRECT("Basistabelle!H" &amp; ($A$1+AY$1+AX18))&gt;"")</formula>
    </cfRule>
  </conditionalFormatting>
  <conditionalFormatting sqref="AY19">
    <cfRule type="expression" dxfId="1281" priority="437">
      <formula>OR($A19="Sa",$A19="So")</formula>
    </cfRule>
    <cfRule type="expression" dxfId="1280" priority="438">
      <formula>AND(AX19&gt;0,INDIRECT("Basistabelle!G" &amp; ($A$1+AY$1+AX19))&lt;="",INDIRECT("Basistabelle!H" &amp; ($A$1+AY$1+AX19))&gt;"")</formula>
    </cfRule>
  </conditionalFormatting>
  <conditionalFormatting sqref="AY20">
    <cfRule type="expression" dxfId="1279" priority="435">
      <formula>OR($A20="Sa",$A20="So")</formula>
    </cfRule>
    <cfRule type="expression" dxfId="1278" priority="436">
      <formula>AND(AX20&gt;0,INDIRECT("Basistabelle!G" &amp; ($A$1+AY$1+AX20))&lt;="",INDIRECT("Basistabelle!H" &amp; ($A$1+AY$1+AX20))&gt;"")</formula>
    </cfRule>
  </conditionalFormatting>
  <conditionalFormatting sqref="AY21">
    <cfRule type="expression" dxfId="1277" priority="433">
      <formula>OR($A21="Sa",$A21="So")</formula>
    </cfRule>
    <cfRule type="expression" dxfId="1276" priority="434">
      <formula>AND(AX21&gt;0,INDIRECT("Basistabelle!G" &amp; ($A$1+AY$1+AX21))&lt;="",INDIRECT("Basistabelle!H" &amp; ($A$1+AY$1+AX21))&gt;"")</formula>
    </cfRule>
  </conditionalFormatting>
  <conditionalFormatting sqref="AY22">
    <cfRule type="expression" dxfId="1275" priority="431">
      <formula>OR($A22="Sa",$A22="So")</formula>
    </cfRule>
    <cfRule type="expression" dxfId="1274" priority="432">
      <formula>AND(AX22&gt;0,INDIRECT("Basistabelle!G" &amp; ($A$1+AY$1+AX22))&lt;="",INDIRECT("Basistabelle!H" &amp; ($A$1+AY$1+AX22))&gt;"")</formula>
    </cfRule>
  </conditionalFormatting>
  <conditionalFormatting sqref="AY23">
    <cfRule type="expression" dxfId="1273" priority="429">
      <formula>OR($A23="Sa",$A23="So")</formula>
    </cfRule>
    <cfRule type="expression" dxfId="1272" priority="430">
      <formula>AND(AX23&gt;0,INDIRECT("Basistabelle!G" &amp; ($A$1+AY$1+AX23))&lt;="",INDIRECT("Basistabelle!H" &amp; ($A$1+AY$1+AX23))&gt;"")</formula>
    </cfRule>
  </conditionalFormatting>
  <conditionalFormatting sqref="AY24">
    <cfRule type="expression" dxfId="1271" priority="427">
      <formula>OR($A24="Sa",$A24="So")</formula>
    </cfRule>
    <cfRule type="expression" dxfId="1270" priority="428">
      <formula>AND(AX24&gt;0,INDIRECT("Basistabelle!G" &amp; ($A$1+AY$1+AX24))&lt;="",INDIRECT("Basistabelle!H" &amp; ($A$1+AY$1+AX24))&gt;"")</formula>
    </cfRule>
  </conditionalFormatting>
  <conditionalFormatting sqref="AY25">
    <cfRule type="expression" dxfId="1269" priority="425">
      <formula>OR($A25="Sa",$A25="So")</formula>
    </cfRule>
    <cfRule type="expression" dxfId="1268" priority="426">
      <formula>AND(AX25&gt;0,INDIRECT("Basistabelle!G" &amp; ($A$1+AY$1+AX25))&lt;="",INDIRECT("Basistabelle!H" &amp; ($A$1+AY$1+AX25))&gt;"")</formula>
    </cfRule>
  </conditionalFormatting>
  <conditionalFormatting sqref="AY26">
    <cfRule type="expression" dxfId="1267" priority="423">
      <formula>OR($A26="Sa",$A26="So")</formula>
    </cfRule>
    <cfRule type="expression" dxfId="1266" priority="424">
      <formula>AND(AX26&gt;0,INDIRECT("Basistabelle!G" &amp; ($A$1+AY$1+AX26))&lt;="",INDIRECT("Basistabelle!H" &amp; ($A$1+AY$1+AX26))&gt;"")</formula>
    </cfRule>
  </conditionalFormatting>
  <conditionalFormatting sqref="AY27">
    <cfRule type="expression" dxfId="1265" priority="421">
      <formula>OR($A27="Sa",$A27="So")</formula>
    </cfRule>
    <cfRule type="expression" dxfId="1264" priority="422">
      <formula>AND(AX27&gt;0,INDIRECT("Basistabelle!G" &amp; ($A$1+AY$1+AX27))&lt;="",INDIRECT("Basistabelle!H" &amp; ($A$1+AY$1+AX27))&gt;"")</formula>
    </cfRule>
  </conditionalFormatting>
  <conditionalFormatting sqref="AY28">
    <cfRule type="expression" dxfId="1263" priority="419">
      <formula>OR($A28="Sa",$A28="So")</formula>
    </cfRule>
    <cfRule type="expression" dxfId="1262" priority="420">
      <formula>AND(AX28&gt;0,INDIRECT("Basistabelle!G" &amp; ($A$1+AY$1+AX28))&lt;="",INDIRECT("Basistabelle!H" &amp; ($A$1+AY$1+AX28))&gt;"")</formula>
    </cfRule>
  </conditionalFormatting>
  <conditionalFormatting sqref="AY29">
    <cfRule type="expression" dxfId="1261" priority="417">
      <formula>OR($A29="Sa",$A29="So")</formula>
    </cfRule>
    <cfRule type="expression" dxfId="1260" priority="418">
      <formula>AND(AX29&gt;0,INDIRECT("Basistabelle!G" &amp; ($A$1+AY$1+AX29))&lt;="",INDIRECT("Basistabelle!H" &amp; ($A$1+AY$1+AX29))&gt;"")</formula>
    </cfRule>
  </conditionalFormatting>
  <conditionalFormatting sqref="AY30">
    <cfRule type="expression" dxfId="1259" priority="415">
      <formula>OR($A30="Sa",$A30="So")</formula>
    </cfRule>
    <cfRule type="expression" dxfId="1258" priority="416">
      <formula>AND(AX30&gt;0,INDIRECT("Basistabelle!G" &amp; ($A$1+AY$1+AX30))&lt;="",INDIRECT("Basistabelle!H" &amp; ($A$1+AY$1+AX30))&gt;"")</formula>
    </cfRule>
  </conditionalFormatting>
  <conditionalFormatting sqref="AY31">
    <cfRule type="expression" dxfId="1257" priority="413">
      <formula>OR($A31="Sa",$A31="So")</formula>
    </cfRule>
    <cfRule type="expression" dxfId="1256" priority="414">
      <formula>AND(AX31&gt;0,INDIRECT("Basistabelle!G" &amp; ($A$1+AY$1+AX31))&lt;="",INDIRECT("Basistabelle!H" &amp; ($A$1+AY$1+AX31))&gt;"")</formula>
    </cfRule>
  </conditionalFormatting>
  <conditionalFormatting sqref="AY32">
    <cfRule type="expression" dxfId="1255" priority="411">
      <formula>OR($A32="Sa",$A32="So")</formula>
    </cfRule>
    <cfRule type="expression" dxfId="1254" priority="412">
      <formula>AND(AX32&gt;0,INDIRECT("Basistabelle!G" &amp; ($A$1+AY$1+AX32))&lt;="",INDIRECT("Basistabelle!H" &amp; ($A$1+AY$1+AX32))&gt;"")</formula>
    </cfRule>
  </conditionalFormatting>
  <conditionalFormatting sqref="AY33">
    <cfRule type="expression" dxfId="1253" priority="409">
      <formula>OR($A33="Sa",$A33="So")</formula>
    </cfRule>
    <cfRule type="expression" dxfId="1252" priority="410">
      <formula>AND(AX33&gt;0,INDIRECT("Basistabelle!G" &amp; ($A$1+AY$1+AX33))&lt;="",INDIRECT("Basistabelle!H" &amp; ($A$1+AY$1+AX33))&gt;"")</formula>
    </cfRule>
  </conditionalFormatting>
  <conditionalFormatting sqref="AY34">
    <cfRule type="expression" dxfId="1251" priority="407">
      <formula>OR($A34="Sa",$A34="So")</formula>
    </cfRule>
    <cfRule type="expression" dxfId="1250" priority="408">
      <formula>AND(AX34&gt;0,INDIRECT("Basistabelle!G" &amp; ($A$1+AY$1+AX34))&lt;="",INDIRECT("Basistabelle!H" &amp; ($A$1+AY$1+AX34))&gt;"")</formula>
    </cfRule>
  </conditionalFormatting>
  <conditionalFormatting sqref="AY35">
    <cfRule type="expression" dxfId="1249" priority="405">
      <formula>OR($A35="Sa",$A35="So")</formula>
    </cfRule>
    <cfRule type="expression" dxfId="1248" priority="406">
      <formula>AND(AX35&gt;0,INDIRECT("Basistabelle!G" &amp; ($A$1+AY$1+AX35))&lt;="",INDIRECT("Basistabelle!H" &amp; ($A$1+AY$1+AX35))&gt;"")</formula>
    </cfRule>
  </conditionalFormatting>
  <conditionalFormatting sqref="AY36">
    <cfRule type="expression" dxfId="1247" priority="403">
      <formula>OR($A36="Sa",$A36="So")</formula>
    </cfRule>
    <cfRule type="expression" dxfId="1246" priority="404">
      <formula>AND(AX36&gt;0,INDIRECT("Basistabelle!G" &amp; ($A$1+AY$1+AX36))&lt;="",INDIRECT("Basistabelle!H" &amp; ($A$1+AY$1+AX36))&gt;"")</formula>
    </cfRule>
  </conditionalFormatting>
  <conditionalFormatting sqref="AY37">
    <cfRule type="expression" dxfId="1245" priority="401">
      <formula>OR($A37="Sa",$A37="So")</formula>
    </cfRule>
    <cfRule type="expression" dxfId="1244" priority="402">
      <formula>AND(AX37&gt;0,INDIRECT("Basistabelle!G" &amp; ($A$1+AY$1+AX37))&lt;="",INDIRECT("Basistabelle!H" &amp; ($A$1+AY$1+AX37))&gt;"")</formula>
    </cfRule>
  </conditionalFormatting>
  <conditionalFormatting sqref="AY38">
    <cfRule type="expression" dxfId="1243" priority="399">
      <formula>OR($A38="Sa",$A38="So")</formula>
    </cfRule>
    <cfRule type="expression" dxfId="1242" priority="400">
      <formula>AND(AX38&gt;0,INDIRECT("Basistabelle!G" &amp; ($A$1+AY$1+AX38))&lt;="",INDIRECT("Basistabelle!H" &amp; ($A$1+AY$1+AX38))&gt;"")</formula>
    </cfRule>
  </conditionalFormatting>
  <conditionalFormatting sqref="AY39">
    <cfRule type="expression" dxfId="1241" priority="397">
      <formula>OR($A39="Sa",$A39="So")</formula>
    </cfRule>
    <cfRule type="expression" dxfId="1240" priority="398">
      <formula>AND(AX39&gt;0,INDIRECT("Basistabelle!G" &amp; ($A$1+AY$1+AX39))&lt;="",INDIRECT("Basistabelle!H" &amp; ($A$1+AY$1+AX39))&gt;"")</formula>
    </cfRule>
  </conditionalFormatting>
  <conditionalFormatting sqref="AY40">
    <cfRule type="expression" dxfId="1239" priority="395">
      <formula>OR($A40="Sa",$A40="So")</formula>
    </cfRule>
    <cfRule type="expression" dxfId="1238" priority="396">
      <formula>AND(AX40&gt;0,INDIRECT("Basistabelle!G" &amp; ($A$1+AY$1+AX40))&lt;="",INDIRECT("Basistabelle!H" &amp; ($A$1+AY$1+AX40))&gt;"")</formula>
    </cfRule>
  </conditionalFormatting>
  <conditionalFormatting sqref="AY41">
    <cfRule type="expression" dxfId="1237" priority="393">
      <formula>OR($A41="Sa",$A41="So")</formula>
    </cfRule>
    <cfRule type="expression" dxfId="1236" priority="394">
      <formula>AND(AX41&gt;0,INDIRECT("Basistabelle!G" &amp; ($A$1+AY$1+AX41))&lt;="",INDIRECT("Basistabelle!H" &amp; ($A$1+AY$1+AX41))&gt;"")</formula>
    </cfRule>
  </conditionalFormatting>
  <conditionalFormatting sqref="AQ3">
    <cfRule type="expression" dxfId="1235" priority="391">
      <formula>OR($A3="Sa",$A3="So")</formula>
    </cfRule>
    <cfRule type="expression" dxfId="1234" priority="392">
      <formula>AND(AP3&gt;0,INDIRECT("Basistabelle!G" &amp; ($A$1+AQ$1+AP3))&lt;="",INDIRECT("Basistabelle!H" &amp; ($A$1+AQ$1+AP3))&gt;"")</formula>
    </cfRule>
  </conditionalFormatting>
  <conditionalFormatting sqref="AQ4">
    <cfRule type="expression" dxfId="1233" priority="389">
      <formula>OR($A4="Sa",$A4="So")</formula>
    </cfRule>
    <cfRule type="expression" dxfId="1232" priority="390">
      <formula>AND(AP4&gt;0,INDIRECT("Basistabelle!G" &amp; ($A$1+AQ$1+AP4))&lt;="",INDIRECT("Basistabelle!H" &amp; ($A$1+AQ$1+AP4))&gt;"")</formula>
    </cfRule>
  </conditionalFormatting>
  <conditionalFormatting sqref="AQ5">
    <cfRule type="expression" dxfId="1231" priority="387">
      <formula>OR($A5="Sa",$A5="So")</formula>
    </cfRule>
    <cfRule type="expression" dxfId="1230" priority="388">
      <formula>AND(AP5&gt;0,INDIRECT("Basistabelle!G" &amp; ($A$1+AQ$1+AP5))&lt;="",INDIRECT("Basistabelle!H" &amp; ($A$1+AQ$1+AP5))&gt;"")</formula>
    </cfRule>
  </conditionalFormatting>
  <conditionalFormatting sqref="AQ6">
    <cfRule type="expression" dxfId="1229" priority="385">
      <formula>OR($A6="Sa",$A6="So")</formula>
    </cfRule>
    <cfRule type="expression" dxfId="1228" priority="386">
      <formula>AND(AP6&gt;0,INDIRECT("Basistabelle!G" &amp; ($A$1+AQ$1+AP6))&lt;="",INDIRECT("Basistabelle!H" &amp; ($A$1+AQ$1+AP6))&gt;"")</formula>
    </cfRule>
  </conditionalFormatting>
  <conditionalFormatting sqref="AQ7">
    <cfRule type="expression" dxfId="1227" priority="383">
      <formula>OR($A7="Sa",$A7="So")</formula>
    </cfRule>
    <cfRule type="expression" dxfId="1226" priority="384">
      <formula>AND(AP7&gt;0,INDIRECT("Basistabelle!G" &amp; ($A$1+AQ$1+AP7))&lt;="",INDIRECT("Basistabelle!H" &amp; ($A$1+AQ$1+AP7))&gt;"")</formula>
    </cfRule>
  </conditionalFormatting>
  <conditionalFormatting sqref="AQ8">
    <cfRule type="expression" dxfId="1225" priority="381">
      <formula>OR($A8="Sa",$A8="So")</formula>
    </cfRule>
    <cfRule type="expression" dxfId="1224" priority="382">
      <formula>AND(AP8&gt;0,INDIRECT("Basistabelle!G" &amp; ($A$1+AQ$1+AP8))&lt;="",INDIRECT("Basistabelle!H" &amp; ($A$1+AQ$1+AP8))&gt;"")</formula>
    </cfRule>
  </conditionalFormatting>
  <conditionalFormatting sqref="AQ9">
    <cfRule type="expression" dxfId="1223" priority="379">
      <formula>OR($A9="Sa",$A9="So")</formula>
    </cfRule>
    <cfRule type="expression" dxfId="1222" priority="380">
      <formula>AND(AP9&gt;0,INDIRECT("Basistabelle!G" &amp; ($A$1+AQ$1+AP9))&lt;="",INDIRECT("Basistabelle!H" &amp; ($A$1+AQ$1+AP9))&gt;"")</formula>
    </cfRule>
  </conditionalFormatting>
  <conditionalFormatting sqref="AQ10">
    <cfRule type="expression" dxfId="1221" priority="377">
      <formula>OR($A10="Sa",$A10="So")</formula>
    </cfRule>
    <cfRule type="expression" dxfId="1220" priority="378">
      <formula>AND(AP10&gt;0,INDIRECT("Basistabelle!G" &amp; ($A$1+AQ$1+AP10))&lt;="",INDIRECT("Basistabelle!H" &amp; ($A$1+AQ$1+AP10))&gt;"")</formula>
    </cfRule>
  </conditionalFormatting>
  <conditionalFormatting sqref="AQ11">
    <cfRule type="expression" dxfId="1219" priority="375">
      <formula>OR($A11="Sa",$A11="So")</formula>
    </cfRule>
    <cfRule type="expression" dxfId="1218" priority="376">
      <formula>AND(AP11&gt;0,INDIRECT("Basistabelle!G" &amp; ($A$1+AQ$1+AP11))&lt;="",INDIRECT("Basistabelle!H" &amp; ($A$1+AQ$1+AP11))&gt;"")</formula>
    </cfRule>
  </conditionalFormatting>
  <conditionalFormatting sqref="AQ12">
    <cfRule type="expression" dxfId="1217" priority="373">
      <formula>OR($A12="Sa",$A12="So")</formula>
    </cfRule>
    <cfRule type="expression" dxfId="1216" priority="374">
      <formula>AND(AP12&gt;0,INDIRECT("Basistabelle!G" &amp; ($A$1+AQ$1+AP12))&lt;="",INDIRECT("Basistabelle!H" &amp; ($A$1+AQ$1+AP12))&gt;"")</formula>
    </cfRule>
  </conditionalFormatting>
  <conditionalFormatting sqref="AQ13">
    <cfRule type="expression" dxfId="1215" priority="371">
      <formula>OR($A13="Sa",$A13="So")</formula>
    </cfRule>
    <cfRule type="expression" dxfId="1214" priority="372">
      <formula>AND(AP13&gt;0,INDIRECT("Basistabelle!G" &amp; ($A$1+AQ$1+AP13))&lt;="",INDIRECT("Basistabelle!H" &amp; ($A$1+AQ$1+AP13))&gt;"")</formula>
    </cfRule>
  </conditionalFormatting>
  <conditionalFormatting sqref="AQ14">
    <cfRule type="expression" dxfId="1213" priority="369">
      <formula>OR($A14="Sa",$A14="So")</formula>
    </cfRule>
    <cfRule type="expression" dxfId="1212" priority="370">
      <formula>AND(AP14&gt;0,INDIRECT("Basistabelle!G" &amp; ($A$1+AQ$1+AP14))&lt;="",INDIRECT("Basistabelle!H" &amp; ($A$1+AQ$1+AP14))&gt;"")</formula>
    </cfRule>
  </conditionalFormatting>
  <conditionalFormatting sqref="AQ15">
    <cfRule type="expression" dxfId="1211" priority="367">
      <formula>OR($A15="Sa",$A15="So")</formula>
    </cfRule>
    <cfRule type="expression" dxfId="1210" priority="368">
      <formula>AND(AP15&gt;0,INDIRECT("Basistabelle!G" &amp; ($A$1+AQ$1+AP15))&lt;="",INDIRECT("Basistabelle!H" &amp; ($A$1+AQ$1+AP15))&gt;"")</formula>
    </cfRule>
  </conditionalFormatting>
  <conditionalFormatting sqref="AQ16">
    <cfRule type="expression" dxfId="1209" priority="365">
      <formula>OR($A16="Sa",$A16="So")</formula>
    </cfRule>
    <cfRule type="expression" dxfId="1208" priority="366">
      <formula>AND(AP16&gt;0,INDIRECT("Basistabelle!G" &amp; ($A$1+AQ$1+AP16))&lt;="",INDIRECT("Basistabelle!H" &amp; ($A$1+AQ$1+AP16))&gt;"")</formula>
    </cfRule>
  </conditionalFormatting>
  <conditionalFormatting sqref="AQ17">
    <cfRule type="expression" dxfId="1207" priority="363">
      <formula>OR($A17="Sa",$A17="So")</formula>
    </cfRule>
    <cfRule type="expression" dxfId="1206" priority="364">
      <formula>AND(AP17&gt;0,INDIRECT("Basistabelle!G" &amp; ($A$1+AQ$1+AP17))&lt;="",INDIRECT("Basistabelle!H" &amp; ($A$1+AQ$1+AP17))&gt;"")</formula>
    </cfRule>
  </conditionalFormatting>
  <conditionalFormatting sqref="AQ18">
    <cfRule type="expression" dxfId="1205" priority="361">
      <formula>OR($A18="Sa",$A18="So")</formula>
    </cfRule>
    <cfRule type="expression" dxfId="1204" priority="362">
      <formula>AND(AP18&gt;0,INDIRECT("Basistabelle!G" &amp; ($A$1+AQ$1+AP18))&lt;="",INDIRECT("Basistabelle!H" &amp; ($A$1+AQ$1+AP18))&gt;"")</formula>
    </cfRule>
  </conditionalFormatting>
  <conditionalFormatting sqref="AQ19">
    <cfRule type="expression" dxfId="1203" priority="359">
      <formula>OR($A19="Sa",$A19="So")</formula>
    </cfRule>
    <cfRule type="expression" dxfId="1202" priority="360">
      <formula>AND(AP19&gt;0,INDIRECT("Basistabelle!G" &amp; ($A$1+AQ$1+AP19))&lt;="",INDIRECT("Basistabelle!H" &amp; ($A$1+AQ$1+AP19))&gt;"")</formula>
    </cfRule>
  </conditionalFormatting>
  <conditionalFormatting sqref="AQ20">
    <cfRule type="expression" dxfId="1201" priority="357">
      <formula>OR($A20="Sa",$A20="So")</formula>
    </cfRule>
    <cfRule type="expression" dxfId="1200" priority="358">
      <formula>AND(AP20&gt;0,INDIRECT("Basistabelle!G" &amp; ($A$1+AQ$1+AP20))&lt;="",INDIRECT("Basistabelle!H" &amp; ($A$1+AQ$1+AP20))&gt;"")</formula>
    </cfRule>
  </conditionalFormatting>
  <conditionalFormatting sqref="AQ21">
    <cfRule type="expression" dxfId="1199" priority="355">
      <formula>OR($A21="Sa",$A21="So")</formula>
    </cfRule>
    <cfRule type="expression" dxfId="1198" priority="356">
      <formula>AND(AP21&gt;0,INDIRECT("Basistabelle!G" &amp; ($A$1+AQ$1+AP21))&lt;="",INDIRECT("Basistabelle!H" &amp; ($A$1+AQ$1+AP21))&gt;"")</formula>
    </cfRule>
  </conditionalFormatting>
  <conditionalFormatting sqref="AQ22">
    <cfRule type="expression" dxfId="1197" priority="353">
      <formula>OR($A22="Sa",$A22="So")</formula>
    </cfRule>
    <cfRule type="expression" dxfId="1196" priority="354">
      <formula>AND(AP22&gt;0,INDIRECT("Basistabelle!G" &amp; ($A$1+AQ$1+AP22))&lt;="",INDIRECT("Basistabelle!H" &amp; ($A$1+AQ$1+AP22))&gt;"")</formula>
    </cfRule>
  </conditionalFormatting>
  <conditionalFormatting sqref="AQ23">
    <cfRule type="expression" dxfId="1195" priority="351">
      <formula>OR($A23="Sa",$A23="So")</formula>
    </cfRule>
    <cfRule type="expression" dxfId="1194" priority="352">
      <formula>AND(AP23&gt;0,INDIRECT("Basistabelle!G" &amp; ($A$1+AQ$1+AP23))&lt;="",INDIRECT("Basistabelle!H" &amp; ($A$1+AQ$1+AP23))&gt;"")</formula>
    </cfRule>
  </conditionalFormatting>
  <conditionalFormatting sqref="AQ24">
    <cfRule type="expression" dxfId="1193" priority="349">
      <formula>OR($A24="Sa",$A24="So")</formula>
    </cfRule>
    <cfRule type="expression" dxfId="1192" priority="350">
      <formula>AND(AP24&gt;0,INDIRECT("Basistabelle!G" &amp; ($A$1+AQ$1+AP24))&lt;="",INDIRECT("Basistabelle!H" &amp; ($A$1+AQ$1+AP24))&gt;"")</formula>
    </cfRule>
  </conditionalFormatting>
  <conditionalFormatting sqref="AQ25">
    <cfRule type="expression" dxfId="1191" priority="347">
      <formula>OR($A25="Sa",$A25="So")</formula>
    </cfRule>
    <cfRule type="expression" dxfId="1190" priority="348">
      <formula>AND(AP25&gt;0,INDIRECT("Basistabelle!G" &amp; ($A$1+AQ$1+AP25))&lt;="",INDIRECT("Basistabelle!H" &amp; ($A$1+AQ$1+AP25))&gt;"")</formula>
    </cfRule>
  </conditionalFormatting>
  <conditionalFormatting sqref="AQ26">
    <cfRule type="expression" dxfId="1189" priority="345">
      <formula>OR($A26="Sa",$A26="So")</formula>
    </cfRule>
    <cfRule type="expression" dxfId="1188" priority="346">
      <formula>AND(AP26&gt;0,INDIRECT("Basistabelle!G" &amp; ($A$1+AQ$1+AP26))&lt;="",INDIRECT("Basistabelle!H" &amp; ($A$1+AQ$1+AP26))&gt;"")</formula>
    </cfRule>
  </conditionalFormatting>
  <conditionalFormatting sqref="AQ27">
    <cfRule type="expression" dxfId="1187" priority="343">
      <formula>OR($A27="Sa",$A27="So")</formula>
    </cfRule>
    <cfRule type="expression" dxfId="1186" priority="344">
      <formula>AND(AP27&gt;0,INDIRECT("Basistabelle!G" &amp; ($A$1+AQ$1+AP27))&lt;="",INDIRECT("Basistabelle!H" &amp; ($A$1+AQ$1+AP27))&gt;"")</formula>
    </cfRule>
  </conditionalFormatting>
  <conditionalFormatting sqref="AQ28">
    <cfRule type="expression" dxfId="1185" priority="341">
      <formula>OR($A28="Sa",$A28="So")</formula>
    </cfRule>
    <cfRule type="expression" dxfId="1184" priority="342">
      <formula>AND(AP28&gt;0,INDIRECT("Basistabelle!G" &amp; ($A$1+AQ$1+AP28))&lt;="",INDIRECT("Basistabelle!H" &amp; ($A$1+AQ$1+AP28))&gt;"")</formula>
    </cfRule>
  </conditionalFormatting>
  <conditionalFormatting sqref="AQ29">
    <cfRule type="expression" dxfId="1183" priority="339">
      <formula>OR($A29="Sa",$A29="So")</formula>
    </cfRule>
    <cfRule type="expression" dxfId="1182" priority="340">
      <formula>AND(AP29&gt;0,INDIRECT("Basistabelle!G" &amp; ($A$1+AQ$1+AP29))&lt;="",INDIRECT("Basistabelle!H" &amp; ($A$1+AQ$1+AP29))&gt;"")</formula>
    </cfRule>
  </conditionalFormatting>
  <conditionalFormatting sqref="AQ30">
    <cfRule type="expression" dxfId="1181" priority="337">
      <formula>OR($A30="Sa",$A30="So")</formula>
    </cfRule>
    <cfRule type="expression" dxfId="1180" priority="338">
      <formula>AND(AP30&gt;0,INDIRECT("Basistabelle!G" &amp; ($A$1+AQ$1+AP30))&lt;="",INDIRECT("Basistabelle!H" &amp; ($A$1+AQ$1+AP30))&gt;"")</formula>
    </cfRule>
  </conditionalFormatting>
  <conditionalFormatting sqref="AQ31">
    <cfRule type="expression" dxfId="1179" priority="335">
      <formula>OR($A31="Sa",$A31="So")</formula>
    </cfRule>
    <cfRule type="expression" dxfId="1178" priority="336">
      <formula>AND(AP31&gt;0,INDIRECT("Basistabelle!G" &amp; ($A$1+AQ$1+AP31))&lt;="",INDIRECT("Basistabelle!H" &amp; ($A$1+AQ$1+AP31))&gt;"")</formula>
    </cfRule>
  </conditionalFormatting>
  <conditionalFormatting sqref="AQ32">
    <cfRule type="expression" dxfId="1177" priority="333">
      <formula>OR($A32="Sa",$A32="So")</formula>
    </cfRule>
    <cfRule type="expression" dxfId="1176" priority="334">
      <formula>AND(AP32&gt;0,INDIRECT("Basistabelle!G" &amp; ($A$1+AQ$1+AP32))&lt;="",INDIRECT("Basistabelle!H" &amp; ($A$1+AQ$1+AP32))&gt;"")</formula>
    </cfRule>
  </conditionalFormatting>
  <conditionalFormatting sqref="AQ33">
    <cfRule type="expression" dxfId="1175" priority="331">
      <formula>OR($A33="Sa",$A33="So")</formula>
    </cfRule>
    <cfRule type="expression" dxfId="1174" priority="332">
      <formula>AND(AP33&gt;0,INDIRECT("Basistabelle!G" &amp; ($A$1+AQ$1+AP33))&lt;="",INDIRECT("Basistabelle!H" &amp; ($A$1+AQ$1+AP33))&gt;"")</formula>
    </cfRule>
  </conditionalFormatting>
  <conditionalFormatting sqref="AQ34">
    <cfRule type="expression" dxfId="1173" priority="329">
      <formula>OR($A34="Sa",$A34="So")</formula>
    </cfRule>
    <cfRule type="expression" dxfId="1172" priority="330">
      <formula>AND(AP34&gt;0,INDIRECT("Basistabelle!G" &amp; ($A$1+AQ$1+AP34))&lt;="",INDIRECT("Basistabelle!H" &amp; ($A$1+AQ$1+AP34))&gt;"")</formula>
    </cfRule>
  </conditionalFormatting>
  <conditionalFormatting sqref="AQ35">
    <cfRule type="expression" dxfId="1171" priority="327">
      <formula>OR($A35="Sa",$A35="So")</formula>
    </cfRule>
    <cfRule type="expression" dxfId="1170" priority="328">
      <formula>AND(AP35&gt;0,INDIRECT("Basistabelle!G" &amp; ($A$1+AQ$1+AP35))&lt;="",INDIRECT("Basistabelle!H" &amp; ($A$1+AQ$1+AP35))&gt;"")</formula>
    </cfRule>
  </conditionalFormatting>
  <conditionalFormatting sqref="AQ36">
    <cfRule type="expression" dxfId="1169" priority="325">
      <formula>OR($A36="Sa",$A36="So")</formula>
    </cfRule>
    <cfRule type="expression" dxfId="1168" priority="326">
      <formula>AND(AP36&gt;0,INDIRECT("Basistabelle!G" &amp; ($A$1+AQ$1+AP36))&lt;="",INDIRECT("Basistabelle!H" &amp; ($A$1+AQ$1+AP36))&gt;"")</formula>
    </cfRule>
  </conditionalFormatting>
  <conditionalFormatting sqref="AQ37">
    <cfRule type="expression" dxfId="1167" priority="323">
      <formula>OR($A37="Sa",$A37="So")</formula>
    </cfRule>
    <cfRule type="expression" dxfId="1166" priority="324">
      <formula>AND(AP37&gt;0,INDIRECT("Basistabelle!G" &amp; ($A$1+AQ$1+AP37))&lt;="",INDIRECT("Basistabelle!H" &amp; ($A$1+AQ$1+AP37))&gt;"")</formula>
    </cfRule>
  </conditionalFormatting>
  <conditionalFormatting sqref="AQ38">
    <cfRule type="expression" dxfId="1165" priority="321">
      <formula>OR($A38="Sa",$A38="So")</formula>
    </cfRule>
    <cfRule type="expression" dxfId="1164" priority="322">
      <formula>AND(AP38&gt;0,INDIRECT("Basistabelle!G" &amp; ($A$1+AQ$1+AP38))&lt;="",INDIRECT("Basistabelle!H" &amp; ($A$1+AQ$1+AP38))&gt;"")</formula>
    </cfRule>
  </conditionalFormatting>
  <conditionalFormatting sqref="AQ39">
    <cfRule type="expression" dxfId="1163" priority="319">
      <formula>OR($A39="Sa",$A39="So")</formula>
    </cfRule>
    <cfRule type="expression" dxfId="1162" priority="320">
      <formula>AND(AP39&gt;0,INDIRECT("Basistabelle!G" &amp; ($A$1+AQ$1+AP39))&lt;="",INDIRECT("Basistabelle!H" &amp; ($A$1+AQ$1+AP39))&gt;"")</formula>
    </cfRule>
  </conditionalFormatting>
  <conditionalFormatting sqref="AI3">
    <cfRule type="expression" dxfId="1161" priority="317">
      <formula>OR($A3="Sa",$A3="So")</formula>
    </cfRule>
    <cfRule type="expression" dxfId="1160" priority="318">
      <formula>AND(AH3&gt;0,INDIRECT("Basistabelle!G" &amp; ($A$1+AI$1+AH3))&lt;="",INDIRECT("Basistabelle!H" &amp; ($A$1+AI$1+AH3))&gt;"")</formula>
    </cfRule>
  </conditionalFormatting>
  <conditionalFormatting sqref="AI6">
    <cfRule type="expression" dxfId="1159" priority="315">
      <formula>OR($A6="Sa",$A6="So")</formula>
    </cfRule>
    <cfRule type="expression" dxfId="1158" priority="316">
      <formula>AND(AH6&gt;0,INDIRECT("Basistabelle!G" &amp; ($A$1+AI$1+AH6))&lt;="",INDIRECT("Basistabelle!H" &amp; ($A$1+AI$1+AH6))&gt;"")</formula>
    </cfRule>
  </conditionalFormatting>
  <conditionalFormatting sqref="AI7">
    <cfRule type="expression" dxfId="1157" priority="313">
      <formula>OR($A7="Sa",$A7="So")</formula>
    </cfRule>
    <cfRule type="expression" dxfId="1156" priority="314">
      <formula>AND(AH7&gt;0,INDIRECT("Basistabelle!G" &amp; ($A$1+AI$1+AH7))&lt;="",INDIRECT("Basistabelle!H" &amp; ($A$1+AI$1+AH7))&gt;"")</formula>
    </cfRule>
  </conditionalFormatting>
  <conditionalFormatting sqref="AI8">
    <cfRule type="expression" dxfId="1155" priority="311">
      <formula>OR($A8="Sa",$A8="So")</formula>
    </cfRule>
    <cfRule type="expression" dxfId="1154" priority="312">
      <formula>AND(AH8&gt;0,INDIRECT("Basistabelle!G" &amp; ($A$1+AI$1+AH8))&lt;="",INDIRECT("Basistabelle!H" &amp; ($A$1+AI$1+AH8))&gt;"")</formula>
    </cfRule>
  </conditionalFormatting>
  <conditionalFormatting sqref="AI9">
    <cfRule type="expression" dxfId="1153" priority="309">
      <formula>OR($A9="Sa",$A9="So")</formula>
    </cfRule>
    <cfRule type="expression" dxfId="1152" priority="310">
      <formula>AND(AH9&gt;0,INDIRECT("Basistabelle!G" &amp; ($A$1+AI$1+AH9))&lt;="",INDIRECT("Basistabelle!H" &amp; ($A$1+AI$1+AH9))&gt;"")</formula>
    </cfRule>
  </conditionalFormatting>
  <conditionalFormatting sqref="AI10">
    <cfRule type="expression" dxfId="1151" priority="307">
      <formula>OR($A10="Sa",$A10="So")</formula>
    </cfRule>
    <cfRule type="expression" dxfId="1150" priority="308">
      <formula>AND(AH10&gt;0,INDIRECT("Basistabelle!G" &amp; ($A$1+AI$1+AH10))&lt;="",INDIRECT("Basistabelle!H" &amp; ($A$1+AI$1+AH10))&gt;"")</formula>
    </cfRule>
  </conditionalFormatting>
  <conditionalFormatting sqref="AI11">
    <cfRule type="expression" dxfId="1149" priority="305">
      <formula>OR($A11="Sa",$A11="So")</formula>
    </cfRule>
    <cfRule type="expression" dxfId="1148" priority="306">
      <formula>AND(AH11&gt;0,INDIRECT("Basistabelle!G" &amp; ($A$1+AI$1+AH11))&lt;="",INDIRECT("Basistabelle!H" &amp; ($A$1+AI$1+AH11))&gt;"")</formula>
    </cfRule>
  </conditionalFormatting>
  <conditionalFormatting sqref="AI12">
    <cfRule type="expression" dxfId="1147" priority="303">
      <formula>OR($A12="Sa",$A12="So")</formula>
    </cfRule>
    <cfRule type="expression" dxfId="1146" priority="304">
      <formula>AND(AH12&gt;0,INDIRECT("Basistabelle!G" &amp; ($A$1+AI$1+AH12))&lt;="",INDIRECT("Basistabelle!H" &amp; ($A$1+AI$1+AH12))&gt;"")</formula>
    </cfRule>
  </conditionalFormatting>
  <conditionalFormatting sqref="AI13">
    <cfRule type="expression" dxfId="1145" priority="301">
      <formula>OR($A13="Sa",$A13="So")</formula>
    </cfRule>
    <cfRule type="expression" dxfId="1144" priority="302">
      <formula>AND(AH13&gt;0,INDIRECT("Basistabelle!G" &amp; ($A$1+AI$1+AH13))&lt;="",INDIRECT("Basistabelle!H" &amp; ($A$1+AI$1+AH13))&gt;"")</formula>
    </cfRule>
  </conditionalFormatting>
  <conditionalFormatting sqref="AI14">
    <cfRule type="expression" dxfId="1143" priority="299">
      <formula>OR($A14="Sa",$A14="So")</formula>
    </cfRule>
    <cfRule type="expression" dxfId="1142" priority="300">
      <formula>AND(AH14&gt;0,INDIRECT("Basistabelle!G" &amp; ($A$1+AI$1+AH14))&lt;="",INDIRECT("Basistabelle!H" &amp; ($A$1+AI$1+AH14))&gt;"")</formula>
    </cfRule>
  </conditionalFormatting>
  <conditionalFormatting sqref="AI15">
    <cfRule type="expression" dxfId="1141" priority="297">
      <formula>OR($A15="Sa",$A15="So")</formula>
    </cfRule>
    <cfRule type="expression" dxfId="1140" priority="298">
      <formula>AND(AH15&gt;0,INDIRECT("Basistabelle!G" &amp; ($A$1+AI$1+AH15))&lt;="",INDIRECT("Basistabelle!H" &amp; ($A$1+AI$1+AH15))&gt;"")</formula>
    </cfRule>
  </conditionalFormatting>
  <conditionalFormatting sqref="AI16">
    <cfRule type="expression" dxfId="1139" priority="295">
      <formula>OR($A16="Sa",$A16="So")</formula>
    </cfRule>
    <cfRule type="expression" dxfId="1138" priority="296">
      <formula>AND(AH16&gt;0,INDIRECT("Basistabelle!G" &amp; ($A$1+AI$1+AH16))&lt;="",INDIRECT("Basistabelle!H" &amp; ($A$1+AI$1+AH16))&gt;"")</formula>
    </cfRule>
  </conditionalFormatting>
  <conditionalFormatting sqref="AI17">
    <cfRule type="expression" dxfId="1137" priority="293">
      <formula>OR($A17="Sa",$A17="So")</formula>
    </cfRule>
    <cfRule type="expression" dxfId="1136" priority="294">
      <formula>AND(AH17&gt;0,INDIRECT("Basistabelle!G" &amp; ($A$1+AI$1+AH17))&lt;="",INDIRECT("Basistabelle!H" &amp; ($A$1+AI$1+AH17))&gt;"")</formula>
    </cfRule>
  </conditionalFormatting>
  <conditionalFormatting sqref="AI18">
    <cfRule type="expression" dxfId="1135" priority="291">
      <formula>OR($A18="Sa",$A18="So")</formula>
    </cfRule>
    <cfRule type="expression" dxfId="1134" priority="292">
      <formula>AND(AH18&gt;0,INDIRECT("Basistabelle!G" &amp; ($A$1+AI$1+AH18))&lt;="",INDIRECT("Basistabelle!H" &amp; ($A$1+AI$1+AH18))&gt;"")</formula>
    </cfRule>
  </conditionalFormatting>
  <conditionalFormatting sqref="AI19">
    <cfRule type="expression" dxfId="1133" priority="289">
      <formula>OR($A19="Sa",$A19="So")</formula>
    </cfRule>
    <cfRule type="expression" dxfId="1132" priority="290">
      <formula>AND(AH19&gt;0,INDIRECT("Basistabelle!G" &amp; ($A$1+AI$1+AH19))&lt;="",INDIRECT("Basistabelle!H" &amp; ($A$1+AI$1+AH19))&gt;"")</formula>
    </cfRule>
  </conditionalFormatting>
  <conditionalFormatting sqref="AI20">
    <cfRule type="expression" dxfId="1131" priority="287">
      <formula>OR($A20="Sa",$A20="So")</formula>
    </cfRule>
    <cfRule type="expression" dxfId="1130" priority="288">
      <formula>AND(AH20&gt;0,INDIRECT("Basistabelle!G" &amp; ($A$1+AI$1+AH20))&lt;="",INDIRECT("Basistabelle!H" &amp; ($A$1+AI$1+AH20))&gt;"")</formula>
    </cfRule>
  </conditionalFormatting>
  <conditionalFormatting sqref="AI21">
    <cfRule type="expression" dxfId="1129" priority="285">
      <formula>OR($A21="Sa",$A21="So")</formula>
    </cfRule>
    <cfRule type="expression" dxfId="1128" priority="286">
      <formula>AND(AH21&gt;0,INDIRECT("Basistabelle!G" &amp; ($A$1+AI$1+AH21))&lt;="",INDIRECT("Basistabelle!H" &amp; ($A$1+AI$1+AH21))&gt;"")</formula>
    </cfRule>
  </conditionalFormatting>
  <conditionalFormatting sqref="AI22">
    <cfRule type="expression" dxfId="1127" priority="283">
      <formula>OR($A22="Sa",$A22="So")</formula>
    </cfRule>
    <cfRule type="expression" dxfId="1126" priority="284">
      <formula>AND(AH22&gt;0,INDIRECT("Basistabelle!G" &amp; ($A$1+AI$1+AH22))&lt;="",INDIRECT("Basistabelle!H" &amp; ($A$1+AI$1+AH22))&gt;"")</formula>
    </cfRule>
  </conditionalFormatting>
  <conditionalFormatting sqref="AI23">
    <cfRule type="expression" dxfId="1125" priority="281">
      <formula>OR($A23="Sa",$A23="So")</formula>
    </cfRule>
    <cfRule type="expression" dxfId="1124" priority="282">
      <formula>AND(AH23&gt;0,INDIRECT("Basistabelle!G" &amp; ($A$1+AI$1+AH23))&lt;="",INDIRECT("Basistabelle!H" &amp; ($A$1+AI$1+AH23))&gt;"")</formula>
    </cfRule>
  </conditionalFormatting>
  <conditionalFormatting sqref="AI24">
    <cfRule type="expression" dxfId="1123" priority="279">
      <formula>OR($A24="Sa",$A24="So")</formula>
    </cfRule>
    <cfRule type="expression" dxfId="1122" priority="280">
      <formula>AND(AH24&gt;0,INDIRECT("Basistabelle!G" &amp; ($A$1+AI$1+AH24))&lt;="",INDIRECT("Basistabelle!H" &amp; ($A$1+AI$1+AH24))&gt;"")</formula>
    </cfRule>
  </conditionalFormatting>
  <conditionalFormatting sqref="AI25">
    <cfRule type="expression" dxfId="1121" priority="277">
      <formula>OR($A25="Sa",$A25="So")</formula>
    </cfRule>
    <cfRule type="expression" dxfId="1120" priority="278">
      <formula>AND(AH25&gt;0,INDIRECT("Basistabelle!G" &amp; ($A$1+AI$1+AH25))&lt;="",INDIRECT("Basistabelle!H" &amp; ($A$1+AI$1+AH25))&gt;"")</formula>
    </cfRule>
  </conditionalFormatting>
  <conditionalFormatting sqref="AI26">
    <cfRule type="expression" dxfId="1119" priority="275">
      <formula>OR($A26="Sa",$A26="So")</formula>
    </cfRule>
    <cfRule type="expression" dxfId="1118" priority="276">
      <formula>AND(AH26&gt;0,INDIRECT("Basistabelle!G" &amp; ($A$1+AI$1+AH26))&lt;="",INDIRECT("Basistabelle!H" &amp; ($A$1+AI$1+AH26))&gt;"")</formula>
    </cfRule>
  </conditionalFormatting>
  <conditionalFormatting sqref="AI27">
    <cfRule type="expression" dxfId="1117" priority="273">
      <formula>OR($A27="Sa",$A27="So")</formula>
    </cfRule>
    <cfRule type="expression" dxfId="1116" priority="274">
      <formula>AND(AH27&gt;0,INDIRECT("Basistabelle!G" &amp; ($A$1+AI$1+AH27))&lt;="",INDIRECT("Basistabelle!H" &amp; ($A$1+AI$1+AH27))&gt;"")</formula>
    </cfRule>
  </conditionalFormatting>
  <conditionalFormatting sqref="AI28">
    <cfRule type="expression" dxfId="1115" priority="271">
      <formula>OR($A28="Sa",$A28="So")</formula>
    </cfRule>
    <cfRule type="expression" dxfId="1114" priority="272">
      <formula>AND(AH28&gt;0,INDIRECT("Basistabelle!G" &amp; ($A$1+AI$1+AH28))&lt;="",INDIRECT("Basistabelle!H" &amp; ($A$1+AI$1+AH28))&gt;"")</formula>
    </cfRule>
  </conditionalFormatting>
  <conditionalFormatting sqref="AI29">
    <cfRule type="expression" dxfId="1113" priority="269">
      <formula>OR($A29="Sa",$A29="So")</formula>
    </cfRule>
    <cfRule type="expression" dxfId="1112" priority="270">
      <formula>AND(AH29&gt;0,INDIRECT("Basistabelle!G" &amp; ($A$1+AI$1+AH29))&lt;="",INDIRECT("Basistabelle!H" &amp; ($A$1+AI$1+AH29))&gt;"")</formula>
    </cfRule>
  </conditionalFormatting>
  <conditionalFormatting sqref="AI30">
    <cfRule type="expression" dxfId="1111" priority="267">
      <formula>OR($A30="Sa",$A30="So")</formula>
    </cfRule>
    <cfRule type="expression" dxfId="1110" priority="268">
      <formula>AND(AH30&gt;0,INDIRECT("Basistabelle!G" &amp; ($A$1+AI$1+AH30))&lt;="",INDIRECT("Basistabelle!H" &amp; ($A$1+AI$1+AH30))&gt;"")</formula>
    </cfRule>
  </conditionalFormatting>
  <conditionalFormatting sqref="AI31">
    <cfRule type="expression" dxfId="1109" priority="265">
      <formula>OR($A31="Sa",$A31="So")</formula>
    </cfRule>
    <cfRule type="expression" dxfId="1108" priority="266">
      <formula>AND(AH31&gt;0,INDIRECT("Basistabelle!G" &amp; ($A$1+AI$1+AH31))&lt;="",INDIRECT("Basistabelle!H" &amp; ($A$1+AI$1+AH31))&gt;"")</formula>
    </cfRule>
  </conditionalFormatting>
  <conditionalFormatting sqref="AI32">
    <cfRule type="expression" dxfId="1107" priority="263">
      <formula>OR($A32="Sa",$A32="So")</formula>
    </cfRule>
    <cfRule type="expression" dxfId="1106" priority="264">
      <formula>AND(AH32&gt;0,INDIRECT("Basistabelle!G" &amp; ($A$1+AI$1+AH32))&lt;="",INDIRECT("Basistabelle!H" &amp; ($A$1+AI$1+AH32))&gt;"")</formula>
    </cfRule>
  </conditionalFormatting>
  <conditionalFormatting sqref="AI33">
    <cfRule type="expression" dxfId="1105" priority="261">
      <formula>OR($A33="Sa",$A33="So")</formula>
    </cfRule>
    <cfRule type="expression" dxfId="1104" priority="262">
      <formula>AND(AH33&gt;0,INDIRECT("Basistabelle!G" &amp; ($A$1+AI$1+AH33))&lt;="",INDIRECT("Basistabelle!H" &amp; ($A$1+AI$1+AH33))&gt;"")</formula>
    </cfRule>
  </conditionalFormatting>
  <conditionalFormatting sqref="AI34">
    <cfRule type="expression" dxfId="1103" priority="259">
      <formula>OR($A34="Sa",$A34="So")</formula>
    </cfRule>
    <cfRule type="expression" dxfId="1102" priority="260">
      <formula>AND(AH34&gt;0,INDIRECT("Basistabelle!G" &amp; ($A$1+AI$1+AH34))&lt;="",INDIRECT("Basistabelle!H" &amp; ($A$1+AI$1+AH34))&gt;"")</formula>
    </cfRule>
  </conditionalFormatting>
  <conditionalFormatting sqref="AI35">
    <cfRule type="expression" dxfId="1101" priority="257">
      <formula>OR($A35="Sa",$A35="So")</formula>
    </cfRule>
    <cfRule type="expression" dxfId="1100" priority="258">
      <formula>AND(AH35&gt;0,INDIRECT("Basistabelle!G" &amp; ($A$1+AI$1+AH35))&lt;="",INDIRECT("Basistabelle!H" &amp; ($A$1+AI$1+AH35))&gt;"")</formula>
    </cfRule>
  </conditionalFormatting>
  <conditionalFormatting sqref="AI36">
    <cfRule type="expression" dxfId="1099" priority="255">
      <formula>OR($A36="Sa",$A36="So")</formula>
    </cfRule>
    <cfRule type="expression" dxfId="1098" priority="256">
      <formula>AND(AH36&gt;0,INDIRECT("Basistabelle!G" &amp; ($A$1+AI$1+AH36))&lt;="",INDIRECT("Basistabelle!H" &amp; ($A$1+AI$1+AH36))&gt;"")</formula>
    </cfRule>
  </conditionalFormatting>
  <conditionalFormatting sqref="AI37">
    <cfRule type="expression" dxfId="1097" priority="253">
      <formula>OR($A37="Sa",$A37="So")</formula>
    </cfRule>
    <cfRule type="expression" dxfId="1096" priority="254">
      <formula>AND(AH37&gt;0,INDIRECT("Basistabelle!G" &amp; ($A$1+AI$1+AH37))&lt;="",INDIRECT("Basistabelle!H" &amp; ($A$1+AI$1+AH37))&gt;"")</formula>
    </cfRule>
  </conditionalFormatting>
  <conditionalFormatting sqref="AI38">
    <cfRule type="expression" dxfId="1095" priority="251">
      <formula>OR($A38="Sa",$A38="So")</formula>
    </cfRule>
    <cfRule type="expression" dxfId="1094" priority="252">
      <formula>AND(AH38&gt;0,INDIRECT("Basistabelle!G" &amp; ($A$1+AI$1+AH38))&lt;="",INDIRECT("Basistabelle!H" &amp; ($A$1+AI$1+AH38))&gt;"")</formula>
    </cfRule>
  </conditionalFormatting>
  <conditionalFormatting sqref="AI39">
    <cfRule type="expression" dxfId="1093" priority="249">
      <formula>OR($A39="Sa",$A39="So")</formula>
    </cfRule>
    <cfRule type="expression" dxfId="1092" priority="250">
      <formula>AND(AH39&gt;0,INDIRECT("Basistabelle!G" &amp; ($A$1+AI$1+AH39))&lt;="",INDIRECT("Basistabelle!H" &amp; ($A$1+AI$1+AH39))&gt;"")</formula>
    </cfRule>
  </conditionalFormatting>
  <conditionalFormatting sqref="AI40">
    <cfRule type="expression" dxfId="1091" priority="247">
      <formula>OR($A40="Sa",$A40="So")</formula>
    </cfRule>
    <cfRule type="expression" dxfId="1090" priority="248">
      <formula>AND(AH40&gt;0,INDIRECT("Basistabelle!G" &amp; ($A$1+AI$1+AH40))&lt;="",INDIRECT("Basistabelle!H" &amp; ($A$1+AI$1+AH40))&gt;"")</formula>
    </cfRule>
  </conditionalFormatting>
  <conditionalFormatting sqref="AI41">
    <cfRule type="expression" dxfId="1089" priority="245">
      <formula>OR($A41="Sa",$A41="So")</formula>
    </cfRule>
    <cfRule type="expression" dxfId="1088" priority="246">
      <formula>AND(AH41&gt;0,INDIRECT("Basistabelle!G" &amp; ($A$1+AI$1+AH41))&lt;="",INDIRECT("Basistabelle!H" &amp; ($A$1+AI$1+AH41))&gt;"")</formula>
    </cfRule>
  </conditionalFormatting>
  <conditionalFormatting sqref="AA3">
    <cfRule type="expression" dxfId="1087" priority="243">
      <formula>OR($A3="Sa",$A3="So")</formula>
    </cfRule>
    <cfRule type="expression" dxfId="1086" priority="244">
      <formula>AND(Z3&gt;0,INDIRECT("Basistabelle!G" &amp; ($A$1+AA$1+Z3))&lt;="",INDIRECT("Basistabelle!H" &amp; ($A$1+AA$1+Z3))&gt;"")</formula>
    </cfRule>
  </conditionalFormatting>
  <conditionalFormatting sqref="AA4">
    <cfRule type="expression" dxfId="1085" priority="241">
      <formula>OR($A4="Sa",$A4="So")</formula>
    </cfRule>
    <cfRule type="expression" dxfId="1084" priority="242">
      <formula>AND(Z4&gt;0,INDIRECT("Basistabelle!G" &amp; ($A$1+AA$1+Z4))&lt;="",INDIRECT("Basistabelle!H" &amp; ($A$1+AA$1+Z4))&gt;"")</formula>
    </cfRule>
  </conditionalFormatting>
  <conditionalFormatting sqref="AA5">
    <cfRule type="expression" dxfId="1083" priority="239">
      <formula>OR($A5="Sa",$A5="So")</formula>
    </cfRule>
    <cfRule type="expression" dxfId="1082" priority="240">
      <formula>AND(Z5&gt;0,INDIRECT("Basistabelle!G" &amp; ($A$1+AA$1+Z5))&lt;="",INDIRECT("Basistabelle!H" &amp; ($A$1+AA$1+Z5))&gt;"")</formula>
    </cfRule>
  </conditionalFormatting>
  <conditionalFormatting sqref="AA6">
    <cfRule type="expression" dxfId="1081" priority="237">
      <formula>OR($A6="Sa",$A6="So")</formula>
    </cfRule>
    <cfRule type="expression" dxfId="1080" priority="238">
      <formula>AND(Z6&gt;0,INDIRECT("Basistabelle!G" &amp; ($A$1+AA$1+Z6))&lt;="",INDIRECT("Basistabelle!H" &amp; ($A$1+AA$1+Z6))&gt;"")</formula>
    </cfRule>
  </conditionalFormatting>
  <conditionalFormatting sqref="AA7">
    <cfRule type="expression" dxfId="1079" priority="235">
      <formula>OR($A7="Sa",$A7="So")</formula>
    </cfRule>
    <cfRule type="expression" dxfId="1078" priority="236">
      <formula>AND(Z7&gt;0,INDIRECT("Basistabelle!G" &amp; ($A$1+AA$1+Z7))&lt;="",INDIRECT("Basistabelle!H" &amp; ($A$1+AA$1+Z7))&gt;"")</formula>
    </cfRule>
  </conditionalFormatting>
  <conditionalFormatting sqref="AA8">
    <cfRule type="expression" dxfId="1077" priority="233">
      <formula>OR($A8="Sa",$A8="So")</formula>
    </cfRule>
    <cfRule type="expression" dxfId="1076" priority="234">
      <formula>AND(Z8&gt;0,INDIRECT("Basistabelle!G" &amp; ($A$1+AA$1+Z8))&lt;="",INDIRECT("Basistabelle!H" &amp; ($A$1+AA$1+Z8))&gt;"")</formula>
    </cfRule>
  </conditionalFormatting>
  <conditionalFormatting sqref="AA9">
    <cfRule type="expression" dxfId="1075" priority="231">
      <formula>OR($A9="Sa",$A9="So")</formula>
    </cfRule>
    <cfRule type="expression" dxfId="1074" priority="232">
      <formula>AND(Z9&gt;0,INDIRECT("Basistabelle!G" &amp; ($A$1+AA$1+Z9))&lt;="",INDIRECT("Basistabelle!H" &amp; ($A$1+AA$1+Z9))&gt;"")</formula>
    </cfRule>
  </conditionalFormatting>
  <conditionalFormatting sqref="AA10">
    <cfRule type="expression" dxfId="1073" priority="229">
      <formula>OR($A10="Sa",$A10="So")</formula>
    </cfRule>
    <cfRule type="expression" dxfId="1072" priority="230">
      <formula>AND(Z10&gt;0,INDIRECT("Basistabelle!G" &amp; ($A$1+AA$1+Z10))&lt;="",INDIRECT("Basistabelle!H" &amp; ($A$1+AA$1+Z10))&gt;"")</formula>
    </cfRule>
  </conditionalFormatting>
  <conditionalFormatting sqref="AA11">
    <cfRule type="expression" dxfId="1071" priority="227">
      <formula>OR($A11="Sa",$A11="So")</formula>
    </cfRule>
    <cfRule type="expression" dxfId="1070" priority="228">
      <formula>AND(Z11&gt;0,INDIRECT("Basistabelle!G" &amp; ($A$1+AA$1+Z11))&lt;="",INDIRECT("Basistabelle!H" &amp; ($A$1+AA$1+Z11))&gt;"")</formula>
    </cfRule>
  </conditionalFormatting>
  <conditionalFormatting sqref="AA12">
    <cfRule type="expression" dxfId="1069" priority="225">
      <formula>OR($A12="Sa",$A12="So")</formula>
    </cfRule>
    <cfRule type="expression" dxfId="1068" priority="226">
      <formula>AND(Z12&gt;0,INDIRECT("Basistabelle!G" &amp; ($A$1+AA$1+Z12))&lt;="",INDIRECT("Basistabelle!H" &amp; ($A$1+AA$1+Z12))&gt;"")</formula>
    </cfRule>
  </conditionalFormatting>
  <conditionalFormatting sqref="AA13">
    <cfRule type="expression" dxfId="1067" priority="223">
      <formula>OR($A13="Sa",$A13="So")</formula>
    </cfRule>
    <cfRule type="expression" dxfId="1066" priority="224">
      <formula>AND(Z13&gt;0,INDIRECT("Basistabelle!G" &amp; ($A$1+AA$1+Z13))&lt;="",INDIRECT("Basistabelle!H" &amp; ($A$1+AA$1+Z13))&gt;"")</formula>
    </cfRule>
  </conditionalFormatting>
  <conditionalFormatting sqref="AA14">
    <cfRule type="expression" dxfId="1065" priority="221">
      <formula>OR($A14="Sa",$A14="So")</formula>
    </cfRule>
    <cfRule type="expression" dxfId="1064" priority="222">
      <formula>AND(Z14&gt;0,INDIRECT("Basistabelle!G" &amp; ($A$1+AA$1+Z14))&lt;="",INDIRECT("Basistabelle!H" &amp; ($A$1+AA$1+Z14))&gt;"")</formula>
    </cfRule>
  </conditionalFormatting>
  <conditionalFormatting sqref="AA15">
    <cfRule type="expression" dxfId="1063" priority="219">
      <formula>OR($A15="Sa",$A15="So")</formula>
    </cfRule>
    <cfRule type="expression" dxfId="1062" priority="220">
      <formula>AND(Z15&gt;0,INDIRECT("Basistabelle!G" &amp; ($A$1+AA$1+Z15))&lt;="",INDIRECT("Basistabelle!H" &amp; ($A$1+AA$1+Z15))&gt;"")</formula>
    </cfRule>
  </conditionalFormatting>
  <conditionalFormatting sqref="AA16">
    <cfRule type="expression" dxfId="1061" priority="217">
      <formula>OR($A16="Sa",$A16="So")</formula>
    </cfRule>
    <cfRule type="expression" dxfId="1060" priority="218">
      <formula>AND(Z16&gt;0,INDIRECT("Basistabelle!G" &amp; ($A$1+AA$1+Z16))&lt;="",INDIRECT("Basistabelle!H" &amp; ($A$1+AA$1+Z16))&gt;"")</formula>
    </cfRule>
  </conditionalFormatting>
  <conditionalFormatting sqref="AA17">
    <cfRule type="expression" dxfId="1059" priority="215">
      <formula>OR($A17="Sa",$A17="So")</formula>
    </cfRule>
    <cfRule type="expression" dxfId="1058" priority="216">
      <formula>AND(Z17&gt;0,INDIRECT("Basistabelle!G" &amp; ($A$1+AA$1+Z17))&lt;="",INDIRECT("Basistabelle!H" &amp; ($A$1+AA$1+Z17))&gt;"")</formula>
    </cfRule>
  </conditionalFormatting>
  <conditionalFormatting sqref="AA18">
    <cfRule type="expression" dxfId="1057" priority="213">
      <formula>OR($A18="Sa",$A18="So")</formula>
    </cfRule>
    <cfRule type="expression" dxfId="1056" priority="214">
      <formula>AND(Z18&gt;0,INDIRECT("Basistabelle!G" &amp; ($A$1+AA$1+Z18))&lt;="",INDIRECT("Basistabelle!H" &amp; ($A$1+AA$1+Z18))&gt;"")</formula>
    </cfRule>
  </conditionalFormatting>
  <conditionalFormatting sqref="AA19">
    <cfRule type="expression" dxfId="1055" priority="211">
      <formula>OR($A19="Sa",$A19="So")</formula>
    </cfRule>
    <cfRule type="expression" dxfId="1054" priority="212">
      <formula>AND(Z19&gt;0,INDIRECT("Basistabelle!G" &amp; ($A$1+AA$1+Z19))&lt;="",INDIRECT("Basistabelle!H" &amp; ($A$1+AA$1+Z19))&gt;"")</formula>
    </cfRule>
  </conditionalFormatting>
  <conditionalFormatting sqref="AA20">
    <cfRule type="expression" dxfId="1053" priority="209">
      <formula>OR($A20="Sa",$A20="So")</formula>
    </cfRule>
    <cfRule type="expression" dxfId="1052" priority="210">
      <formula>AND(Z20&gt;0,INDIRECT("Basistabelle!G" &amp; ($A$1+AA$1+Z20))&lt;="",INDIRECT("Basistabelle!H" &amp; ($A$1+AA$1+Z20))&gt;"")</formula>
    </cfRule>
  </conditionalFormatting>
  <conditionalFormatting sqref="AA21">
    <cfRule type="expression" dxfId="1051" priority="207">
      <formula>OR($A21="Sa",$A21="So")</formula>
    </cfRule>
    <cfRule type="expression" dxfId="1050" priority="208">
      <formula>AND(Z21&gt;0,INDIRECT("Basistabelle!G" &amp; ($A$1+AA$1+Z21))&lt;="",INDIRECT("Basistabelle!H" &amp; ($A$1+AA$1+Z21))&gt;"")</formula>
    </cfRule>
  </conditionalFormatting>
  <conditionalFormatting sqref="AA22">
    <cfRule type="expression" dxfId="1049" priority="205">
      <formula>OR($A22="Sa",$A22="So")</formula>
    </cfRule>
    <cfRule type="expression" dxfId="1048" priority="206">
      <formula>AND(Z22&gt;0,INDIRECT("Basistabelle!G" &amp; ($A$1+AA$1+Z22))&lt;="",INDIRECT("Basistabelle!H" &amp; ($A$1+AA$1+Z22))&gt;"")</formula>
    </cfRule>
  </conditionalFormatting>
  <conditionalFormatting sqref="AA23">
    <cfRule type="expression" dxfId="1047" priority="203">
      <formula>OR($A23="Sa",$A23="So")</formula>
    </cfRule>
    <cfRule type="expression" dxfId="1046" priority="204">
      <formula>AND(Z23&gt;0,INDIRECT("Basistabelle!G" &amp; ($A$1+AA$1+Z23))&lt;="",INDIRECT("Basistabelle!H" &amp; ($A$1+AA$1+Z23))&gt;"")</formula>
    </cfRule>
  </conditionalFormatting>
  <conditionalFormatting sqref="AA24">
    <cfRule type="expression" dxfId="1045" priority="201">
      <formula>OR($A24="Sa",$A24="So")</formula>
    </cfRule>
    <cfRule type="expression" dxfId="1044" priority="202">
      <formula>AND(Z24&gt;0,INDIRECT("Basistabelle!G" &amp; ($A$1+AA$1+Z24))&lt;="",INDIRECT("Basistabelle!H" &amp; ($A$1+AA$1+Z24))&gt;"")</formula>
    </cfRule>
  </conditionalFormatting>
  <conditionalFormatting sqref="AA25">
    <cfRule type="expression" dxfId="1043" priority="199">
      <formula>OR($A25="Sa",$A25="So")</formula>
    </cfRule>
    <cfRule type="expression" dxfId="1042" priority="200">
      <formula>AND(Z25&gt;0,INDIRECT("Basistabelle!G" &amp; ($A$1+AA$1+Z25))&lt;="",INDIRECT("Basistabelle!H" &amp; ($A$1+AA$1+Z25))&gt;"")</formula>
    </cfRule>
  </conditionalFormatting>
  <conditionalFormatting sqref="AA26">
    <cfRule type="expression" dxfId="1041" priority="197">
      <formula>OR($A26="Sa",$A26="So")</formula>
    </cfRule>
    <cfRule type="expression" dxfId="1040" priority="198">
      <formula>AND(Z26&gt;0,INDIRECT("Basistabelle!G" &amp; ($A$1+AA$1+Z26))&lt;="",INDIRECT("Basistabelle!H" &amp; ($A$1+AA$1+Z26))&gt;"")</formula>
    </cfRule>
  </conditionalFormatting>
  <conditionalFormatting sqref="AA27">
    <cfRule type="expression" dxfId="1039" priority="195">
      <formula>OR($A27="Sa",$A27="So")</formula>
    </cfRule>
    <cfRule type="expression" dxfId="1038" priority="196">
      <formula>AND(Z27&gt;0,INDIRECT("Basistabelle!G" &amp; ($A$1+AA$1+Z27))&lt;="",INDIRECT("Basistabelle!H" &amp; ($A$1+AA$1+Z27))&gt;"")</formula>
    </cfRule>
  </conditionalFormatting>
  <conditionalFormatting sqref="AA28">
    <cfRule type="expression" dxfId="1037" priority="193">
      <formula>OR($A28="Sa",$A28="So")</formula>
    </cfRule>
    <cfRule type="expression" dxfId="1036" priority="194">
      <formula>AND(Z28&gt;0,INDIRECT("Basistabelle!G" &amp; ($A$1+AA$1+Z28))&lt;="",INDIRECT("Basistabelle!H" &amp; ($A$1+AA$1+Z28))&gt;"")</formula>
    </cfRule>
  </conditionalFormatting>
  <conditionalFormatting sqref="AA29">
    <cfRule type="expression" dxfId="1035" priority="191">
      <formula>OR($A29="Sa",$A29="So")</formula>
    </cfRule>
    <cfRule type="expression" dxfId="1034" priority="192">
      <formula>AND(Z29&gt;0,INDIRECT("Basistabelle!G" &amp; ($A$1+AA$1+Z29))&lt;="",INDIRECT("Basistabelle!H" &amp; ($A$1+AA$1+Z29))&gt;"")</formula>
    </cfRule>
  </conditionalFormatting>
  <conditionalFormatting sqref="AA30">
    <cfRule type="expression" dxfId="1033" priority="189">
      <formula>OR($A30="Sa",$A30="So")</formula>
    </cfRule>
    <cfRule type="expression" dxfId="1032" priority="190">
      <formula>AND(Z30&gt;0,INDIRECT("Basistabelle!G" &amp; ($A$1+AA$1+Z30))&lt;="",INDIRECT("Basistabelle!H" &amp; ($A$1+AA$1+Z30))&gt;"")</formula>
    </cfRule>
  </conditionalFormatting>
  <conditionalFormatting sqref="AA31">
    <cfRule type="expression" dxfId="1031" priority="187">
      <formula>OR($A31="Sa",$A31="So")</formula>
    </cfRule>
    <cfRule type="expression" dxfId="1030" priority="188">
      <formula>AND(Z31&gt;0,INDIRECT("Basistabelle!G" &amp; ($A$1+AA$1+Z31))&lt;="",INDIRECT("Basistabelle!H" &amp; ($A$1+AA$1+Z31))&gt;"")</formula>
    </cfRule>
  </conditionalFormatting>
  <conditionalFormatting sqref="AA32">
    <cfRule type="expression" dxfId="1029" priority="185">
      <formula>OR($A32="Sa",$A32="So")</formula>
    </cfRule>
    <cfRule type="expression" dxfId="1028" priority="186">
      <formula>AND(Z32&gt;0,INDIRECT("Basistabelle!G" &amp; ($A$1+AA$1+Z32))&lt;="",INDIRECT("Basistabelle!H" &amp; ($A$1+AA$1+Z32))&gt;"")</formula>
    </cfRule>
  </conditionalFormatting>
  <conditionalFormatting sqref="AA33">
    <cfRule type="expression" dxfId="1027" priority="183">
      <formula>OR($A33="Sa",$A33="So")</formula>
    </cfRule>
    <cfRule type="expression" dxfId="1026" priority="184">
      <formula>AND(Z33&gt;0,INDIRECT("Basistabelle!G" &amp; ($A$1+AA$1+Z33))&lt;="",INDIRECT("Basistabelle!H" &amp; ($A$1+AA$1+Z33))&gt;"")</formula>
    </cfRule>
  </conditionalFormatting>
  <conditionalFormatting sqref="AA34">
    <cfRule type="expression" dxfId="1025" priority="181">
      <formula>OR($A34="Sa",$A34="So")</formula>
    </cfRule>
    <cfRule type="expression" dxfId="1024" priority="182">
      <formula>AND(Z34&gt;0,INDIRECT("Basistabelle!G" &amp; ($A$1+AA$1+Z34))&lt;="",INDIRECT("Basistabelle!H" &amp; ($A$1+AA$1+Z34))&gt;"")</formula>
    </cfRule>
  </conditionalFormatting>
  <conditionalFormatting sqref="AA35">
    <cfRule type="expression" dxfId="1023" priority="179">
      <formula>OR($A35="Sa",$A35="So")</formula>
    </cfRule>
    <cfRule type="expression" dxfId="1022" priority="180">
      <formula>AND(Z35&gt;0,INDIRECT("Basistabelle!G" &amp; ($A$1+AA$1+Z35))&lt;="",INDIRECT("Basistabelle!H" &amp; ($A$1+AA$1+Z35))&gt;"")</formula>
    </cfRule>
  </conditionalFormatting>
  <conditionalFormatting sqref="AA36">
    <cfRule type="expression" dxfId="1021" priority="177">
      <formula>OR($A36="Sa",$A36="So")</formula>
    </cfRule>
    <cfRule type="expression" dxfId="1020" priority="178">
      <formula>AND(Z36&gt;0,INDIRECT("Basistabelle!G" &amp; ($A$1+AA$1+Z36))&lt;="",INDIRECT("Basistabelle!H" &amp; ($A$1+AA$1+Z36))&gt;"")</formula>
    </cfRule>
  </conditionalFormatting>
  <conditionalFormatting sqref="AA37">
    <cfRule type="expression" dxfId="1019" priority="175">
      <formula>OR($A37="Sa",$A37="So")</formula>
    </cfRule>
    <cfRule type="expression" dxfId="1018" priority="176">
      <formula>AND(Z37&gt;0,INDIRECT("Basistabelle!G" &amp; ($A$1+AA$1+Z37))&lt;="",INDIRECT("Basistabelle!H" &amp; ($A$1+AA$1+Z37))&gt;"")</formula>
    </cfRule>
  </conditionalFormatting>
  <conditionalFormatting sqref="AA38">
    <cfRule type="expression" dxfId="1017" priority="173">
      <formula>OR($A38="Sa",$A38="So")</formula>
    </cfRule>
    <cfRule type="expression" dxfId="1016" priority="174">
      <formula>AND(Z38&gt;0,INDIRECT("Basistabelle!G" &amp; ($A$1+AA$1+Z38))&lt;="",INDIRECT("Basistabelle!H" &amp; ($A$1+AA$1+Z38))&gt;"")</formula>
    </cfRule>
  </conditionalFormatting>
  <conditionalFormatting sqref="AA39">
    <cfRule type="expression" dxfId="1015" priority="171">
      <formula>OR($A39="Sa",$A39="So")</formula>
    </cfRule>
    <cfRule type="expression" dxfId="1014" priority="172">
      <formula>AND(Z39&gt;0,INDIRECT("Basistabelle!G" &amp; ($A$1+AA$1+Z39))&lt;="",INDIRECT("Basistabelle!H" &amp; ($A$1+AA$1+Z39))&gt;"")</formula>
    </cfRule>
  </conditionalFormatting>
  <conditionalFormatting sqref="AA40">
    <cfRule type="expression" dxfId="1013" priority="169">
      <formula>OR($A40="Sa",$A40="So")</formula>
    </cfRule>
    <cfRule type="expression" dxfId="1012" priority="170">
      <formula>AND(Z40&gt;0,INDIRECT("Basistabelle!G" &amp; ($A$1+AA$1+Z40))&lt;="",INDIRECT("Basistabelle!H" &amp; ($A$1+AA$1+Z40))&gt;"")</formula>
    </cfRule>
  </conditionalFormatting>
  <conditionalFormatting sqref="AA41">
    <cfRule type="expression" dxfId="1011" priority="167">
      <formula>OR($A41="Sa",$A41="So")</formula>
    </cfRule>
    <cfRule type="expression" dxfId="1010" priority="168">
      <formula>AND(Z41&gt;0,INDIRECT("Basistabelle!G" &amp; ($A$1+AA$1+Z41))&lt;="",INDIRECT("Basistabelle!H" &amp; ($A$1+AA$1+Z41))&gt;"")</formula>
    </cfRule>
  </conditionalFormatting>
  <conditionalFormatting sqref="AD5">
    <cfRule type="cellIs" dxfId="1009" priority="166" operator="equal">
      <formula>"x"</formula>
    </cfRule>
  </conditionalFormatting>
  <conditionalFormatting sqref="AD4">
    <cfRule type="cellIs" dxfId="1008" priority="165" operator="equal">
      <formula>"x"</formula>
    </cfRule>
  </conditionalFormatting>
  <conditionalFormatting sqref="AD3">
    <cfRule type="cellIs" dxfId="1007" priority="164" operator="equal">
      <formula>"x"</formula>
    </cfRule>
  </conditionalFormatting>
  <conditionalFormatting sqref="S3">
    <cfRule type="expression" dxfId="1006" priority="162">
      <formula>OR($A3="Sa",$A3="So")</formula>
    </cfRule>
    <cfRule type="expression" dxfId="1005" priority="163">
      <formula>AND(R3&gt;0,INDIRECT("Basistabelle!G" &amp; ($A$1+S$1+R3))&lt;="",INDIRECT("Basistabelle!H" &amp; ($A$1+S$1+R3))&gt;"")</formula>
    </cfRule>
  </conditionalFormatting>
  <conditionalFormatting sqref="S4">
    <cfRule type="expression" dxfId="1004" priority="160">
      <formula>OR($A4="Sa",$A4="So")</formula>
    </cfRule>
    <cfRule type="expression" dxfId="1003" priority="161">
      <formula>AND(R4&gt;0,INDIRECT("Basistabelle!G" &amp; ($A$1+S$1+R4))&lt;="",INDIRECT("Basistabelle!H" &amp; ($A$1+S$1+R4))&gt;"")</formula>
    </cfRule>
  </conditionalFormatting>
  <conditionalFormatting sqref="S5">
    <cfRule type="expression" dxfId="1002" priority="158">
      <formula>OR($A5="Sa",$A5="So")</formula>
    </cfRule>
    <cfRule type="expression" dxfId="1001" priority="159">
      <formula>AND(R5&gt;0,INDIRECT("Basistabelle!G" &amp; ($A$1+S$1+R5))&lt;="",INDIRECT("Basistabelle!H" &amp; ($A$1+S$1+R5))&gt;"")</formula>
    </cfRule>
  </conditionalFormatting>
  <conditionalFormatting sqref="S6">
    <cfRule type="expression" dxfId="1000" priority="156">
      <formula>OR($A6="Sa",$A6="So")</formula>
    </cfRule>
    <cfRule type="expression" dxfId="999" priority="157">
      <formula>AND(R6&gt;0,INDIRECT("Basistabelle!G" &amp; ($A$1+S$1+R6))&lt;="",INDIRECT("Basistabelle!H" &amp; ($A$1+S$1+R6))&gt;"")</formula>
    </cfRule>
  </conditionalFormatting>
  <conditionalFormatting sqref="S7">
    <cfRule type="expression" dxfId="998" priority="154">
      <formula>OR($A7="Sa",$A7="So")</formula>
    </cfRule>
    <cfRule type="expression" dxfId="997" priority="155">
      <formula>AND(R7&gt;0,INDIRECT("Basistabelle!G" &amp; ($A$1+S$1+R7))&lt;="",INDIRECT("Basistabelle!H" &amp; ($A$1+S$1+R7))&gt;"")</formula>
    </cfRule>
  </conditionalFormatting>
  <conditionalFormatting sqref="S8">
    <cfRule type="expression" dxfId="996" priority="152">
      <formula>OR($A8="Sa",$A8="So")</formula>
    </cfRule>
    <cfRule type="expression" dxfId="995" priority="153">
      <formula>AND(R8&gt;0,INDIRECT("Basistabelle!G" &amp; ($A$1+S$1+R8))&lt;="",INDIRECT("Basistabelle!H" &amp; ($A$1+S$1+R8))&gt;"")</formula>
    </cfRule>
  </conditionalFormatting>
  <conditionalFormatting sqref="S9">
    <cfRule type="expression" dxfId="994" priority="150">
      <formula>OR($A9="Sa",$A9="So")</formula>
    </cfRule>
    <cfRule type="expression" dxfId="993" priority="151">
      <formula>AND(R9&gt;0,INDIRECT("Basistabelle!G" &amp; ($A$1+S$1+R9))&lt;="",INDIRECT("Basistabelle!H" &amp; ($A$1+S$1+R9))&gt;"")</formula>
    </cfRule>
  </conditionalFormatting>
  <conditionalFormatting sqref="S10">
    <cfRule type="expression" dxfId="992" priority="148">
      <formula>OR($A10="Sa",$A10="So")</formula>
    </cfRule>
    <cfRule type="expression" dxfId="991" priority="149">
      <formula>AND(R10&gt;0,INDIRECT("Basistabelle!G" &amp; ($A$1+S$1+R10))&lt;="",INDIRECT("Basistabelle!H" &amp; ($A$1+S$1+R10))&gt;"")</formula>
    </cfRule>
  </conditionalFormatting>
  <conditionalFormatting sqref="S11">
    <cfRule type="expression" dxfId="990" priority="146">
      <formula>OR($A11="Sa",$A11="So")</formula>
    </cfRule>
    <cfRule type="expression" dxfId="989" priority="147">
      <formula>AND(R11&gt;0,INDIRECT("Basistabelle!G" &amp; ($A$1+S$1+R11))&lt;="",INDIRECT("Basistabelle!H" &amp; ($A$1+S$1+R11))&gt;"")</formula>
    </cfRule>
  </conditionalFormatting>
  <conditionalFormatting sqref="S12">
    <cfRule type="expression" dxfId="988" priority="144">
      <formula>OR($A12="Sa",$A12="So")</formula>
    </cfRule>
    <cfRule type="expression" dxfId="987" priority="145">
      <formula>AND(R12&gt;0,INDIRECT("Basistabelle!G" &amp; ($A$1+S$1+R12))&lt;="",INDIRECT("Basistabelle!H" &amp; ($A$1+S$1+R12))&gt;"")</formula>
    </cfRule>
  </conditionalFormatting>
  <conditionalFormatting sqref="S13">
    <cfRule type="expression" dxfId="986" priority="142">
      <formula>OR($A13="Sa",$A13="So")</formula>
    </cfRule>
    <cfRule type="expression" dxfId="985" priority="143">
      <formula>AND(R13&gt;0,INDIRECT("Basistabelle!G" &amp; ($A$1+S$1+R13))&lt;="",INDIRECT("Basistabelle!H" &amp; ($A$1+S$1+R13))&gt;"")</formula>
    </cfRule>
  </conditionalFormatting>
  <conditionalFormatting sqref="S14">
    <cfRule type="expression" dxfId="984" priority="140">
      <formula>OR($A14="Sa",$A14="So")</formula>
    </cfRule>
    <cfRule type="expression" dxfId="983" priority="141">
      <formula>AND(R14&gt;0,INDIRECT("Basistabelle!G" &amp; ($A$1+S$1+R14))&lt;="",INDIRECT("Basistabelle!H" &amp; ($A$1+S$1+R14))&gt;"")</formula>
    </cfRule>
  </conditionalFormatting>
  <conditionalFormatting sqref="S15">
    <cfRule type="expression" dxfId="982" priority="138">
      <formula>OR($A15="Sa",$A15="So")</formula>
    </cfRule>
    <cfRule type="expression" dxfId="981" priority="139">
      <formula>AND(R15&gt;0,INDIRECT("Basistabelle!G" &amp; ($A$1+S$1+R15))&lt;="",INDIRECT("Basistabelle!H" &amp; ($A$1+S$1+R15))&gt;"")</formula>
    </cfRule>
  </conditionalFormatting>
  <conditionalFormatting sqref="S16">
    <cfRule type="expression" dxfId="980" priority="136">
      <formula>OR($A16="Sa",$A16="So")</formula>
    </cfRule>
    <cfRule type="expression" dxfId="979" priority="137">
      <formula>AND(R16&gt;0,INDIRECT("Basistabelle!G" &amp; ($A$1+S$1+R16))&lt;="",INDIRECT("Basistabelle!H" &amp; ($A$1+S$1+R16))&gt;"")</formula>
    </cfRule>
  </conditionalFormatting>
  <conditionalFormatting sqref="S17">
    <cfRule type="expression" dxfId="978" priority="134">
      <formula>OR($A17="Sa",$A17="So")</formula>
    </cfRule>
    <cfRule type="expression" dxfId="977" priority="135">
      <formula>AND(R17&gt;0,INDIRECT("Basistabelle!G" &amp; ($A$1+S$1+R17))&lt;="",INDIRECT("Basistabelle!H" &amp; ($A$1+S$1+R17))&gt;"")</formula>
    </cfRule>
  </conditionalFormatting>
  <conditionalFormatting sqref="S18">
    <cfRule type="expression" dxfId="976" priority="132">
      <formula>OR($A18="Sa",$A18="So")</formula>
    </cfRule>
    <cfRule type="expression" dxfId="975" priority="133">
      <formula>AND(R18&gt;0,INDIRECT("Basistabelle!G" &amp; ($A$1+S$1+R18))&lt;="",INDIRECT("Basistabelle!H" &amp; ($A$1+S$1+R18))&gt;"")</formula>
    </cfRule>
  </conditionalFormatting>
  <conditionalFormatting sqref="S19">
    <cfRule type="expression" dxfId="974" priority="130">
      <formula>OR($A19="Sa",$A19="So")</formula>
    </cfRule>
    <cfRule type="expression" dxfId="973" priority="131">
      <formula>AND(R19&gt;0,INDIRECT("Basistabelle!G" &amp; ($A$1+S$1+R19))&lt;="",INDIRECT("Basistabelle!H" &amp; ($A$1+S$1+R19))&gt;"")</formula>
    </cfRule>
  </conditionalFormatting>
  <conditionalFormatting sqref="S20">
    <cfRule type="expression" dxfId="972" priority="128">
      <formula>OR($A20="Sa",$A20="So")</formula>
    </cfRule>
    <cfRule type="expression" dxfId="971" priority="129">
      <formula>AND(R20&gt;0,INDIRECT("Basistabelle!G" &amp; ($A$1+S$1+R20))&lt;="",INDIRECT("Basistabelle!H" &amp; ($A$1+S$1+R20))&gt;"")</formula>
    </cfRule>
  </conditionalFormatting>
  <conditionalFormatting sqref="S21">
    <cfRule type="expression" dxfId="970" priority="126">
      <formula>OR($A21="Sa",$A21="So")</formula>
    </cfRule>
    <cfRule type="expression" dxfId="969" priority="127">
      <formula>AND(R21&gt;0,INDIRECT("Basistabelle!G" &amp; ($A$1+S$1+R21))&lt;="",INDIRECT("Basistabelle!H" &amp; ($A$1+S$1+R21))&gt;"")</formula>
    </cfRule>
  </conditionalFormatting>
  <conditionalFormatting sqref="S22">
    <cfRule type="expression" dxfId="968" priority="124">
      <formula>OR($A22="Sa",$A22="So")</formula>
    </cfRule>
    <cfRule type="expression" dxfId="967" priority="125">
      <formula>AND(R22&gt;0,INDIRECT("Basistabelle!G" &amp; ($A$1+S$1+R22))&lt;="",INDIRECT("Basistabelle!H" &amp; ($A$1+S$1+R22))&gt;"")</formula>
    </cfRule>
  </conditionalFormatting>
  <conditionalFormatting sqref="S23">
    <cfRule type="expression" dxfId="966" priority="122">
      <formula>OR($A23="Sa",$A23="So")</formula>
    </cfRule>
    <cfRule type="expression" dxfId="965" priority="123">
      <formula>AND(R23&gt;0,INDIRECT("Basistabelle!G" &amp; ($A$1+S$1+R23))&lt;="",INDIRECT("Basistabelle!H" &amp; ($A$1+S$1+R23))&gt;"")</formula>
    </cfRule>
  </conditionalFormatting>
  <conditionalFormatting sqref="S24">
    <cfRule type="expression" dxfId="964" priority="120">
      <formula>OR($A24="Sa",$A24="So")</formula>
    </cfRule>
    <cfRule type="expression" dxfId="963" priority="121">
      <formula>AND(R24&gt;0,INDIRECT("Basistabelle!G" &amp; ($A$1+S$1+R24))&lt;="",INDIRECT("Basistabelle!H" &amp; ($A$1+S$1+R24))&gt;"")</formula>
    </cfRule>
  </conditionalFormatting>
  <conditionalFormatting sqref="S25">
    <cfRule type="expression" dxfId="962" priority="118">
      <formula>OR($A25="Sa",$A25="So")</formula>
    </cfRule>
    <cfRule type="expression" dxfId="961" priority="119">
      <formula>AND(R25&gt;0,INDIRECT("Basistabelle!G" &amp; ($A$1+S$1+R25))&lt;="",INDIRECT("Basistabelle!H" &amp; ($A$1+S$1+R25))&gt;"")</formula>
    </cfRule>
  </conditionalFormatting>
  <conditionalFormatting sqref="S26">
    <cfRule type="expression" dxfId="960" priority="116">
      <formula>OR($A26="Sa",$A26="So")</formula>
    </cfRule>
    <cfRule type="expression" dxfId="959" priority="117">
      <formula>AND(R26&gt;0,INDIRECT("Basistabelle!G" &amp; ($A$1+S$1+R26))&lt;="",INDIRECT("Basistabelle!H" &amp; ($A$1+S$1+R26))&gt;"")</formula>
    </cfRule>
  </conditionalFormatting>
  <conditionalFormatting sqref="S27">
    <cfRule type="expression" dxfId="958" priority="114">
      <formula>OR($A27="Sa",$A27="So")</formula>
    </cfRule>
    <cfRule type="expression" dxfId="957" priority="115">
      <formula>AND(R27&gt;0,INDIRECT("Basistabelle!G" &amp; ($A$1+S$1+R27))&lt;="",INDIRECT("Basistabelle!H" &amp; ($A$1+S$1+R27))&gt;"")</formula>
    </cfRule>
  </conditionalFormatting>
  <conditionalFormatting sqref="S28">
    <cfRule type="expression" dxfId="956" priority="112">
      <formula>OR($A28="Sa",$A28="So")</formula>
    </cfRule>
    <cfRule type="expression" dxfId="955" priority="113">
      <formula>AND(R28&gt;0,INDIRECT("Basistabelle!G" &amp; ($A$1+S$1+R28))&lt;="",INDIRECT("Basistabelle!H" &amp; ($A$1+S$1+R28))&gt;"")</formula>
    </cfRule>
  </conditionalFormatting>
  <conditionalFormatting sqref="S29">
    <cfRule type="expression" dxfId="954" priority="110">
      <formula>OR($A29="Sa",$A29="So")</formula>
    </cfRule>
    <cfRule type="expression" dxfId="953" priority="111">
      <formula>AND(R29&gt;0,INDIRECT("Basistabelle!G" &amp; ($A$1+S$1+R29))&lt;="",INDIRECT("Basistabelle!H" &amp; ($A$1+S$1+R29))&gt;"")</formula>
    </cfRule>
  </conditionalFormatting>
  <conditionalFormatting sqref="S30">
    <cfRule type="expression" dxfId="952" priority="108">
      <formula>OR($A30="Sa",$A30="So")</formula>
    </cfRule>
    <cfRule type="expression" dxfId="951" priority="109">
      <formula>AND(R30&gt;0,INDIRECT("Basistabelle!G" &amp; ($A$1+S$1+R30))&lt;="",INDIRECT("Basistabelle!H" &amp; ($A$1+S$1+R30))&gt;"")</formula>
    </cfRule>
  </conditionalFormatting>
  <conditionalFormatting sqref="S31">
    <cfRule type="expression" dxfId="950" priority="106">
      <formula>OR($A31="Sa",$A31="So")</formula>
    </cfRule>
    <cfRule type="expression" dxfId="949" priority="107">
      <formula>AND(R31&gt;0,INDIRECT("Basistabelle!G" &amp; ($A$1+S$1+R31))&lt;="",INDIRECT("Basistabelle!H" &amp; ($A$1+S$1+R31))&gt;"")</formula>
    </cfRule>
  </conditionalFormatting>
  <conditionalFormatting sqref="S32">
    <cfRule type="expression" dxfId="948" priority="104">
      <formula>OR($A32="Sa",$A32="So")</formula>
    </cfRule>
    <cfRule type="expression" dxfId="947" priority="105">
      <formula>AND(R32&gt;0,INDIRECT("Basistabelle!G" &amp; ($A$1+S$1+R32))&lt;="",INDIRECT("Basistabelle!H" &amp; ($A$1+S$1+R32))&gt;"")</formula>
    </cfRule>
  </conditionalFormatting>
  <conditionalFormatting sqref="S33">
    <cfRule type="expression" dxfId="946" priority="102">
      <formula>OR($A33="Sa",$A33="So")</formula>
    </cfRule>
    <cfRule type="expression" dxfId="945" priority="103">
      <formula>AND(R33&gt;0,INDIRECT("Basistabelle!G" &amp; ($A$1+S$1+R33))&lt;="",INDIRECT("Basistabelle!H" &amp; ($A$1+S$1+R33))&gt;"")</formula>
    </cfRule>
  </conditionalFormatting>
  <conditionalFormatting sqref="S34">
    <cfRule type="expression" dxfId="944" priority="100">
      <formula>OR($A34="Sa",$A34="So")</formula>
    </cfRule>
    <cfRule type="expression" dxfId="943" priority="101">
      <formula>AND(R34&gt;0,INDIRECT("Basistabelle!G" &amp; ($A$1+S$1+R34))&lt;="",INDIRECT("Basistabelle!H" &amp; ($A$1+S$1+R34))&gt;"")</formula>
    </cfRule>
  </conditionalFormatting>
  <conditionalFormatting sqref="S35">
    <cfRule type="expression" dxfId="942" priority="98">
      <formula>OR($A35="Sa",$A35="So")</formula>
    </cfRule>
    <cfRule type="expression" dxfId="941" priority="99">
      <formula>AND(R35&gt;0,INDIRECT("Basistabelle!G" &amp; ($A$1+S$1+R35))&lt;="",INDIRECT("Basistabelle!H" &amp; ($A$1+S$1+R35))&gt;"")</formula>
    </cfRule>
  </conditionalFormatting>
  <conditionalFormatting sqref="S36">
    <cfRule type="expression" dxfId="940" priority="96">
      <formula>OR($A36="Sa",$A36="So")</formula>
    </cfRule>
    <cfRule type="expression" dxfId="939" priority="97">
      <formula>AND(R36&gt;0,INDIRECT("Basistabelle!G" &amp; ($A$1+S$1+R36))&lt;="",INDIRECT("Basistabelle!H" &amp; ($A$1+S$1+R36))&gt;"")</formula>
    </cfRule>
  </conditionalFormatting>
  <conditionalFormatting sqref="S37">
    <cfRule type="expression" dxfId="938" priority="94">
      <formula>OR($A37="Sa",$A37="So")</formula>
    </cfRule>
    <cfRule type="expression" dxfId="937" priority="95">
      <formula>AND(R37&gt;0,INDIRECT("Basistabelle!G" &amp; ($A$1+S$1+R37))&lt;="",INDIRECT("Basistabelle!H" &amp; ($A$1+S$1+R37))&gt;"")</formula>
    </cfRule>
  </conditionalFormatting>
  <conditionalFormatting sqref="S38">
    <cfRule type="expression" dxfId="936" priority="92">
      <formula>OR($A38="Sa",$A38="So")</formula>
    </cfRule>
    <cfRule type="expression" dxfId="935" priority="93">
      <formula>AND(R38&gt;0,INDIRECT("Basistabelle!G" &amp; ($A$1+S$1+R38))&lt;="",INDIRECT("Basistabelle!H" &amp; ($A$1+S$1+R38))&gt;"")</formula>
    </cfRule>
  </conditionalFormatting>
  <conditionalFormatting sqref="S39">
    <cfRule type="expression" dxfId="934" priority="90">
      <formula>OR($A39="Sa",$A39="So")</formula>
    </cfRule>
    <cfRule type="expression" dxfId="933" priority="91">
      <formula>AND(R39&gt;0,INDIRECT("Basistabelle!G" &amp; ($A$1+S$1+R39))&lt;="",INDIRECT("Basistabelle!H" &amp; ($A$1+S$1+R39))&gt;"")</formula>
    </cfRule>
  </conditionalFormatting>
  <conditionalFormatting sqref="S40">
    <cfRule type="expression" dxfId="932" priority="88">
      <formula>OR($A40="Sa",$A40="So")</formula>
    </cfRule>
    <cfRule type="expression" dxfId="931" priority="89">
      <formula>AND(R40&gt;0,INDIRECT("Basistabelle!G" &amp; ($A$1+S$1+R40))&lt;="",INDIRECT("Basistabelle!H" &amp; ($A$1+S$1+R40))&gt;"")</formula>
    </cfRule>
  </conditionalFormatting>
  <conditionalFormatting sqref="S41">
    <cfRule type="expression" dxfId="930" priority="86">
      <formula>OR($A41="Sa",$A41="So")</formula>
    </cfRule>
    <cfRule type="expression" dxfId="929" priority="87">
      <formula>AND(R41&gt;0,INDIRECT("Basistabelle!G" &amp; ($A$1+S$1+R41))&lt;="",INDIRECT("Basistabelle!H" &amp; ($A$1+S$1+R41))&gt;"")</formula>
    </cfRule>
  </conditionalFormatting>
  <conditionalFormatting sqref="K3">
    <cfRule type="expression" dxfId="928" priority="84">
      <formula>OR($A3="Sa",$A3="So")</formula>
    </cfRule>
    <cfRule type="expression" dxfId="927" priority="85">
      <formula>AND(J3&gt;0,INDIRECT("Basistabelle!G" &amp; ($A$1+K$1+J3))&lt;="",INDIRECT("Basistabelle!H" &amp; ($A$1+K$1+J3))&gt;"")</formula>
    </cfRule>
  </conditionalFormatting>
  <conditionalFormatting sqref="K4">
    <cfRule type="expression" dxfId="926" priority="82">
      <formula>OR($A4="Sa",$A4="So")</formula>
    </cfRule>
    <cfRule type="expression" dxfId="925" priority="83">
      <formula>AND(J4&gt;0,INDIRECT("Basistabelle!G" &amp; ($A$1+K$1+J4))&lt;="",INDIRECT("Basistabelle!H" &amp; ($A$1+K$1+J4))&gt;"")</formula>
    </cfRule>
  </conditionalFormatting>
  <conditionalFormatting sqref="K5">
    <cfRule type="expression" dxfId="924" priority="80">
      <formula>OR($A5="Sa",$A5="So")</formula>
    </cfRule>
    <cfRule type="expression" dxfId="923" priority="81">
      <formula>AND(J5&gt;0,INDIRECT("Basistabelle!G" &amp; ($A$1+K$1+J5))&lt;="",INDIRECT("Basistabelle!H" &amp; ($A$1+K$1+J5))&gt;"")</formula>
    </cfRule>
  </conditionalFormatting>
  <conditionalFormatting sqref="K6">
    <cfRule type="expression" dxfId="922" priority="78">
      <formula>OR($A6="Sa",$A6="So")</formula>
    </cfRule>
    <cfRule type="expression" dxfId="921" priority="79">
      <formula>AND(J6&gt;0,INDIRECT("Basistabelle!G" &amp; ($A$1+K$1+J6))&lt;="",INDIRECT("Basistabelle!H" &amp; ($A$1+K$1+J6))&gt;"")</formula>
    </cfRule>
  </conditionalFormatting>
  <conditionalFormatting sqref="K7">
    <cfRule type="expression" dxfId="920" priority="76">
      <formula>OR($A7="Sa",$A7="So")</formula>
    </cfRule>
    <cfRule type="expression" dxfId="919" priority="77">
      <formula>AND(J7&gt;0,INDIRECT("Basistabelle!G" &amp; ($A$1+K$1+J7))&lt;="",INDIRECT("Basistabelle!H" &amp; ($A$1+K$1+J7))&gt;"")</formula>
    </cfRule>
  </conditionalFormatting>
  <conditionalFormatting sqref="K8">
    <cfRule type="expression" dxfId="918" priority="74">
      <formula>OR($A8="Sa",$A8="So")</formula>
    </cfRule>
    <cfRule type="expression" dxfId="917" priority="75">
      <formula>AND(J8&gt;0,INDIRECT("Basistabelle!G" &amp; ($A$1+K$1+J8))&lt;="",INDIRECT("Basistabelle!H" &amp; ($A$1+K$1+J8))&gt;"")</formula>
    </cfRule>
  </conditionalFormatting>
  <conditionalFormatting sqref="K9">
    <cfRule type="expression" dxfId="916" priority="72">
      <formula>OR($A9="Sa",$A9="So")</formula>
    </cfRule>
    <cfRule type="expression" dxfId="915" priority="73">
      <formula>AND(J9&gt;0,INDIRECT("Basistabelle!G" &amp; ($A$1+K$1+J9))&lt;="",INDIRECT("Basistabelle!H" &amp; ($A$1+K$1+J9))&gt;"")</formula>
    </cfRule>
  </conditionalFormatting>
  <conditionalFormatting sqref="K10">
    <cfRule type="expression" dxfId="914" priority="70">
      <formula>OR($A10="Sa",$A10="So")</formula>
    </cfRule>
    <cfRule type="expression" dxfId="913" priority="71">
      <formula>AND(J10&gt;0,INDIRECT("Basistabelle!G" &amp; ($A$1+K$1+J10))&lt;="",INDIRECT("Basistabelle!H" &amp; ($A$1+K$1+J10))&gt;"")</formula>
    </cfRule>
  </conditionalFormatting>
  <conditionalFormatting sqref="K11">
    <cfRule type="expression" dxfId="912" priority="68">
      <formula>OR($A11="Sa",$A11="So")</formula>
    </cfRule>
    <cfRule type="expression" dxfId="911" priority="69">
      <formula>AND(J11&gt;0,INDIRECT("Basistabelle!G" &amp; ($A$1+K$1+J11))&lt;="",INDIRECT("Basistabelle!H" &amp; ($A$1+K$1+J11))&gt;"")</formula>
    </cfRule>
  </conditionalFormatting>
  <conditionalFormatting sqref="K12">
    <cfRule type="expression" dxfId="910" priority="66">
      <formula>OR($A12="Sa",$A12="So")</formula>
    </cfRule>
    <cfRule type="expression" dxfId="909" priority="67">
      <formula>AND(J12&gt;0,INDIRECT("Basistabelle!G" &amp; ($A$1+K$1+J12))&lt;="",INDIRECT("Basistabelle!H" &amp; ($A$1+K$1+J12))&gt;"")</formula>
    </cfRule>
  </conditionalFormatting>
  <conditionalFormatting sqref="K13">
    <cfRule type="expression" dxfId="908" priority="64">
      <formula>OR($A13="Sa",$A13="So")</formula>
    </cfRule>
    <cfRule type="expression" dxfId="907" priority="65">
      <formula>AND(J13&gt;0,INDIRECT("Basistabelle!G" &amp; ($A$1+K$1+J13))&lt;="",INDIRECT("Basistabelle!H" &amp; ($A$1+K$1+J13))&gt;"")</formula>
    </cfRule>
  </conditionalFormatting>
  <conditionalFormatting sqref="K14">
    <cfRule type="expression" dxfId="906" priority="62">
      <formula>OR($A14="Sa",$A14="So")</formula>
    </cfRule>
    <cfRule type="expression" dxfId="905" priority="63">
      <formula>AND(J14&gt;0,INDIRECT("Basistabelle!G" &amp; ($A$1+K$1+J14))&lt;="",INDIRECT("Basistabelle!H" &amp; ($A$1+K$1+J14))&gt;"")</formula>
    </cfRule>
  </conditionalFormatting>
  <conditionalFormatting sqref="K15">
    <cfRule type="expression" dxfId="904" priority="60">
      <formula>OR($A15="Sa",$A15="So")</formula>
    </cfRule>
    <cfRule type="expression" dxfId="903" priority="61">
      <formula>AND(J15&gt;0,INDIRECT("Basistabelle!G" &amp; ($A$1+K$1+J15))&lt;="",INDIRECT("Basistabelle!H" &amp; ($A$1+K$1+J15))&gt;"")</formula>
    </cfRule>
  </conditionalFormatting>
  <conditionalFormatting sqref="K16">
    <cfRule type="expression" dxfId="902" priority="58">
      <formula>OR($A16="Sa",$A16="So")</formula>
    </cfRule>
    <cfRule type="expression" dxfId="901" priority="59">
      <formula>AND(J16&gt;0,INDIRECT("Basistabelle!G" &amp; ($A$1+K$1+J16))&lt;="",INDIRECT("Basistabelle!H" &amp; ($A$1+K$1+J16))&gt;"")</formula>
    </cfRule>
  </conditionalFormatting>
  <conditionalFormatting sqref="K17">
    <cfRule type="expression" dxfId="900" priority="56">
      <formula>OR($A17="Sa",$A17="So")</formula>
    </cfRule>
    <cfRule type="expression" dxfId="899" priority="57">
      <formula>AND(J17&gt;0,INDIRECT("Basistabelle!G" &amp; ($A$1+K$1+J17))&lt;="",INDIRECT("Basistabelle!H" &amp; ($A$1+K$1+J17))&gt;"")</formula>
    </cfRule>
  </conditionalFormatting>
  <conditionalFormatting sqref="K18">
    <cfRule type="expression" dxfId="898" priority="54">
      <formula>OR($A18="Sa",$A18="So")</formula>
    </cfRule>
    <cfRule type="expression" dxfId="897" priority="55">
      <formula>AND(J18&gt;0,INDIRECT("Basistabelle!G" &amp; ($A$1+K$1+J18))&lt;="",INDIRECT("Basistabelle!H" &amp; ($A$1+K$1+J18))&gt;"")</formula>
    </cfRule>
  </conditionalFormatting>
  <conditionalFormatting sqref="K19">
    <cfRule type="expression" dxfId="896" priority="52">
      <formula>OR($A19="Sa",$A19="So")</formula>
    </cfRule>
    <cfRule type="expression" dxfId="895" priority="53">
      <formula>AND(J19&gt;0,INDIRECT("Basistabelle!G" &amp; ($A$1+K$1+J19))&lt;="",INDIRECT("Basistabelle!H" &amp; ($A$1+K$1+J19))&gt;"")</formula>
    </cfRule>
  </conditionalFormatting>
  <conditionalFormatting sqref="K20">
    <cfRule type="expression" dxfId="894" priority="50">
      <formula>OR($A20="Sa",$A20="So")</formula>
    </cfRule>
    <cfRule type="expression" dxfId="893" priority="51">
      <formula>AND(J20&gt;0,INDIRECT("Basistabelle!G" &amp; ($A$1+K$1+J20))&lt;="",INDIRECT("Basistabelle!H" &amp; ($A$1+K$1+J20))&gt;"")</formula>
    </cfRule>
  </conditionalFormatting>
  <conditionalFormatting sqref="K21">
    <cfRule type="expression" dxfId="892" priority="48">
      <formula>OR($A21="Sa",$A21="So")</formula>
    </cfRule>
    <cfRule type="expression" dxfId="891" priority="49">
      <formula>AND(J21&gt;0,INDIRECT("Basistabelle!G" &amp; ($A$1+K$1+J21))&lt;="",INDIRECT("Basistabelle!H" &amp; ($A$1+K$1+J21))&gt;"")</formula>
    </cfRule>
  </conditionalFormatting>
  <conditionalFormatting sqref="K22">
    <cfRule type="expression" dxfId="890" priority="46">
      <formula>OR($A22="Sa",$A22="So")</formula>
    </cfRule>
    <cfRule type="expression" dxfId="889" priority="47">
      <formula>AND(J22&gt;0,INDIRECT("Basistabelle!G" &amp; ($A$1+K$1+J22))&lt;="",INDIRECT("Basistabelle!H" &amp; ($A$1+K$1+J22))&gt;"")</formula>
    </cfRule>
  </conditionalFormatting>
  <conditionalFormatting sqref="K23">
    <cfRule type="expression" dxfId="888" priority="44">
      <formula>OR($A23="Sa",$A23="So")</formula>
    </cfRule>
    <cfRule type="expression" dxfId="887" priority="45">
      <formula>AND(J23&gt;0,INDIRECT("Basistabelle!G" &amp; ($A$1+K$1+J23))&lt;="",INDIRECT("Basistabelle!H" &amp; ($A$1+K$1+J23))&gt;"")</formula>
    </cfRule>
  </conditionalFormatting>
  <conditionalFormatting sqref="K24">
    <cfRule type="expression" dxfId="886" priority="42">
      <formula>OR($A24="Sa",$A24="So")</formula>
    </cfRule>
    <cfRule type="expression" dxfId="885" priority="43">
      <formula>AND(J24&gt;0,INDIRECT("Basistabelle!G" &amp; ($A$1+K$1+J24))&lt;="",INDIRECT("Basistabelle!H" &amp; ($A$1+K$1+J24))&gt;"")</formula>
    </cfRule>
  </conditionalFormatting>
  <conditionalFormatting sqref="K25">
    <cfRule type="expression" dxfId="884" priority="40">
      <formula>OR($A25="Sa",$A25="So")</formula>
    </cfRule>
    <cfRule type="expression" dxfId="883" priority="41">
      <formula>AND(J25&gt;0,INDIRECT("Basistabelle!G" &amp; ($A$1+K$1+J25))&lt;="",INDIRECT("Basistabelle!H" &amp; ($A$1+K$1+J25))&gt;"")</formula>
    </cfRule>
  </conditionalFormatting>
  <conditionalFormatting sqref="K26">
    <cfRule type="expression" dxfId="882" priority="38">
      <formula>OR($A26="Sa",$A26="So")</formula>
    </cfRule>
    <cfRule type="expression" dxfId="881" priority="39">
      <formula>AND(J26&gt;0,INDIRECT("Basistabelle!G" &amp; ($A$1+K$1+J26))&lt;="",INDIRECT("Basistabelle!H" &amp; ($A$1+K$1+J26))&gt;"")</formula>
    </cfRule>
  </conditionalFormatting>
  <conditionalFormatting sqref="K27">
    <cfRule type="expression" dxfId="880" priority="36">
      <formula>OR($A27="Sa",$A27="So")</formula>
    </cfRule>
    <cfRule type="expression" dxfId="879" priority="37">
      <formula>AND(J27&gt;0,INDIRECT("Basistabelle!G" &amp; ($A$1+K$1+J27))&lt;="",INDIRECT("Basistabelle!H" &amp; ($A$1+K$1+J27))&gt;"")</formula>
    </cfRule>
  </conditionalFormatting>
  <conditionalFormatting sqref="K28">
    <cfRule type="expression" dxfId="878" priority="34">
      <formula>OR($A28="Sa",$A28="So")</formula>
    </cfRule>
    <cfRule type="expression" dxfId="877" priority="35">
      <formula>AND(J28&gt;0,INDIRECT("Basistabelle!G" &amp; ($A$1+K$1+J28))&lt;="",INDIRECT("Basistabelle!H" &amp; ($A$1+K$1+J28))&gt;"")</formula>
    </cfRule>
  </conditionalFormatting>
  <conditionalFormatting sqref="K29">
    <cfRule type="expression" dxfId="876" priority="32">
      <formula>OR($A29="Sa",$A29="So")</formula>
    </cfRule>
    <cfRule type="expression" dxfId="875" priority="33">
      <formula>AND(J29&gt;0,INDIRECT("Basistabelle!G" &amp; ($A$1+K$1+J29))&lt;="",INDIRECT("Basistabelle!H" &amp; ($A$1+K$1+J29))&gt;"")</formula>
    </cfRule>
  </conditionalFormatting>
  <conditionalFormatting sqref="K30">
    <cfRule type="expression" dxfId="874" priority="30">
      <formula>OR($A30="Sa",$A30="So")</formula>
    </cfRule>
    <cfRule type="expression" dxfId="873" priority="31">
      <formula>AND(J30&gt;0,INDIRECT("Basistabelle!G" &amp; ($A$1+K$1+J30))&lt;="",INDIRECT("Basistabelle!H" &amp; ($A$1+K$1+J30))&gt;"")</formula>
    </cfRule>
  </conditionalFormatting>
  <conditionalFormatting sqref="K31">
    <cfRule type="expression" dxfId="872" priority="28">
      <formula>OR($A31="Sa",$A31="So")</formula>
    </cfRule>
    <cfRule type="expression" dxfId="871" priority="29">
      <formula>AND(J31&gt;0,INDIRECT("Basistabelle!G" &amp; ($A$1+K$1+J31))&lt;="",INDIRECT("Basistabelle!H" &amp; ($A$1+K$1+J31))&gt;"")</formula>
    </cfRule>
  </conditionalFormatting>
  <conditionalFormatting sqref="K32">
    <cfRule type="expression" dxfId="870" priority="26">
      <formula>OR($A32="Sa",$A32="So")</formula>
    </cfRule>
    <cfRule type="expression" dxfId="869" priority="27">
      <formula>AND(J32&gt;0,INDIRECT("Basistabelle!G" &amp; ($A$1+K$1+J32))&lt;="",INDIRECT("Basistabelle!H" &amp; ($A$1+K$1+J32))&gt;"")</formula>
    </cfRule>
  </conditionalFormatting>
  <conditionalFormatting sqref="K33">
    <cfRule type="expression" dxfId="868" priority="24">
      <formula>OR($A33="Sa",$A33="So")</formula>
    </cfRule>
    <cfRule type="expression" dxfId="867" priority="25">
      <formula>AND(J33&gt;0,INDIRECT("Basistabelle!G" &amp; ($A$1+K$1+J33))&lt;="",INDIRECT("Basistabelle!H" &amp; ($A$1+K$1+J33))&gt;"")</formula>
    </cfRule>
  </conditionalFormatting>
  <conditionalFormatting sqref="K34">
    <cfRule type="expression" dxfId="866" priority="22">
      <formula>OR($A34="Sa",$A34="So")</formula>
    </cfRule>
    <cfRule type="expression" dxfId="865" priority="23">
      <formula>AND(J34&gt;0,INDIRECT("Basistabelle!G" &amp; ($A$1+K$1+J34))&lt;="",INDIRECT("Basistabelle!H" &amp; ($A$1+K$1+J34))&gt;"")</formula>
    </cfRule>
  </conditionalFormatting>
  <conditionalFormatting sqref="K35">
    <cfRule type="expression" dxfId="864" priority="20">
      <formula>OR($A35="Sa",$A35="So")</formula>
    </cfRule>
    <cfRule type="expression" dxfId="863" priority="21">
      <formula>AND(J35&gt;0,INDIRECT("Basistabelle!G" &amp; ($A$1+K$1+J35))&lt;="",INDIRECT("Basistabelle!H" &amp; ($A$1+K$1+J35))&gt;"")</formula>
    </cfRule>
  </conditionalFormatting>
  <conditionalFormatting sqref="K36">
    <cfRule type="expression" dxfId="862" priority="18">
      <formula>OR($A36="Sa",$A36="So")</formula>
    </cfRule>
    <cfRule type="expression" dxfId="861" priority="19">
      <formula>AND(J36&gt;0,INDIRECT("Basistabelle!G" &amp; ($A$1+K$1+J36))&lt;="",INDIRECT("Basistabelle!H" &amp; ($A$1+K$1+J36))&gt;"")</formula>
    </cfRule>
  </conditionalFormatting>
  <conditionalFormatting sqref="K37">
    <cfRule type="expression" dxfId="860" priority="16">
      <formula>OR($A37="Sa",$A37="So")</formula>
    </cfRule>
    <cfRule type="expression" dxfId="859" priority="17">
      <formula>AND(J37&gt;0,INDIRECT("Basistabelle!G" &amp; ($A$1+K$1+J37))&lt;="",INDIRECT("Basistabelle!H" &amp; ($A$1+K$1+J37))&gt;"")</formula>
    </cfRule>
  </conditionalFormatting>
  <conditionalFormatting sqref="K38">
    <cfRule type="expression" dxfId="858" priority="14">
      <formula>OR($A38="Sa",$A38="So")</formula>
    </cfRule>
    <cfRule type="expression" dxfId="857" priority="15">
      <formula>AND(J38&gt;0,INDIRECT("Basistabelle!G" &amp; ($A$1+K$1+J38))&lt;="",INDIRECT("Basistabelle!H" &amp; ($A$1+K$1+J38))&gt;"")</formula>
    </cfRule>
  </conditionalFormatting>
  <conditionalFormatting sqref="K39">
    <cfRule type="expression" dxfId="856" priority="12">
      <formula>OR($A39="Sa",$A39="So")</formula>
    </cfRule>
    <cfRule type="expression" dxfId="855" priority="13">
      <formula>AND(J39&gt;0,INDIRECT("Basistabelle!G" &amp; ($A$1+K$1+J39))&lt;="",INDIRECT("Basistabelle!H" &amp; ($A$1+K$1+J39))&gt;"")</formula>
    </cfRule>
  </conditionalFormatting>
  <conditionalFormatting sqref="K40">
    <cfRule type="expression" dxfId="854" priority="10">
      <formula>OR($A40="Sa",$A40="So")</formula>
    </cfRule>
    <cfRule type="expression" dxfId="853" priority="11">
      <formula>AND(J40&gt;0,INDIRECT("Basistabelle!G" &amp; ($A$1+K$1+J40))&lt;="",INDIRECT("Basistabelle!H" &amp; ($A$1+K$1+J40))&gt;"")</formula>
    </cfRule>
  </conditionalFormatting>
  <conditionalFormatting sqref="K41">
    <cfRule type="expression" dxfId="852" priority="8">
      <formula>OR($A41="Sa",$A41="So")</formula>
    </cfRule>
    <cfRule type="expression" dxfId="851" priority="9">
      <formula>AND(J41&gt;0,INDIRECT("Basistabelle!G" &amp; ($A$1+K$1+J41))&lt;="",INDIRECT("Basistabelle!H" &amp; ($A$1+K$1+J41))&gt;"")</formula>
    </cfRule>
  </conditionalFormatting>
  <conditionalFormatting sqref="C36">
    <cfRule type="expression" dxfId="850" priority="6">
      <formula>OR($A36="Sa",$A36="So")</formula>
    </cfRule>
    <cfRule type="expression" dxfId="849" priority="7">
      <formula>AND(B36&gt;0,INDIRECT("Basistabelle!G" &amp; ($A$1+C$1+B36))&lt;="",INDIRECT("Basistabelle!H" &amp; ($A$1+C$1+B36))&gt;"")</formula>
    </cfRule>
  </conditionalFormatting>
  <conditionalFormatting sqref="C27">
    <cfRule type="expression" dxfId="848" priority="4">
      <formula>OR($A27="Sa",$A27="So")</formula>
    </cfRule>
    <cfRule type="expression" dxfId="847" priority="5">
      <formula>AND(B27&gt;0,INDIRECT("Basistabelle!G" &amp; ($A$1+C$1+B27))&lt;="",INDIRECT("Basistabelle!H" &amp; ($A$1+C$1+B27))&gt;"")</formula>
    </cfRule>
  </conditionalFormatting>
  <conditionalFormatting sqref="N24">
    <cfRule type="cellIs" dxfId="846" priority="3" operator="equal">
      <formula>"x"</formula>
    </cfRule>
  </conditionalFormatting>
  <conditionalFormatting sqref="L24">
    <cfRule type="cellIs" dxfId="845" priority="2" operator="equal">
      <formula>"x"</formula>
    </cfRule>
  </conditionalFormatting>
  <conditionalFormatting sqref="P24">
    <cfRule type="cellIs" dxfId="844" priority="1" operator="equal">
      <formula>"x"</formula>
    </cfRule>
  </conditionalFormatting>
  <pageMargins left="0.23622047244094491" right="0.23622047244094491" top="0.74803149606299213" bottom="0.74803149606299213" header="0.31496062992125984" footer="0.31496062992125984"/>
  <pageSetup paperSize="9" scale="80" orientation="landscape" errors="blank" r:id="rId1"/>
  <headerFooter>
    <oddHeader>&amp;CESG Jahresübersicht 2015 (V1.0 per 11.05.2014)</oddHeader>
    <oddFooter>&amp;CPS/JG 11.05.2014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 enableFormatConditionsCalculation="0"/>
  <dimension ref="A1:T371"/>
  <sheetViews>
    <sheetView workbookViewId="0">
      <pane ySplit="5" topLeftCell="A6" activePane="bottomLeft" state="frozenSplit"/>
      <selection pane="bottomLeft" activeCell="C6" sqref="C6"/>
    </sheetView>
  </sheetViews>
  <sheetFormatPr baseColWidth="10" defaultColWidth="11.5" defaultRowHeight="15" x14ac:dyDescent="0.2"/>
  <cols>
    <col min="1" max="1" width="11" style="38" customWidth="1"/>
    <col min="2" max="2" width="5.5" style="38" customWidth="1"/>
    <col min="3" max="3" width="13.83203125" style="38" bestFit="1" customWidth="1"/>
    <col min="4" max="6" width="11.5" style="41" customWidth="1"/>
    <col min="7" max="8" width="11.5" style="38"/>
    <col min="9" max="12" width="11.5" style="38" customWidth="1"/>
    <col min="13" max="16384" width="11.5" style="38"/>
  </cols>
  <sheetData>
    <row r="1" spans="1:20" x14ac:dyDescent="0.2">
      <c r="A1" s="38" t="s">
        <v>106</v>
      </c>
      <c r="C1" s="38" t="s">
        <v>149</v>
      </c>
      <c r="E1" s="41" t="s">
        <v>107</v>
      </c>
      <c r="F1" s="41" t="s">
        <v>151</v>
      </c>
      <c r="M1" s="83"/>
    </row>
    <row r="2" spans="1:20" x14ac:dyDescent="0.2">
      <c r="A2" s="38" t="s">
        <v>40</v>
      </c>
      <c r="C2" s="40">
        <v>42776</v>
      </c>
      <c r="T2" s="38">
        <v>43400</v>
      </c>
    </row>
    <row r="4" spans="1:20" x14ac:dyDescent="0.2">
      <c r="C4" s="38" t="s">
        <v>40</v>
      </c>
      <c r="D4" s="41" t="s">
        <v>41</v>
      </c>
      <c r="E4" s="41" t="s">
        <v>42</v>
      </c>
      <c r="F4" s="41" t="s">
        <v>30</v>
      </c>
      <c r="G4" s="38" t="s">
        <v>45</v>
      </c>
      <c r="H4" s="38" t="s">
        <v>49</v>
      </c>
      <c r="I4" s="38" t="s">
        <v>145</v>
      </c>
      <c r="J4" s="38" t="s">
        <v>146</v>
      </c>
      <c r="K4" s="38" t="s">
        <v>147</v>
      </c>
      <c r="L4" s="38" t="s">
        <v>148</v>
      </c>
      <c r="M4" s="38" t="s">
        <v>134</v>
      </c>
    </row>
    <row r="6" spans="1:20" x14ac:dyDescent="0.2">
      <c r="A6" s="39"/>
      <c r="C6" s="40">
        <f>T2</f>
        <v>43400</v>
      </c>
      <c r="G6" s="39"/>
      <c r="N6" s="41"/>
    </row>
    <row r="7" spans="1:20" x14ac:dyDescent="0.2">
      <c r="A7" s="39"/>
      <c r="C7" s="40">
        <f>C6+1</f>
        <v>43401</v>
      </c>
      <c r="N7" s="41"/>
    </row>
    <row r="8" spans="1:20" x14ac:dyDescent="0.2">
      <c r="A8" s="39"/>
      <c r="C8" s="40">
        <f t="shared" ref="C8:C71" si="0">C7+1</f>
        <v>43402</v>
      </c>
      <c r="J8" s="162"/>
      <c r="K8" s="162"/>
      <c r="N8" s="41"/>
    </row>
    <row r="9" spans="1:20" x14ac:dyDescent="0.2">
      <c r="A9" s="39"/>
      <c r="C9" s="40">
        <f t="shared" si="0"/>
        <v>43403</v>
      </c>
      <c r="N9" s="41"/>
    </row>
    <row r="10" spans="1:20" x14ac:dyDescent="0.2">
      <c r="A10" s="39"/>
      <c r="C10" s="40">
        <f t="shared" si="0"/>
        <v>43404</v>
      </c>
      <c r="N10" s="41"/>
    </row>
    <row r="11" spans="1:20" x14ac:dyDescent="0.2">
      <c r="A11" s="39"/>
      <c r="C11" s="40">
        <f t="shared" si="0"/>
        <v>43405</v>
      </c>
      <c r="N11" s="41"/>
    </row>
    <row r="12" spans="1:20" x14ac:dyDescent="0.2">
      <c r="A12" s="39"/>
      <c r="C12" s="40">
        <f t="shared" si="0"/>
        <v>43406</v>
      </c>
      <c r="J12" s="162"/>
      <c r="K12" s="162"/>
      <c r="N12" s="41"/>
    </row>
    <row r="13" spans="1:20" x14ac:dyDescent="0.2">
      <c r="A13" s="39"/>
      <c r="C13" s="40">
        <f t="shared" si="0"/>
        <v>43407</v>
      </c>
      <c r="N13" s="41"/>
    </row>
    <row r="14" spans="1:20" x14ac:dyDescent="0.2">
      <c r="A14" s="39"/>
      <c r="C14" s="40">
        <f t="shared" si="0"/>
        <v>43408</v>
      </c>
      <c r="N14" s="41"/>
    </row>
    <row r="15" spans="1:20" x14ac:dyDescent="0.2">
      <c r="A15" s="39"/>
      <c r="C15" s="40">
        <f t="shared" si="0"/>
        <v>43409</v>
      </c>
      <c r="N15" s="41"/>
    </row>
    <row r="16" spans="1:20" x14ac:dyDescent="0.2">
      <c r="A16" s="39"/>
      <c r="C16" s="40">
        <f t="shared" si="0"/>
        <v>43410</v>
      </c>
      <c r="N16" s="41"/>
    </row>
    <row r="17" spans="1:15" x14ac:dyDescent="0.2">
      <c r="A17" s="39"/>
      <c r="C17" s="40">
        <f t="shared" si="0"/>
        <v>43411</v>
      </c>
      <c r="J17" s="162"/>
      <c r="K17" s="162"/>
      <c r="N17" s="41"/>
    </row>
    <row r="18" spans="1:15" x14ac:dyDescent="0.2">
      <c r="A18" s="39"/>
      <c r="C18" s="40">
        <f t="shared" si="0"/>
        <v>43412</v>
      </c>
      <c r="N18" s="41"/>
    </row>
    <row r="19" spans="1:15" x14ac:dyDescent="0.2">
      <c r="A19" s="39"/>
      <c r="C19" s="40">
        <f t="shared" si="0"/>
        <v>43413</v>
      </c>
      <c r="N19" s="41"/>
    </row>
    <row r="20" spans="1:15" x14ac:dyDescent="0.2">
      <c r="A20" s="39"/>
      <c r="C20" s="40">
        <f t="shared" si="0"/>
        <v>43414</v>
      </c>
      <c r="N20" s="41"/>
    </row>
    <row r="21" spans="1:15" x14ac:dyDescent="0.2">
      <c r="A21" s="39"/>
      <c r="C21" s="40">
        <f t="shared" si="0"/>
        <v>43415</v>
      </c>
      <c r="N21" s="41"/>
    </row>
    <row r="22" spans="1:15" x14ac:dyDescent="0.2">
      <c r="A22" s="39"/>
      <c r="C22" s="40">
        <f t="shared" si="0"/>
        <v>43416</v>
      </c>
      <c r="N22" s="41"/>
    </row>
    <row r="23" spans="1:15" x14ac:dyDescent="0.2">
      <c r="A23" s="39"/>
      <c r="C23" s="40">
        <f t="shared" si="0"/>
        <v>43417</v>
      </c>
      <c r="N23" s="41"/>
      <c r="O23" s="165"/>
    </row>
    <row r="24" spans="1:15" x14ac:dyDescent="0.2">
      <c r="A24" s="39"/>
      <c r="C24" s="40">
        <f t="shared" si="0"/>
        <v>43418</v>
      </c>
      <c r="N24" s="41"/>
    </row>
    <row r="25" spans="1:15" x14ac:dyDescent="0.2">
      <c r="A25" s="39"/>
      <c r="C25" s="40">
        <f t="shared" si="0"/>
        <v>43419</v>
      </c>
      <c r="N25" s="41"/>
    </row>
    <row r="26" spans="1:15" x14ac:dyDescent="0.2">
      <c r="A26" s="39"/>
      <c r="C26" s="40">
        <f t="shared" si="0"/>
        <v>43420</v>
      </c>
      <c r="J26" s="162"/>
      <c r="K26" s="162"/>
      <c r="N26" s="41"/>
    </row>
    <row r="27" spans="1:15" x14ac:dyDescent="0.2">
      <c r="A27" s="39"/>
      <c r="C27" s="40">
        <f t="shared" si="0"/>
        <v>43421</v>
      </c>
      <c r="N27" s="41"/>
    </row>
    <row r="28" spans="1:15" x14ac:dyDescent="0.2">
      <c r="A28" s="39"/>
      <c r="C28" s="40">
        <f t="shared" si="0"/>
        <v>43422</v>
      </c>
      <c r="N28" s="41"/>
    </row>
    <row r="29" spans="1:15" x14ac:dyDescent="0.2">
      <c r="A29" s="39"/>
      <c r="C29" s="40">
        <f t="shared" si="0"/>
        <v>43423</v>
      </c>
      <c r="N29" s="41"/>
    </row>
    <row r="30" spans="1:15" x14ac:dyDescent="0.2">
      <c r="A30" s="39"/>
      <c r="C30" s="40">
        <f t="shared" si="0"/>
        <v>43424</v>
      </c>
      <c r="N30" s="41"/>
    </row>
    <row r="31" spans="1:15" x14ac:dyDescent="0.2">
      <c r="A31" s="39"/>
      <c r="C31" s="40">
        <f t="shared" si="0"/>
        <v>43425</v>
      </c>
      <c r="J31" s="162"/>
      <c r="K31" s="162"/>
      <c r="N31" s="41"/>
    </row>
    <row r="32" spans="1:15" x14ac:dyDescent="0.2">
      <c r="A32" s="39"/>
      <c r="C32" s="40">
        <f t="shared" si="0"/>
        <v>43426</v>
      </c>
      <c r="N32" s="41"/>
    </row>
    <row r="33" spans="1:14" x14ac:dyDescent="0.2">
      <c r="A33" s="39"/>
      <c r="C33" s="40">
        <f t="shared" si="0"/>
        <v>43427</v>
      </c>
      <c r="J33" s="162"/>
      <c r="K33" s="162"/>
      <c r="N33" s="41"/>
    </row>
    <row r="34" spans="1:14" x14ac:dyDescent="0.2">
      <c r="A34" s="39"/>
      <c r="C34" s="40">
        <f t="shared" si="0"/>
        <v>43428</v>
      </c>
      <c r="N34" s="41"/>
    </row>
    <row r="35" spans="1:14" x14ac:dyDescent="0.2">
      <c r="A35" s="39"/>
      <c r="C35" s="40">
        <f t="shared" si="0"/>
        <v>43429</v>
      </c>
      <c r="N35" s="41"/>
    </row>
    <row r="36" spans="1:14" x14ac:dyDescent="0.2">
      <c r="A36" s="39"/>
      <c r="C36" s="40">
        <f t="shared" si="0"/>
        <v>43430</v>
      </c>
      <c r="N36" s="41"/>
    </row>
    <row r="37" spans="1:14" x14ac:dyDescent="0.2">
      <c r="A37" s="39"/>
      <c r="C37" s="40">
        <f t="shared" si="0"/>
        <v>43431</v>
      </c>
      <c r="N37" s="41"/>
    </row>
    <row r="38" spans="1:14" x14ac:dyDescent="0.2">
      <c r="A38" s="39"/>
      <c r="C38" s="40">
        <f t="shared" si="0"/>
        <v>43432</v>
      </c>
      <c r="N38" s="41"/>
    </row>
    <row r="39" spans="1:14" x14ac:dyDescent="0.2">
      <c r="A39" s="39"/>
      <c r="C39" s="40">
        <f t="shared" si="0"/>
        <v>43433</v>
      </c>
      <c r="N39" s="41"/>
    </row>
    <row r="40" spans="1:14" x14ac:dyDescent="0.2">
      <c r="A40" s="39"/>
      <c r="C40" s="40">
        <f t="shared" si="0"/>
        <v>43434</v>
      </c>
      <c r="N40" s="41"/>
    </row>
    <row r="41" spans="1:14" x14ac:dyDescent="0.2">
      <c r="A41" s="39"/>
      <c r="C41" s="40">
        <f t="shared" si="0"/>
        <v>43435</v>
      </c>
      <c r="N41" s="41"/>
    </row>
    <row r="42" spans="1:14" x14ac:dyDescent="0.2">
      <c r="A42" s="39"/>
      <c r="C42" s="40">
        <f t="shared" si="0"/>
        <v>43436</v>
      </c>
      <c r="N42" s="41"/>
    </row>
    <row r="43" spans="1:14" x14ac:dyDescent="0.2">
      <c r="A43" s="39"/>
      <c r="C43" s="40">
        <f t="shared" si="0"/>
        <v>43437</v>
      </c>
      <c r="N43" s="41"/>
    </row>
    <row r="44" spans="1:14" x14ac:dyDescent="0.2">
      <c r="A44" s="39"/>
      <c r="C44" s="40">
        <f t="shared" si="0"/>
        <v>43438</v>
      </c>
      <c r="N44" s="41"/>
    </row>
    <row r="45" spans="1:14" x14ac:dyDescent="0.2">
      <c r="A45" s="39"/>
      <c r="C45" s="40">
        <f t="shared" si="0"/>
        <v>43439</v>
      </c>
      <c r="N45" s="41"/>
    </row>
    <row r="46" spans="1:14" x14ac:dyDescent="0.2">
      <c r="A46" s="39"/>
      <c r="C46" s="40">
        <f t="shared" si="0"/>
        <v>43440</v>
      </c>
      <c r="N46" s="41"/>
    </row>
    <row r="47" spans="1:14" x14ac:dyDescent="0.2">
      <c r="A47" s="39"/>
      <c r="C47" s="40">
        <f t="shared" si="0"/>
        <v>43441</v>
      </c>
      <c r="J47" s="162"/>
      <c r="K47" s="162"/>
      <c r="N47" s="41"/>
    </row>
    <row r="48" spans="1:14" x14ac:dyDescent="0.2">
      <c r="A48" s="39"/>
      <c r="C48" s="40">
        <f t="shared" si="0"/>
        <v>43442</v>
      </c>
      <c r="N48" s="41"/>
    </row>
    <row r="49" spans="1:14" x14ac:dyDescent="0.2">
      <c r="A49" s="39"/>
      <c r="C49" s="40">
        <f t="shared" si="0"/>
        <v>43443</v>
      </c>
      <c r="N49" s="41"/>
    </row>
    <row r="50" spans="1:14" x14ac:dyDescent="0.2">
      <c r="A50" s="39"/>
      <c r="C50" s="40">
        <f t="shared" si="0"/>
        <v>43444</v>
      </c>
      <c r="N50" s="41"/>
    </row>
    <row r="51" spans="1:14" x14ac:dyDescent="0.2">
      <c r="A51" s="39"/>
      <c r="C51" s="40">
        <f t="shared" si="0"/>
        <v>43445</v>
      </c>
      <c r="N51" s="41"/>
    </row>
    <row r="52" spans="1:14" x14ac:dyDescent="0.2">
      <c r="A52" s="39"/>
      <c r="C52" s="40">
        <f t="shared" si="0"/>
        <v>43446</v>
      </c>
      <c r="N52" s="41"/>
    </row>
    <row r="53" spans="1:14" x14ac:dyDescent="0.2">
      <c r="A53" s="39"/>
      <c r="C53" s="40">
        <f t="shared" si="0"/>
        <v>43447</v>
      </c>
      <c r="N53" s="41"/>
    </row>
    <row r="54" spans="1:14" x14ac:dyDescent="0.2">
      <c r="A54" s="39"/>
      <c r="C54" s="40">
        <f t="shared" si="0"/>
        <v>43448</v>
      </c>
      <c r="N54" s="41"/>
    </row>
    <row r="55" spans="1:14" x14ac:dyDescent="0.2">
      <c r="A55" s="39"/>
      <c r="C55" s="40">
        <f t="shared" si="0"/>
        <v>43449</v>
      </c>
      <c r="N55" s="41"/>
    </row>
    <row r="56" spans="1:14" x14ac:dyDescent="0.2">
      <c r="A56" s="39"/>
      <c r="C56" s="40">
        <f t="shared" si="0"/>
        <v>43450</v>
      </c>
      <c r="N56" s="41"/>
    </row>
    <row r="57" spans="1:14" x14ac:dyDescent="0.2">
      <c r="A57" s="39"/>
      <c r="C57" s="40">
        <f t="shared" si="0"/>
        <v>43451</v>
      </c>
      <c r="N57" s="41"/>
    </row>
    <row r="58" spans="1:14" x14ac:dyDescent="0.2">
      <c r="A58" s="39"/>
      <c r="C58" s="40">
        <f t="shared" si="0"/>
        <v>43452</v>
      </c>
      <c r="N58" s="41"/>
    </row>
    <row r="59" spans="1:14" x14ac:dyDescent="0.2">
      <c r="A59" s="39"/>
      <c r="C59" s="40">
        <f t="shared" si="0"/>
        <v>43453</v>
      </c>
      <c r="N59" s="41"/>
    </row>
    <row r="60" spans="1:14" x14ac:dyDescent="0.2">
      <c r="A60" s="39"/>
      <c r="C60" s="40">
        <f t="shared" si="0"/>
        <v>43454</v>
      </c>
      <c r="J60" s="162"/>
      <c r="K60" s="162"/>
      <c r="N60" s="41"/>
    </row>
    <row r="61" spans="1:14" x14ac:dyDescent="0.2">
      <c r="A61" s="39"/>
      <c r="C61" s="40">
        <f t="shared" si="0"/>
        <v>43455</v>
      </c>
      <c r="N61" s="41"/>
    </row>
    <row r="62" spans="1:14" x14ac:dyDescent="0.2">
      <c r="A62" s="39"/>
      <c r="C62" s="40">
        <f t="shared" si="0"/>
        <v>43456</v>
      </c>
      <c r="N62" s="41"/>
    </row>
    <row r="63" spans="1:14" x14ac:dyDescent="0.2">
      <c r="A63" s="39"/>
      <c r="C63" s="40">
        <f t="shared" si="0"/>
        <v>43457</v>
      </c>
      <c r="N63" s="41"/>
    </row>
    <row r="64" spans="1:14" x14ac:dyDescent="0.2">
      <c r="A64" s="39"/>
      <c r="C64" s="40">
        <f t="shared" si="0"/>
        <v>43458</v>
      </c>
      <c r="N64" s="41"/>
    </row>
    <row r="65" spans="1:14" x14ac:dyDescent="0.2">
      <c r="A65" s="39"/>
      <c r="C65" s="40">
        <f t="shared" si="0"/>
        <v>43459</v>
      </c>
      <c r="N65" s="41"/>
    </row>
    <row r="66" spans="1:14" x14ac:dyDescent="0.2">
      <c r="A66" s="39"/>
      <c r="C66" s="40">
        <f t="shared" si="0"/>
        <v>43460</v>
      </c>
      <c r="N66" s="41"/>
    </row>
    <row r="67" spans="1:14" x14ac:dyDescent="0.2">
      <c r="A67" s="39"/>
      <c r="C67" s="40">
        <f t="shared" si="0"/>
        <v>43461</v>
      </c>
      <c r="N67" s="41"/>
    </row>
    <row r="68" spans="1:14" x14ac:dyDescent="0.2">
      <c r="A68" s="39"/>
      <c r="C68" s="40">
        <f t="shared" si="0"/>
        <v>43462</v>
      </c>
      <c r="N68" s="41"/>
    </row>
    <row r="69" spans="1:14" x14ac:dyDescent="0.2">
      <c r="A69" s="39"/>
      <c r="C69" s="40">
        <f t="shared" si="0"/>
        <v>43463</v>
      </c>
      <c r="N69" s="41"/>
    </row>
    <row r="70" spans="1:14" x14ac:dyDescent="0.2">
      <c r="A70" s="39"/>
      <c r="C70" s="40">
        <f t="shared" si="0"/>
        <v>43464</v>
      </c>
      <c r="N70" s="41"/>
    </row>
    <row r="71" spans="1:14" x14ac:dyDescent="0.2">
      <c r="A71" s="39"/>
      <c r="C71" s="40">
        <f t="shared" si="0"/>
        <v>43465</v>
      </c>
      <c r="N71" s="41"/>
    </row>
    <row r="72" spans="1:14" x14ac:dyDescent="0.2">
      <c r="A72" s="39"/>
      <c r="C72" s="40">
        <f t="shared" ref="C72:C135" si="1">C71+1</f>
        <v>43466</v>
      </c>
      <c r="N72" s="41"/>
    </row>
    <row r="73" spans="1:14" x14ac:dyDescent="0.2">
      <c r="A73" s="39"/>
      <c r="C73" s="40">
        <f t="shared" si="1"/>
        <v>43467</v>
      </c>
      <c r="N73" s="41"/>
    </row>
    <row r="74" spans="1:14" x14ac:dyDescent="0.2">
      <c r="A74" s="39"/>
      <c r="C74" s="40">
        <f t="shared" si="1"/>
        <v>43468</v>
      </c>
      <c r="N74" s="41"/>
    </row>
    <row r="75" spans="1:14" x14ac:dyDescent="0.2">
      <c r="A75" s="39"/>
      <c r="C75" s="40">
        <f t="shared" si="1"/>
        <v>43469</v>
      </c>
      <c r="N75" s="41"/>
    </row>
    <row r="76" spans="1:14" x14ac:dyDescent="0.2">
      <c r="A76" s="39"/>
      <c r="C76" s="40">
        <f t="shared" si="1"/>
        <v>43470</v>
      </c>
      <c r="N76" s="41"/>
    </row>
    <row r="77" spans="1:14" x14ac:dyDescent="0.2">
      <c r="A77" s="39"/>
      <c r="C77" s="40">
        <f t="shared" si="1"/>
        <v>43471</v>
      </c>
      <c r="N77" s="41"/>
    </row>
    <row r="78" spans="1:14" x14ac:dyDescent="0.2">
      <c r="A78" s="39"/>
      <c r="C78" s="40">
        <f t="shared" si="1"/>
        <v>43472</v>
      </c>
      <c r="N78" s="41"/>
    </row>
    <row r="79" spans="1:14" x14ac:dyDescent="0.2">
      <c r="A79" s="39"/>
      <c r="C79" s="40">
        <f t="shared" si="1"/>
        <v>43473</v>
      </c>
      <c r="N79" s="41"/>
    </row>
    <row r="80" spans="1:14" x14ac:dyDescent="0.2">
      <c r="A80" s="39"/>
      <c r="C80" s="40">
        <f t="shared" si="1"/>
        <v>43474</v>
      </c>
      <c r="N80" s="41"/>
    </row>
    <row r="81" spans="1:14" x14ac:dyDescent="0.2">
      <c r="A81" s="39"/>
      <c r="C81" s="40">
        <f t="shared" si="1"/>
        <v>43475</v>
      </c>
      <c r="N81" s="41"/>
    </row>
    <row r="82" spans="1:14" x14ac:dyDescent="0.2">
      <c r="A82" s="39"/>
      <c r="C82" s="40">
        <f t="shared" si="1"/>
        <v>43476</v>
      </c>
      <c r="N82" s="41"/>
    </row>
    <row r="83" spans="1:14" x14ac:dyDescent="0.2">
      <c r="A83" s="39"/>
      <c r="C83" s="40">
        <f t="shared" si="1"/>
        <v>43477</v>
      </c>
      <c r="N83" s="41"/>
    </row>
    <row r="84" spans="1:14" x14ac:dyDescent="0.2">
      <c r="A84" s="39"/>
      <c r="C84" s="40">
        <f t="shared" si="1"/>
        <v>43478</v>
      </c>
      <c r="N84" s="41"/>
    </row>
    <row r="85" spans="1:14" x14ac:dyDescent="0.2">
      <c r="A85" s="39"/>
      <c r="C85" s="40">
        <f t="shared" si="1"/>
        <v>43479</v>
      </c>
      <c r="N85" s="41"/>
    </row>
    <row r="86" spans="1:14" x14ac:dyDescent="0.2">
      <c r="A86" s="39"/>
      <c r="C86" s="40">
        <f t="shared" si="1"/>
        <v>43480</v>
      </c>
      <c r="N86" s="41"/>
    </row>
    <row r="87" spans="1:14" x14ac:dyDescent="0.2">
      <c r="A87" s="39"/>
      <c r="C87" s="40">
        <f t="shared" si="1"/>
        <v>43481</v>
      </c>
      <c r="N87" s="41"/>
    </row>
    <row r="88" spans="1:14" x14ac:dyDescent="0.2">
      <c r="A88" s="39"/>
      <c r="C88" s="40">
        <f t="shared" si="1"/>
        <v>43482</v>
      </c>
      <c r="J88" s="162"/>
      <c r="K88" s="162"/>
      <c r="N88" s="41"/>
    </row>
    <row r="89" spans="1:14" x14ac:dyDescent="0.2">
      <c r="A89" s="39"/>
      <c r="C89" s="40">
        <f t="shared" si="1"/>
        <v>43483</v>
      </c>
      <c r="N89" s="41"/>
    </row>
    <row r="90" spans="1:14" x14ac:dyDescent="0.2">
      <c r="A90" s="39"/>
      <c r="C90" s="40">
        <f t="shared" si="1"/>
        <v>43484</v>
      </c>
      <c r="N90" s="41"/>
    </row>
    <row r="91" spans="1:14" x14ac:dyDescent="0.2">
      <c r="A91" s="39"/>
      <c r="C91" s="40">
        <f t="shared" si="1"/>
        <v>43485</v>
      </c>
      <c r="N91" s="41"/>
    </row>
    <row r="92" spans="1:14" x14ac:dyDescent="0.2">
      <c r="A92" s="39"/>
      <c r="C92" s="40">
        <f t="shared" si="1"/>
        <v>43486</v>
      </c>
      <c r="N92" s="41"/>
    </row>
    <row r="93" spans="1:14" x14ac:dyDescent="0.2">
      <c r="A93" s="39"/>
      <c r="C93" s="40">
        <f t="shared" si="1"/>
        <v>43487</v>
      </c>
      <c r="N93" s="41"/>
    </row>
    <row r="94" spans="1:14" x14ac:dyDescent="0.2">
      <c r="A94" s="39"/>
      <c r="C94" s="40">
        <f t="shared" si="1"/>
        <v>43488</v>
      </c>
      <c r="N94" s="41"/>
    </row>
    <row r="95" spans="1:14" x14ac:dyDescent="0.2">
      <c r="A95" s="39"/>
      <c r="C95" s="40">
        <f t="shared" si="1"/>
        <v>43489</v>
      </c>
      <c r="N95" s="41"/>
    </row>
    <row r="96" spans="1:14" x14ac:dyDescent="0.2">
      <c r="A96" s="39"/>
      <c r="C96" s="40">
        <f t="shared" si="1"/>
        <v>43490</v>
      </c>
      <c r="N96" s="41"/>
    </row>
    <row r="97" spans="1:14" x14ac:dyDescent="0.2">
      <c r="A97" s="39"/>
      <c r="C97" s="40">
        <f t="shared" si="1"/>
        <v>43491</v>
      </c>
      <c r="N97" s="41"/>
    </row>
    <row r="98" spans="1:14" x14ac:dyDescent="0.2">
      <c r="A98" s="39"/>
      <c r="C98" s="40">
        <f t="shared" si="1"/>
        <v>43492</v>
      </c>
      <c r="N98" s="41"/>
    </row>
    <row r="99" spans="1:14" x14ac:dyDescent="0.2">
      <c r="A99" s="39"/>
      <c r="C99" s="40">
        <f t="shared" si="1"/>
        <v>43493</v>
      </c>
      <c r="N99" s="41"/>
    </row>
    <row r="100" spans="1:14" x14ac:dyDescent="0.2">
      <c r="A100" s="39"/>
      <c r="C100" s="40">
        <f t="shared" si="1"/>
        <v>43494</v>
      </c>
      <c r="N100" s="41"/>
    </row>
    <row r="101" spans="1:14" x14ac:dyDescent="0.2">
      <c r="A101" s="39"/>
      <c r="C101" s="40">
        <f t="shared" si="1"/>
        <v>43495</v>
      </c>
      <c r="N101" s="41"/>
    </row>
    <row r="102" spans="1:14" x14ac:dyDescent="0.2">
      <c r="A102" s="39"/>
      <c r="C102" s="40">
        <f t="shared" si="1"/>
        <v>43496</v>
      </c>
      <c r="N102" s="41"/>
    </row>
    <row r="103" spans="1:14" x14ac:dyDescent="0.2">
      <c r="A103" s="39"/>
      <c r="C103" s="40">
        <f t="shared" si="1"/>
        <v>43497</v>
      </c>
      <c r="N103" s="41"/>
    </row>
    <row r="104" spans="1:14" x14ac:dyDescent="0.2">
      <c r="A104" s="39"/>
      <c r="C104" s="40">
        <f t="shared" si="1"/>
        <v>43498</v>
      </c>
      <c r="N104" s="41"/>
    </row>
    <row r="105" spans="1:14" x14ac:dyDescent="0.2">
      <c r="A105" s="39"/>
      <c r="C105" s="40">
        <f t="shared" si="1"/>
        <v>43499</v>
      </c>
      <c r="N105" s="41"/>
    </row>
    <row r="106" spans="1:14" x14ac:dyDescent="0.2">
      <c r="A106" s="39"/>
      <c r="C106" s="40">
        <f t="shared" si="1"/>
        <v>43500</v>
      </c>
      <c r="N106" s="41"/>
    </row>
    <row r="107" spans="1:14" x14ac:dyDescent="0.2">
      <c r="A107" s="39"/>
      <c r="C107" s="40">
        <f t="shared" si="1"/>
        <v>43501</v>
      </c>
      <c r="N107" s="41"/>
    </row>
    <row r="108" spans="1:14" x14ac:dyDescent="0.2">
      <c r="A108" s="39"/>
      <c r="C108" s="40">
        <f t="shared" si="1"/>
        <v>43502</v>
      </c>
      <c r="N108" s="41"/>
    </row>
    <row r="109" spans="1:14" x14ac:dyDescent="0.2">
      <c r="A109" s="39"/>
      <c r="C109" s="40">
        <f t="shared" si="1"/>
        <v>43503</v>
      </c>
      <c r="N109" s="41"/>
    </row>
    <row r="110" spans="1:14" x14ac:dyDescent="0.2">
      <c r="A110" s="39"/>
      <c r="C110" s="40">
        <f t="shared" si="1"/>
        <v>43504</v>
      </c>
      <c r="N110" s="41"/>
    </row>
    <row r="111" spans="1:14" x14ac:dyDescent="0.2">
      <c r="A111" s="39"/>
      <c r="C111" s="40">
        <f t="shared" si="1"/>
        <v>43505</v>
      </c>
      <c r="N111" s="41"/>
    </row>
    <row r="112" spans="1:14" x14ac:dyDescent="0.2">
      <c r="A112" s="39"/>
      <c r="C112" s="40">
        <f t="shared" si="1"/>
        <v>43506</v>
      </c>
      <c r="N112" s="41"/>
    </row>
    <row r="113" spans="1:14" x14ac:dyDescent="0.2">
      <c r="A113" s="39"/>
      <c r="C113" s="40">
        <f t="shared" si="1"/>
        <v>43507</v>
      </c>
      <c r="N113" s="41"/>
    </row>
    <row r="114" spans="1:14" x14ac:dyDescent="0.2">
      <c r="A114" s="39"/>
      <c r="C114" s="40">
        <f t="shared" si="1"/>
        <v>43508</v>
      </c>
      <c r="N114" s="41"/>
    </row>
    <row r="115" spans="1:14" x14ac:dyDescent="0.2">
      <c r="A115" s="39"/>
      <c r="C115" s="40">
        <f t="shared" si="1"/>
        <v>43509</v>
      </c>
      <c r="N115" s="41"/>
    </row>
    <row r="116" spans="1:14" x14ac:dyDescent="0.2">
      <c r="A116" s="39"/>
      <c r="C116" s="40">
        <f t="shared" si="1"/>
        <v>43510</v>
      </c>
      <c r="N116" s="41"/>
    </row>
    <row r="117" spans="1:14" x14ac:dyDescent="0.2">
      <c r="A117" s="39"/>
      <c r="C117" s="40">
        <f t="shared" si="1"/>
        <v>43511</v>
      </c>
      <c r="N117" s="41"/>
    </row>
    <row r="118" spans="1:14" x14ac:dyDescent="0.2">
      <c r="A118" s="39"/>
      <c r="C118" s="40">
        <f t="shared" si="1"/>
        <v>43512</v>
      </c>
      <c r="N118" s="41"/>
    </row>
    <row r="119" spans="1:14" x14ac:dyDescent="0.2">
      <c r="A119" s="39"/>
      <c r="C119" s="40">
        <f t="shared" si="1"/>
        <v>43513</v>
      </c>
      <c r="N119" s="41"/>
    </row>
    <row r="120" spans="1:14" x14ac:dyDescent="0.2">
      <c r="A120" s="39"/>
      <c r="C120" s="40">
        <f t="shared" si="1"/>
        <v>43514</v>
      </c>
      <c r="N120" s="41"/>
    </row>
    <row r="121" spans="1:14" x14ac:dyDescent="0.2">
      <c r="A121" s="39"/>
      <c r="C121" s="40">
        <f t="shared" si="1"/>
        <v>43515</v>
      </c>
      <c r="N121" s="41"/>
    </row>
    <row r="122" spans="1:14" x14ac:dyDescent="0.2">
      <c r="A122" s="39"/>
      <c r="C122" s="40">
        <f t="shared" si="1"/>
        <v>43516</v>
      </c>
      <c r="N122" s="41"/>
    </row>
    <row r="123" spans="1:14" x14ac:dyDescent="0.2">
      <c r="A123" s="39"/>
      <c r="C123" s="40">
        <f t="shared" si="1"/>
        <v>43517</v>
      </c>
      <c r="N123" s="41"/>
    </row>
    <row r="124" spans="1:14" x14ac:dyDescent="0.2">
      <c r="A124" s="39"/>
      <c r="C124" s="40">
        <f t="shared" si="1"/>
        <v>43518</v>
      </c>
      <c r="J124" s="162"/>
      <c r="K124" s="162"/>
      <c r="N124" s="41"/>
    </row>
    <row r="125" spans="1:14" x14ac:dyDescent="0.2">
      <c r="A125" s="39"/>
      <c r="C125" s="40">
        <f t="shared" si="1"/>
        <v>43519</v>
      </c>
      <c r="N125" s="41"/>
    </row>
    <row r="126" spans="1:14" x14ac:dyDescent="0.2">
      <c r="A126" s="39"/>
      <c r="C126" s="40">
        <f t="shared" si="1"/>
        <v>43520</v>
      </c>
      <c r="N126" s="41"/>
    </row>
    <row r="127" spans="1:14" x14ac:dyDescent="0.2">
      <c r="A127" s="39"/>
      <c r="C127" s="40">
        <f t="shared" si="1"/>
        <v>43521</v>
      </c>
      <c r="N127" s="41"/>
    </row>
    <row r="128" spans="1:14" x14ac:dyDescent="0.2">
      <c r="A128" s="39"/>
      <c r="C128" s="40">
        <f t="shared" si="1"/>
        <v>43522</v>
      </c>
      <c r="N128" s="41"/>
    </row>
    <row r="129" spans="1:14" x14ac:dyDescent="0.2">
      <c r="A129" s="39"/>
      <c r="C129" s="40">
        <f t="shared" si="1"/>
        <v>43523</v>
      </c>
      <c r="N129" s="41"/>
    </row>
    <row r="130" spans="1:14" x14ac:dyDescent="0.2">
      <c r="A130" s="39"/>
      <c r="C130" s="40">
        <f t="shared" si="1"/>
        <v>43524</v>
      </c>
      <c r="N130" s="41"/>
    </row>
    <row r="131" spans="1:14" x14ac:dyDescent="0.2">
      <c r="A131" s="39"/>
      <c r="C131" s="40">
        <f t="shared" si="1"/>
        <v>43525</v>
      </c>
      <c r="N131" s="41"/>
    </row>
    <row r="132" spans="1:14" x14ac:dyDescent="0.2">
      <c r="A132" s="39"/>
      <c r="C132" s="40">
        <f t="shared" si="1"/>
        <v>43526</v>
      </c>
      <c r="N132" s="41"/>
    </row>
    <row r="133" spans="1:14" x14ac:dyDescent="0.2">
      <c r="A133" s="39"/>
      <c r="C133" s="40">
        <f t="shared" si="1"/>
        <v>43527</v>
      </c>
      <c r="N133" s="41"/>
    </row>
    <row r="134" spans="1:14" x14ac:dyDescent="0.2">
      <c r="A134" s="39"/>
      <c r="C134" s="40">
        <f t="shared" si="1"/>
        <v>43528</v>
      </c>
      <c r="N134" s="41"/>
    </row>
    <row r="135" spans="1:14" x14ac:dyDescent="0.2">
      <c r="A135" s="39"/>
      <c r="C135" s="40">
        <f t="shared" si="1"/>
        <v>43529</v>
      </c>
      <c r="N135" s="41"/>
    </row>
    <row r="136" spans="1:14" x14ac:dyDescent="0.2">
      <c r="A136" s="39"/>
      <c r="C136" s="40">
        <f t="shared" ref="C136:C199" si="2">C135+1</f>
        <v>43530</v>
      </c>
      <c r="N136" s="41"/>
    </row>
    <row r="137" spans="1:14" x14ac:dyDescent="0.2">
      <c r="A137" s="39"/>
      <c r="C137" s="40">
        <f t="shared" si="2"/>
        <v>43531</v>
      </c>
      <c r="N137" s="41"/>
    </row>
    <row r="138" spans="1:14" x14ac:dyDescent="0.2">
      <c r="A138" s="39"/>
      <c r="C138" s="40">
        <f t="shared" si="2"/>
        <v>43532</v>
      </c>
      <c r="N138" s="41"/>
    </row>
    <row r="139" spans="1:14" x14ac:dyDescent="0.2">
      <c r="A139" s="39"/>
      <c r="C139" s="40">
        <f t="shared" si="2"/>
        <v>43533</v>
      </c>
      <c r="N139" s="41"/>
    </row>
    <row r="140" spans="1:14" x14ac:dyDescent="0.2">
      <c r="A140" s="39"/>
      <c r="C140" s="40">
        <f t="shared" si="2"/>
        <v>43534</v>
      </c>
      <c r="N140" s="41"/>
    </row>
    <row r="141" spans="1:14" x14ac:dyDescent="0.2">
      <c r="A141" s="39"/>
      <c r="C141" s="40">
        <f t="shared" si="2"/>
        <v>43535</v>
      </c>
      <c r="N141" s="41"/>
    </row>
    <row r="142" spans="1:14" x14ac:dyDescent="0.2">
      <c r="A142" s="39"/>
      <c r="C142" s="40">
        <f t="shared" si="2"/>
        <v>43536</v>
      </c>
      <c r="N142" s="41"/>
    </row>
    <row r="143" spans="1:14" x14ac:dyDescent="0.2">
      <c r="A143" s="39"/>
      <c r="C143" s="40">
        <f t="shared" si="2"/>
        <v>43537</v>
      </c>
      <c r="N143" s="41"/>
    </row>
    <row r="144" spans="1:14" x14ac:dyDescent="0.2">
      <c r="A144" s="39"/>
      <c r="C144" s="40">
        <f t="shared" si="2"/>
        <v>43538</v>
      </c>
      <c r="N144" s="41"/>
    </row>
    <row r="145" spans="1:14" x14ac:dyDescent="0.2">
      <c r="A145" s="39"/>
      <c r="C145" s="40">
        <f t="shared" si="2"/>
        <v>43539</v>
      </c>
      <c r="N145" s="41"/>
    </row>
    <row r="146" spans="1:14" x14ac:dyDescent="0.2">
      <c r="A146" s="39"/>
      <c r="C146" s="40">
        <f t="shared" si="2"/>
        <v>43540</v>
      </c>
      <c r="N146" s="41"/>
    </row>
    <row r="147" spans="1:14" x14ac:dyDescent="0.2">
      <c r="A147" s="39"/>
      <c r="C147" s="40">
        <f t="shared" si="2"/>
        <v>43541</v>
      </c>
      <c r="N147" s="41"/>
    </row>
    <row r="148" spans="1:14" x14ac:dyDescent="0.2">
      <c r="A148" s="39"/>
      <c r="C148" s="40">
        <f t="shared" si="2"/>
        <v>43542</v>
      </c>
      <c r="N148" s="41"/>
    </row>
    <row r="149" spans="1:14" x14ac:dyDescent="0.2">
      <c r="A149" s="39"/>
      <c r="C149" s="40">
        <f t="shared" si="2"/>
        <v>43543</v>
      </c>
      <c r="N149" s="41"/>
    </row>
    <row r="150" spans="1:14" x14ac:dyDescent="0.2">
      <c r="A150" s="39"/>
      <c r="C150" s="40">
        <f t="shared" si="2"/>
        <v>43544</v>
      </c>
      <c r="N150" s="41"/>
    </row>
    <row r="151" spans="1:14" x14ac:dyDescent="0.2">
      <c r="A151" s="39"/>
      <c r="C151" s="40">
        <f t="shared" si="2"/>
        <v>43545</v>
      </c>
      <c r="N151" s="41"/>
    </row>
    <row r="152" spans="1:14" x14ac:dyDescent="0.2">
      <c r="A152" s="39"/>
      <c r="C152" s="40">
        <f t="shared" si="2"/>
        <v>43546</v>
      </c>
      <c r="N152" s="41"/>
    </row>
    <row r="153" spans="1:14" x14ac:dyDescent="0.2">
      <c r="A153" s="39"/>
      <c r="C153" s="40">
        <f t="shared" si="2"/>
        <v>43547</v>
      </c>
      <c r="N153" s="41"/>
    </row>
    <row r="154" spans="1:14" x14ac:dyDescent="0.2">
      <c r="A154" s="39"/>
      <c r="C154" s="40">
        <f t="shared" si="2"/>
        <v>43548</v>
      </c>
      <c r="N154" s="41"/>
    </row>
    <row r="155" spans="1:14" x14ac:dyDescent="0.2">
      <c r="A155" s="39"/>
      <c r="C155" s="40">
        <f t="shared" si="2"/>
        <v>43549</v>
      </c>
      <c r="N155" s="41"/>
    </row>
    <row r="156" spans="1:14" x14ac:dyDescent="0.2">
      <c r="A156" s="39"/>
      <c r="C156" s="40">
        <f t="shared" si="2"/>
        <v>43550</v>
      </c>
      <c r="N156" s="41"/>
    </row>
    <row r="157" spans="1:14" x14ac:dyDescent="0.2">
      <c r="A157" s="39"/>
      <c r="C157" s="40">
        <f t="shared" si="2"/>
        <v>43551</v>
      </c>
      <c r="N157" s="41"/>
    </row>
    <row r="158" spans="1:14" x14ac:dyDescent="0.2">
      <c r="A158" s="39"/>
      <c r="C158" s="40">
        <f t="shared" si="2"/>
        <v>43552</v>
      </c>
      <c r="N158" s="41"/>
    </row>
    <row r="159" spans="1:14" x14ac:dyDescent="0.2">
      <c r="A159" s="39"/>
      <c r="C159" s="40">
        <f t="shared" si="2"/>
        <v>43553</v>
      </c>
      <c r="J159" s="162"/>
      <c r="K159" s="162"/>
      <c r="N159" s="41"/>
    </row>
    <row r="160" spans="1:14" x14ac:dyDescent="0.2">
      <c r="A160" s="39"/>
      <c r="C160" s="40">
        <f t="shared" si="2"/>
        <v>43554</v>
      </c>
      <c r="N160" s="41"/>
    </row>
    <row r="161" spans="1:14" x14ac:dyDescent="0.2">
      <c r="A161" s="39"/>
      <c r="C161" s="40">
        <f t="shared" si="2"/>
        <v>43555</v>
      </c>
      <c r="N161" s="41"/>
    </row>
    <row r="162" spans="1:14" x14ac:dyDescent="0.2">
      <c r="A162" s="39"/>
      <c r="C162" s="40">
        <f t="shared" si="2"/>
        <v>43556</v>
      </c>
      <c r="N162" s="41"/>
    </row>
    <row r="163" spans="1:14" x14ac:dyDescent="0.2">
      <c r="A163" s="39"/>
      <c r="C163" s="40">
        <f t="shared" si="2"/>
        <v>43557</v>
      </c>
      <c r="N163" s="41"/>
    </row>
    <row r="164" spans="1:14" x14ac:dyDescent="0.2">
      <c r="A164" s="39"/>
      <c r="C164" s="40">
        <f t="shared" si="2"/>
        <v>43558</v>
      </c>
      <c r="N164" s="41"/>
    </row>
    <row r="165" spans="1:14" x14ac:dyDescent="0.2">
      <c r="A165" s="39"/>
      <c r="C165" s="40">
        <f t="shared" si="2"/>
        <v>43559</v>
      </c>
      <c r="N165" s="41"/>
    </row>
    <row r="166" spans="1:14" x14ac:dyDescent="0.2">
      <c r="A166" s="39"/>
      <c r="C166" s="40">
        <f t="shared" si="2"/>
        <v>43560</v>
      </c>
      <c r="N166" s="41"/>
    </row>
    <row r="167" spans="1:14" x14ac:dyDescent="0.2">
      <c r="A167" s="39"/>
      <c r="C167" s="40">
        <f t="shared" si="2"/>
        <v>43561</v>
      </c>
      <c r="N167" s="41"/>
    </row>
    <row r="168" spans="1:14" x14ac:dyDescent="0.2">
      <c r="A168" s="39"/>
      <c r="C168" s="40">
        <f t="shared" si="2"/>
        <v>43562</v>
      </c>
      <c r="N168" s="41"/>
    </row>
    <row r="169" spans="1:14" x14ac:dyDescent="0.2">
      <c r="A169" s="39"/>
      <c r="C169" s="40">
        <f t="shared" si="2"/>
        <v>43563</v>
      </c>
      <c r="N169" s="41"/>
    </row>
    <row r="170" spans="1:14" x14ac:dyDescent="0.2">
      <c r="A170" s="39"/>
      <c r="C170" s="40">
        <f t="shared" si="2"/>
        <v>43564</v>
      </c>
      <c r="N170" s="41"/>
    </row>
    <row r="171" spans="1:14" x14ac:dyDescent="0.2">
      <c r="A171" s="39"/>
      <c r="C171" s="40">
        <f t="shared" si="2"/>
        <v>43565</v>
      </c>
      <c r="N171" s="41"/>
    </row>
    <row r="172" spans="1:14" x14ac:dyDescent="0.2">
      <c r="A172" s="39"/>
      <c r="C172" s="40">
        <f t="shared" si="2"/>
        <v>43566</v>
      </c>
      <c r="N172" s="41"/>
    </row>
    <row r="173" spans="1:14" x14ac:dyDescent="0.2">
      <c r="A173" s="39"/>
      <c r="C173" s="40">
        <f t="shared" si="2"/>
        <v>43567</v>
      </c>
      <c r="J173" s="162"/>
      <c r="K173" s="162"/>
      <c r="N173" s="41"/>
    </row>
    <row r="174" spans="1:14" x14ac:dyDescent="0.2">
      <c r="A174" s="39"/>
      <c r="C174" s="40">
        <f t="shared" si="2"/>
        <v>43568</v>
      </c>
      <c r="N174" s="41"/>
    </row>
    <row r="175" spans="1:14" x14ac:dyDescent="0.2">
      <c r="A175" s="39"/>
      <c r="C175" s="40">
        <f t="shared" si="2"/>
        <v>43569</v>
      </c>
      <c r="N175" s="41"/>
    </row>
    <row r="176" spans="1:14" x14ac:dyDescent="0.2">
      <c r="A176" s="39"/>
      <c r="C176" s="40">
        <f t="shared" si="2"/>
        <v>43570</v>
      </c>
      <c r="N176" s="41"/>
    </row>
    <row r="177" spans="1:14" x14ac:dyDescent="0.2">
      <c r="A177" s="39"/>
      <c r="C177" s="40">
        <f t="shared" si="2"/>
        <v>43571</v>
      </c>
      <c r="N177" s="41"/>
    </row>
    <row r="178" spans="1:14" x14ac:dyDescent="0.2">
      <c r="A178" s="39"/>
      <c r="C178" s="40">
        <f t="shared" si="2"/>
        <v>43572</v>
      </c>
      <c r="N178" s="41"/>
    </row>
    <row r="179" spans="1:14" x14ac:dyDescent="0.2">
      <c r="A179" s="39"/>
      <c r="C179" s="40">
        <f t="shared" si="2"/>
        <v>43573</v>
      </c>
      <c r="N179" s="41"/>
    </row>
    <row r="180" spans="1:14" x14ac:dyDescent="0.2">
      <c r="A180" s="39"/>
      <c r="C180" s="40">
        <f t="shared" si="2"/>
        <v>43574</v>
      </c>
      <c r="N180" s="41"/>
    </row>
    <row r="181" spans="1:14" x14ac:dyDescent="0.2">
      <c r="A181" s="39"/>
      <c r="C181" s="40">
        <f t="shared" si="2"/>
        <v>43575</v>
      </c>
      <c r="N181" s="41"/>
    </row>
    <row r="182" spans="1:14" x14ac:dyDescent="0.2">
      <c r="A182" s="39"/>
      <c r="C182" s="40">
        <f t="shared" si="2"/>
        <v>43576</v>
      </c>
      <c r="N182" s="41"/>
    </row>
    <row r="183" spans="1:14" x14ac:dyDescent="0.2">
      <c r="A183" s="39"/>
      <c r="C183" s="40">
        <f t="shared" si="2"/>
        <v>43577</v>
      </c>
      <c r="N183" s="41"/>
    </row>
    <row r="184" spans="1:14" x14ac:dyDescent="0.2">
      <c r="A184" s="39"/>
      <c r="C184" s="40">
        <f t="shared" si="2"/>
        <v>43578</v>
      </c>
      <c r="N184" s="41"/>
    </row>
    <row r="185" spans="1:14" x14ac:dyDescent="0.2">
      <c r="A185" s="39"/>
      <c r="C185" s="40">
        <f t="shared" si="2"/>
        <v>43579</v>
      </c>
      <c r="N185" s="41"/>
    </row>
    <row r="186" spans="1:14" x14ac:dyDescent="0.2">
      <c r="A186" s="39"/>
      <c r="C186" s="40">
        <f t="shared" si="2"/>
        <v>43580</v>
      </c>
      <c r="N186" s="41"/>
    </row>
    <row r="187" spans="1:14" x14ac:dyDescent="0.2">
      <c r="A187" s="39"/>
      <c r="C187" s="40">
        <f t="shared" si="2"/>
        <v>43581</v>
      </c>
      <c r="N187" s="41"/>
    </row>
    <row r="188" spans="1:14" x14ac:dyDescent="0.2">
      <c r="A188" s="39"/>
      <c r="C188" s="40">
        <f t="shared" si="2"/>
        <v>43582</v>
      </c>
      <c r="N188" s="41"/>
    </row>
    <row r="189" spans="1:14" x14ac:dyDescent="0.2">
      <c r="A189" s="39"/>
      <c r="C189" s="40">
        <f t="shared" si="2"/>
        <v>43583</v>
      </c>
      <c r="N189" s="41"/>
    </row>
    <row r="190" spans="1:14" x14ac:dyDescent="0.2">
      <c r="A190" s="39"/>
      <c r="C190" s="40">
        <f t="shared" si="2"/>
        <v>43584</v>
      </c>
      <c r="N190" s="41"/>
    </row>
    <row r="191" spans="1:14" x14ac:dyDescent="0.2">
      <c r="A191" s="39"/>
      <c r="C191" s="40">
        <f t="shared" si="2"/>
        <v>43585</v>
      </c>
      <c r="N191" s="41"/>
    </row>
    <row r="192" spans="1:14" x14ac:dyDescent="0.2">
      <c r="A192" s="39"/>
      <c r="C192" s="40">
        <f t="shared" si="2"/>
        <v>43586</v>
      </c>
      <c r="N192" s="41"/>
    </row>
    <row r="193" spans="1:14" x14ac:dyDescent="0.2">
      <c r="A193" s="39"/>
      <c r="C193" s="40">
        <f t="shared" si="2"/>
        <v>43587</v>
      </c>
      <c r="N193" s="41"/>
    </row>
    <row r="194" spans="1:14" x14ac:dyDescent="0.2">
      <c r="A194" s="39"/>
      <c r="C194" s="40">
        <f t="shared" si="2"/>
        <v>43588</v>
      </c>
      <c r="N194" s="41"/>
    </row>
    <row r="195" spans="1:14" x14ac:dyDescent="0.2">
      <c r="A195" s="39"/>
      <c r="C195" s="40">
        <f t="shared" si="2"/>
        <v>43589</v>
      </c>
      <c r="N195" s="41"/>
    </row>
    <row r="196" spans="1:14" x14ac:dyDescent="0.2">
      <c r="A196" s="39"/>
      <c r="C196" s="40">
        <f t="shared" si="2"/>
        <v>43590</v>
      </c>
      <c r="N196" s="41"/>
    </row>
    <row r="197" spans="1:14" x14ac:dyDescent="0.2">
      <c r="A197" s="39"/>
      <c r="C197" s="40">
        <f t="shared" si="2"/>
        <v>43591</v>
      </c>
      <c r="N197" s="41"/>
    </row>
    <row r="198" spans="1:14" x14ac:dyDescent="0.2">
      <c r="A198" s="39"/>
      <c r="C198" s="40">
        <f t="shared" si="2"/>
        <v>43592</v>
      </c>
      <c r="N198" s="41"/>
    </row>
    <row r="199" spans="1:14" x14ac:dyDescent="0.2">
      <c r="A199" s="39"/>
      <c r="C199" s="40">
        <f t="shared" si="2"/>
        <v>43593</v>
      </c>
      <c r="N199" s="41"/>
    </row>
    <row r="200" spans="1:14" x14ac:dyDescent="0.2">
      <c r="A200" s="39"/>
      <c r="C200" s="40">
        <f t="shared" ref="C200:C263" si="3">C199+1</f>
        <v>43594</v>
      </c>
      <c r="N200" s="41"/>
    </row>
    <row r="201" spans="1:14" x14ac:dyDescent="0.2">
      <c r="A201" s="39"/>
      <c r="C201" s="40">
        <f t="shared" si="3"/>
        <v>43595</v>
      </c>
      <c r="N201" s="41"/>
    </row>
    <row r="202" spans="1:14" x14ac:dyDescent="0.2">
      <c r="A202" s="39"/>
      <c r="C202" s="40">
        <f t="shared" si="3"/>
        <v>43596</v>
      </c>
      <c r="N202" s="41"/>
    </row>
    <row r="203" spans="1:14" x14ac:dyDescent="0.2">
      <c r="A203" s="39"/>
      <c r="C203" s="40">
        <f t="shared" si="3"/>
        <v>43597</v>
      </c>
      <c r="N203" s="41"/>
    </row>
    <row r="204" spans="1:14" x14ac:dyDescent="0.2">
      <c r="A204" s="39"/>
      <c r="C204" s="40">
        <f t="shared" si="3"/>
        <v>43598</v>
      </c>
      <c r="N204" s="41"/>
    </row>
    <row r="205" spans="1:14" x14ac:dyDescent="0.2">
      <c r="A205" s="39"/>
      <c r="C205" s="40">
        <f t="shared" si="3"/>
        <v>43599</v>
      </c>
      <c r="N205" s="41"/>
    </row>
    <row r="206" spans="1:14" x14ac:dyDescent="0.2">
      <c r="A206" s="39"/>
      <c r="C206" s="40">
        <f t="shared" si="3"/>
        <v>43600</v>
      </c>
      <c r="N206" s="41"/>
    </row>
    <row r="207" spans="1:14" x14ac:dyDescent="0.2">
      <c r="A207" s="39"/>
      <c r="C207" s="40">
        <f t="shared" si="3"/>
        <v>43601</v>
      </c>
      <c r="N207" s="41"/>
    </row>
    <row r="208" spans="1:14" x14ac:dyDescent="0.2">
      <c r="A208" s="39"/>
      <c r="C208" s="40">
        <f t="shared" si="3"/>
        <v>43602</v>
      </c>
      <c r="N208" s="41"/>
    </row>
    <row r="209" spans="1:14" x14ac:dyDescent="0.2">
      <c r="A209" s="39"/>
      <c r="C209" s="40">
        <f t="shared" si="3"/>
        <v>43603</v>
      </c>
      <c r="N209" s="41"/>
    </row>
    <row r="210" spans="1:14" x14ac:dyDescent="0.2">
      <c r="A210" s="39"/>
      <c r="C210" s="40">
        <f t="shared" si="3"/>
        <v>43604</v>
      </c>
      <c r="N210" s="41"/>
    </row>
    <row r="211" spans="1:14" x14ac:dyDescent="0.2">
      <c r="A211" s="39"/>
      <c r="C211" s="40">
        <f t="shared" si="3"/>
        <v>43605</v>
      </c>
      <c r="N211" s="41"/>
    </row>
    <row r="212" spans="1:14" x14ac:dyDescent="0.2">
      <c r="A212" s="39"/>
      <c r="C212" s="40">
        <f t="shared" si="3"/>
        <v>43606</v>
      </c>
      <c r="N212" s="41"/>
    </row>
    <row r="213" spans="1:14" x14ac:dyDescent="0.2">
      <c r="A213" s="39"/>
      <c r="C213" s="40">
        <f t="shared" si="3"/>
        <v>43607</v>
      </c>
      <c r="N213" s="41"/>
    </row>
    <row r="214" spans="1:14" x14ac:dyDescent="0.2">
      <c r="A214" s="39"/>
      <c r="C214" s="40">
        <f t="shared" si="3"/>
        <v>43608</v>
      </c>
      <c r="N214" s="41"/>
    </row>
    <row r="215" spans="1:14" x14ac:dyDescent="0.2">
      <c r="A215" s="39"/>
      <c r="C215" s="40">
        <f t="shared" si="3"/>
        <v>43609</v>
      </c>
      <c r="N215" s="41"/>
    </row>
    <row r="216" spans="1:14" x14ac:dyDescent="0.2">
      <c r="A216" s="39"/>
      <c r="C216" s="40">
        <f t="shared" si="3"/>
        <v>43610</v>
      </c>
      <c r="N216" s="41"/>
    </row>
    <row r="217" spans="1:14" x14ac:dyDescent="0.2">
      <c r="A217" s="39"/>
      <c r="C217" s="40">
        <f t="shared" si="3"/>
        <v>43611</v>
      </c>
      <c r="N217" s="41"/>
    </row>
    <row r="218" spans="1:14" x14ac:dyDescent="0.2">
      <c r="A218" s="39"/>
      <c r="C218" s="40">
        <f t="shared" si="3"/>
        <v>43612</v>
      </c>
      <c r="N218" s="41"/>
    </row>
    <row r="219" spans="1:14" x14ac:dyDescent="0.2">
      <c r="A219" s="39"/>
      <c r="C219" s="40">
        <f t="shared" si="3"/>
        <v>43613</v>
      </c>
      <c r="N219" s="41"/>
    </row>
    <row r="220" spans="1:14" x14ac:dyDescent="0.2">
      <c r="A220" s="39"/>
      <c r="C220" s="40">
        <f t="shared" si="3"/>
        <v>43614</v>
      </c>
      <c r="N220" s="41"/>
    </row>
    <row r="221" spans="1:14" x14ac:dyDescent="0.2">
      <c r="A221" s="39"/>
      <c r="C221" s="40">
        <f t="shared" si="3"/>
        <v>43615</v>
      </c>
      <c r="N221" s="41"/>
    </row>
    <row r="222" spans="1:14" x14ac:dyDescent="0.2">
      <c r="A222" s="39"/>
      <c r="C222" s="40">
        <f t="shared" si="3"/>
        <v>43616</v>
      </c>
      <c r="N222" s="41"/>
    </row>
    <row r="223" spans="1:14" x14ac:dyDescent="0.2">
      <c r="A223" s="39"/>
      <c r="C223" s="40">
        <f t="shared" si="3"/>
        <v>43617</v>
      </c>
      <c r="N223" s="41"/>
    </row>
    <row r="224" spans="1:14" x14ac:dyDescent="0.2">
      <c r="A224" s="39"/>
      <c r="C224" s="40">
        <f t="shared" si="3"/>
        <v>43618</v>
      </c>
      <c r="N224" s="41"/>
    </row>
    <row r="225" spans="1:14" x14ac:dyDescent="0.2">
      <c r="A225" s="39"/>
      <c r="C225" s="40">
        <f t="shared" si="3"/>
        <v>43619</v>
      </c>
      <c r="N225" s="41"/>
    </row>
    <row r="226" spans="1:14" x14ac:dyDescent="0.2">
      <c r="A226" s="39"/>
      <c r="C226" s="40">
        <f t="shared" si="3"/>
        <v>43620</v>
      </c>
      <c r="N226" s="41"/>
    </row>
    <row r="227" spans="1:14" x14ac:dyDescent="0.2">
      <c r="A227" s="39"/>
      <c r="C227" s="40">
        <f t="shared" si="3"/>
        <v>43621</v>
      </c>
      <c r="N227" s="41"/>
    </row>
    <row r="228" spans="1:14" x14ac:dyDescent="0.2">
      <c r="A228" s="39"/>
      <c r="C228" s="40">
        <f t="shared" si="3"/>
        <v>43622</v>
      </c>
      <c r="N228" s="41"/>
    </row>
    <row r="229" spans="1:14" x14ac:dyDescent="0.2">
      <c r="A229" s="39"/>
      <c r="C229" s="40">
        <f t="shared" si="3"/>
        <v>43623</v>
      </c>
      <c r="N229" s="41"/>
    </row>
    <row r="230" spans="1:14" x14ac:dyDescent="0.2">
      <c r="A230" s="39"/>
      <c r="C230" s="40">
        <f t="shared" si="3"/>
        <v>43624</v>
      </c>
      <c r="N230" s="41"/>
    </row>
    <row r="231" spans="1:14" x14ac:dyDescent="0.2">
      <c r="A231" s="39"/>
      <c r="C231" s="40">
        <f t="shared" si="3"/>
        <v>43625</v>
      </c>
      <c r="N231" s="41"/>
    </row>
    <row r="232" spans="1:14" x14ac:dyDescent="0.2">
      <c r="A232" s="39"/>
      <c r="C232" s="40">
        <f t="shared" si="3"/>
        <v>43626</v>
      </c>
      <c r="N232" s="41"/>
    </row>
    <row r="233" spans="1:14" x14ac:dyDescent="0.2">
      <c r="A233" s="39"/>
      <c r="C233" s="40">
        <f t="shared" si="3"/>
        <v>43627</v>
      </c>
      <c r="N233" s="41"/>
    </row>
    <row r="234" spans="1:14" x14ac:dyDescent="0.2">
      <c r="A234" s="39"/>
      <c r="C234" s="40">
        <f t="shared" si="3"/>
        <v>43628</v>
      </c>
      <c r="N234" s="41"/>
    </row>
    <row r="235" spans="1:14" x14ac:dyDescent="0.2">
      <c r="A235" s="39"/>
      <c r="C235" s="40">
        <f t="shared" si="3"/>
        <v>43629</v>
      </c>
      <c r="N235" s="41"/>
    </row>
    <row r="236" spans="1:14" x14ac:dyDescent="0.2">
      <c r="A236" s="39"/>
      <c r="C236" s="40">
        <f t="shared" si="3"/>
        <v>43630</v>
      </c>
      <c r="J236" s="162"/>
      <c r="K236" s="162"/>
      <c r="N236" s="41"/>
    </row>
    <row r="237" spans="1:14" x14ac:dyDescent="0.2">
      <c r="A237" s="39"/>
      <c r="C237" s="40">
        <f t="shared" si="3"/>
        <v>43631</v>
      </c>
      <c r="N237" s="41"/>
    </row>
    <row r="238" spans="1:14" x14ac:dyDescent="0.2">
      <c r="A238" s="39"/>
      <c r="C238" s="40">
        <f t="shared" si="3"/>
        <v>43632</v>
      </c>
      <c r="N238" s="41"/>
    </row>
    <row r="239" spans="1:14" x14ac:dyDescent="0.2">
      <c r="A239" s="39"/>
      <c r="C239" s="40">
        <f t="shared" si="3"/>
        <v>43633</v>
      </c>
      <c r="N239" s="41"/>
    </row>
    <row r="240" spans="1:14" x14ac:dyDescent="0.2">
      <c r="A240" s="39"/>
      <c r="C240" s="40">
        <f t="shared" si="3"/>
        <v>43634</v>
      </c>
      <c r="N240" s="41"/>
    </row>
    <row r="241" spans="1:14" x14ac:dyDescent="0.2">
      <c r="A241" s="39"/>
      <c r="C241" s="40">
        <f t="shared" si="3"/>
        <v>43635</v>
      </c>
      <c r="N241" s="41"/>
    </row>
    <row r="242" spans="1:14" x14ac:dyDescent="0.2">
      <c r="A242" s="39"/>
      <c r="C242" s="40">
        <f t="shared" si="3"/>
        <v>43636</v>
      </c>
      <c r="N242" s="41"/>
    </row>
    <row r="243" spans="1:14" x14ac:dyDescent="0.2">
      <c r="A243" s="39"/>
      <c r="C243" s="40">
        <f t="shared" si="3"/>
        <v>43637</v>
      </c>
      <c r="N243" s="41"/>
    </row>
    <row r="244" spans="1:14" x14ac:dyDescent="0.2">
      <c r="A244" s="39"/>
      <c r="C244" s="40">
        <f t="shared" si="3"/>
        <v>43638</v>
      </c>
      <c r="N244" s="41"/>
    </row>
    <row r="245" spans="1:14" x14ac:dyDescent="0.2">
      <c r="A245" s="39"/>
      <c r="C245" s="40">
        <f t="shared" si="3"/>
        <v>43639</v>
      </c>
      <c r="N245" s="41"/>
    </row>
    <row r="246" spans="1:14" x14ac:dyDescent="0.2">
      <c r="A246" s="39"/>
      <c r="C246" s="40">
        <f t="shared" si="3"/>
        <v>43640</v>
      </c>
      <c r="N246" s="41"/>
    </row>
    <row r="247" spans="1:14" x14ac:dyDescent="0.2">
      <c r="A247" s="39"/>
      <c r="C247" s="40">
        <f t="shared" si="3"/>
        <v>43641</v>
      </c>
      <c r="N247" s="41"/>
    </row>
    <row r="248" spans="1:14" x14ac:dyDescent="0.2">
      <c r="A248" s="39"/>
      <c r="C248" s="40">
        <f t="shared" si="3"/>
        <v>43642</v>
      </c>
      <c r="N248" s="41"/>
    </row>
    <row r="249" spans="1:14" x14ac:dyDescent="0.2">
      <c r="A249" s="39"/>
      <c r="C249" s="40">
        <f t="shared" si="3"/>
        <v>43643</v>
      </c>
      <c r="N249" s="41"/>
    </row>
    <row r="250" spans="1:14" x14ac:dyDescent="0.2">
      <c r="A250" s="39"/>
      <c r="C250" s="40">
        <f t="shared" si="3"/>
        <v>43644</v>
      </c>
      <c r="J250" s="162"/>
      <c r="K250" s="162"/>
      <c r="N250" s="41"/>
    </row>
    <row r="251" spans="1:14" x14ac:dyDescent="0.2">
      <c r="A251" s="39"/>
      <c r="C251" s="40">
        <f t="shared" si="3"/>
        <v>43645</v>
      </c>
      <c r="N251" s="41"/>
    </row>
    <row r="252" spans="1:14" x14ac:dyDescent="0.2">
      <c r="A252" s="39"/>
      <c r="C252" s="40">
        <f t="shared" si="3"/>
        <v>43646</v>
      </c>
      <c r="N252" s="41"/>
    </row>
    <row r="253" spans="1:14" x14ac:dyDescent="0.2">
      <c r="A253" s="39"/>
      <c r="C253" s="40">
        <f t="shared" si="3"/>
        <v>43647</v>
      </c>
      <c r="N253" s="41"/>
    </row>
    <row r="254" spans="1:14" x14ac:dyDescent="0.2">
      <c r="A254" s="39"/>
      <c r="C254" s="40">
        <f t="shared" si="3"/>
        <v>43648</v>
      </c>
      <c r="N254" s="41"/>
    </row>
    <row r="255" spans="1:14" x14ac:dyDescent="0.2">
      <c r="A255" s="39"/>
      <c r="C255" s="40">
        <f t="shared" si="3"/>
        <v>43649</v>
      </c>
      <c r="N255" s="41"/>
    </row>
    <row r="256" spans="1:14" x14ac:dyDescent="0.2">
      <c r="A256" s="39"/>
      <c r="C256" s="40">
        <f t="shared" si="3"/>
        <v>43650</v>
      </c>
      <c r="N256" s="41"/>
    </row>
    <row r="257" spans="1:14" x14ac:dyDescent="0.2">
      <c r="A257" s="39"/>
      <c r="C257" s="40">
        <f t="shared" si="3"/>
        <v>43651</v>
      </c>
      <c r="N257" s="41"/>
    </row>
    <row r="258" spans="1:14" x14ac:dyDescent="0.2">
      <c r="A258" s="39"/>
      <c r="C258" s="40">
        <f t="shared" si="3"/>
        <v>43652</v>
      </c>
      <c r="N258" s="41"/>
    </row>
    <row r="259" spans="1:14" x14ac:dyDescent="0.2">
      <c r="A259" s="39"/>
      <c r="C259" s="40">
        <f t="shared" si="3"/>
        <v>43653</v>
      </c>
      <c r="N259" s="41"/>
    </row>
    <row r="260" spans="1:14" x14ac:dyDescent="0.2">
      <c r="A260" s="39"/>
      <c r="C260" s="40">
        <f t="shared" si="3"/>
        <v>43654</v>
      </c>
      <c r="N260" s="41"/>
    </row>
    <row r="261" spans="1:14" x14ac:dyDescent="0.2">
      <c r="A261" s="39"/>
      <c r="C261" s="40">
        <f t="shared" si="3"/>
        <v>43655</v>
      </c>
      <c r="N261" s="41"/>
    </row>
    <row r="262" spans="1:14" x14ac:dyDescent="0.2">
      <c r="A262" s="39"/>
      <c r="C262" s="40">
        <f t="shared" si="3"/>
        <v>43656</v>
      </c>
      <c r="N262" s="41"/>
    </row>
    <row r="263" spans="1:14" x14ac:dyDescent="0.2">
      <c r="A263" s="39"/>
      <c r="C263" s="40">
        <f t="shared" si="3"/>
        <v>43657</v>
      </c>
      <c r="N263" s="41"/>
    </row>
    <row r="264" spans="1:14" x14ac:dyDescent="0.2">
      <c r="A264" s="39"/>
      <c r="C264" s="40">
        <f t="shared" ref="C264:C327" si="4">C263+1</f>
        <v>43658</v>
      </c>
      <c r="N264" s="41"/>
    </row>
    <row r="265" spans="1:14" x14ac:dyDescent="0.2">
      <c r="A265" s="39"/>
      <c r="C265" s="40">
        <f t="shared" si="4"/>
        <v>43659</v>
      </c>
      <c r="N265" s="41"/>
    </row>
    <row r="266" spans="1:14" x14ac:dyDescent="0.2">
      <c r="A266" s="39"/>
      <c r="C266" s="40">
        <f t="shared" si="4"/>
        <v>43660</v>
      </c>
      <c r="N266" s="41"/>
    </row>
    <row r="267" spans="1:14" x14ac:dyDescent="0.2">
      <c r="A267" s="39"/>
      <c r="C267" s="40">
        <f t="shared" si="4"/>
        <v>43661</v>
      </c>
      <c r="N267" s="41"/>
    </row>
    <row r="268" spans="1:14" x14ac:dyDescent="0.2">
      <c r="A268" s="39"/>
      <c r="C268" s="40">
        <f t="shared" si="4"/>
        <v>43662</v>
      </c>
      <c r="N268" s="41"/>
    </row>
    <row r="269" spans="1:14" x14ac:dyDescent="0.2">
      <c r="A269" s="39"/>
      <c r="C269" s="40">
        <f t="shared" si="4"/>
        <v>43663</v>
      </c>
      <c r="N269" s="41"/>
    </row>
    <row r="270" spans="1:14" x14ac:dyDescent="0.2">
      <c r="A270" s="39"/>
      <c r="C270" s="40">
        <f t="shared" si="4"/>
        <v>43664</v>
      </c>
      <c r="N270" s="41"/>
    </row>
    <row r="271" spans="1:14" x14ac:dyDescent="0.2">
      <c r="A271" s="39"/>
      <c r="C271" s="40">
        <f t="shared" si="4"/>
        <v>43665</v>
      </c>
      <c r="N271" s="41"/>
    </row>
    <row r="272" spans="1:14" x14ac:dyDescent="0.2">
      <c r="A272" s="39"/>
      <c r="C272" s="40">
        <f t="shared" si="4"/>
        <v>43666</v>
      </c>
      <c r="N272" s="41"/>
    </row>
    <row r="273" spans="1:14" x14ac:dyDescent="0.2">
      <c r="A273" s="39"/>
      <c r="C273" s="40">
        <f t="shared" si="4"/>
        <v>43667</v>
      </c>
      <c r="N273" s="41"/>
    </row>
    <row r="274" spans="1:14" x14ac:dyDescent="0.2">
      <c r="A274" s="39"/>
      <c r="C274" s="40">
        <f t="shared" si="4"/>
        <v>43668</v>
      </c>
      <c r="N274" s="41"/>
    </row>
    <row r="275" spans="1:14" x14ac:dyDescent="0.2">
      <c r="A275" s="39"/>
      <c r="C275" s="40">
        <f t="shared" si="4"/>
        <v>43669</v>
      </c>
      <c r="N275" s="41"/>
    </row>
    <row r="276" spans="1:14" x14ac:dyDescent="0.2">
      <c r="A276" s="39"/>
      <c r="C276" s="40">
        <f t="shared" si="4"/>
        <v>43670</v>
      </c>
      <c r="N276" s="41"/>
    </row>
    <row r="277" spans="1:14" x14ac:dyDescent="0.2">
      <c r="A277" s="39"/>
      <c r="C277" s="40">
        <f t="shared" si="4"/>
        <v>43671</v>
      </c>
      <c r="N277" s="41"/>
    </row>
    <row r="278" spans="1:14" x14ac:dyDescent="0.2">
      <c r="A278" s="39"/>
      <c r="C278" s="40">
        <f t="shared" si="4"/>
        <v>43672</v>
      </c>
      <c r="N278" s="41"/>
    </row>
    <row r="279" spans="1:14" x14ac:dyDescent="0.2">
      <c r="A279" s="39"/>
      <c r="C279" s="40">
        <f t="shared" si="4"/>
        <v>43673</v>
      </c>
      <c r="N279" s="41"/>
    </row>
    <row r="280" spans="1:14" x14ac:dyDescent="0.2">
      <c r="A280" s="39"/>
      <c r="C280" s="40">
        <f t="shared" si="4"/>
        <v>43674</v>
      </c>
      <c r="N280" s="41"/>
    </row>
    <row r="281" spans="1:14" x14ac:dyDescent="0.2">
      <c r="A281" s="39"/>
      <c r="C281" s="40">
        <f t="shared" si="4"/>
        <v>43675</v>
      </c>
      <c r="N281" s="41"/>
    </row>
    <row r="282" spans="1:14" x14ac:dyDescent="0.2">
      <c r="A282" s="39"/>
      <c r="C282" s="40">
        <f t="shared" si="4"/>
        <v>43676</v>
      </c>
      <c r="N282" s="41"/>
    </row>
    <row r="283" spans="1:14" x14ac:dyDescent="0.2">
      <c r="A283" s="39"/>
      <c r="C283" s="40">
        <f t="shared" si="4"/>
        <v>43677</v>
      </c>
      <c r="N283" s="41"/>
    </row>
    <row r="284" spans="1:14" x14ac:dyDescent="0.2">
      <c r="A284" s="39"/>
      <c r="C284" s="40">
        <f t="shared" si="4"/>
        <v>43678</v>
      </c>
      <c r="N284" s="41"/>
    </row>
    <row r="285" spans="1:14" x14ac:dyDescent="0.2">
      <c r="A285" s="39"/>
      <c r="C285" s="40">
        <f t="shared" si="4"/>
        <v>43679</v>
      </c>
      <c r="N285" s="41"/>
    </row>
    <row r="286" spans="1:14" x14ac:dyDescent="0.2">
      <c r="A286" s="39"/>
      <c r="C286" s="40">
        <f t="shared" si="4"/>
        <v>43680</v>
      </c>
      <c r="N286" s="41"/>
    </row>
    <row r="287" spans="1:14" x14ac:dyDescent="0.2">
      <c r="A287" s="39"/>
      <c r="C287" s="40">
        <f t="shared" si="4"/>
        <v>43681</v>
      </c>
      <c r="N287" s="41"/>
    </row>
    <row r="288" spans="1:14" x14ac:dyDescent="0.2">
      <c r="A288" s="39"/>
      <c r="C288" s="40">
        <f t="shared" si="4"/>
        <v>43682</v>
      </c>
      <c r="N288" s="41"/>
    </row>
    <row r="289" spans="1:14" x14ac:dyDescent="0.2">
      <c r="A289" s="39"/>
      <c r="C289" s="40">
        <f t="shared" si="4"/>
        <v>43683</v>
      </c>
      <c r="N289" s="41"/>
    </row>
    <row r="290" spans="1:14" x14ac:dyDescent="0.2">
      <c r="A290" s="39"/>
      <c r="C290" s="40">
        <f t="shared" si="4"/>
        <v>43684</v>
      </c>
      <c r="N290" s="41"/>
    </row>
    <row r="291" spans="1:14" x14ac:dyDescent="0.2">
      <c r="A291" s="39"/>
      <c r="C291" s="40">
        <f t="shared" si="4"/>
        <v>43685</v>
      </c>
      <c r="N291" s="41"/>
    </row>
    <row r="292" spans="1:14" x14ac:dyDescent="0.2">
      <c r="A292" s="39"/>
      <c r="C292" s="40">
        <f t="shared" si="4"/>
        <v>43686</v>
      </c>
      <c r="N292" s="41"/>
    </row>
    <row r="293" spans="1:14" x14ac:dyDescent="0.2">
      <c r="A293" s="39"/>
      <c r="C293" s="40">
        <f t="shared" si="4"/>
        <v>43687</v>
      </c>
      <c r="N293" s="41"/>
    </row>
    <row r="294" spans="1:14" x14ac:dyDescent="0.2">
      <c r="A294" s="39"/>
      <c r="C294" s="40">
        <f t="shared" si="4"/>
        <v>43688</v>
      </c>
      <c r="N294" s="41"/>
    </row>
    <row r="295" spans="1:14" x14ac:dyDescent="0.2">
      <c r="A295" s="39"/>
      <c r="C295" s="40">
        <f t="shared" si="4"/>
        <v>43689</v>
      </c>
      <c r="N295" s="41"/>
    </row>
    <row r="296" spans="1:14" x14ac:dyDescent="0.2">
      <c r="A296" s="39"/>
      <c r="C296" s="40">
        <f t="shared" si="4"/>
        <v>43690</v>
      </c>
      <c r="N296" s="41"/>
    </row>
    <row r="297" spans="1:14" x14ac:dyDescent="0.2">
      <c r="A297" s="39"/>
      <c r="C297" s="40">
        <f t="shared" si="4"/>
        <v>43691</v>
      </c>
      <c r="N297" s="41"/>
    </row>
    <row r="298" spans="1:14" x14ac:dyDescent="0.2">
      <c r="A298" s="39"/>
      <c r="C298" s="40">
        <f t="shared" si="4"/>
        <v>43692</v>
      </c>
      <c r="N298" s="41"/>
    </row>
    <row r="299" spans="1:14" x14ac:dyDescent="0.2">
      <c r="A299" s="39"/>
      <c r="C299" s="40">
        <f t="shared" si="4"/>
        <v>43693</v>
      </c>
      <c r="J299" s="162"/>
      <c r="K299" s="162"/>
      <c r="N299" s="41"/>
    </row>
    <row r="300" spans="1:14" x14ac:dyDescent="0.2">
      <c r="A300" s="39"/>
      <c r="C300" s="40">
        <f t="shared" si="4"/>
        <v>43694</v>
      </c>
      <c r="N300" s="41"/>
    </row>
    <row r="301" spans="1:14" x14ac:dyDescent="0.2">
      <c r="A301" s="39"/>
      <c r="C301" s="40">
        <f t="shared" si="4"/>
        <v>43695</v>
      </c>
      <c r="N301" s="41"/>
    </row>
    <row r="302" spans="1:14" x14ac:dyDescent="0.2">
      <c r="A302" s="39"/>
      <c r="C302" s="40">
        <f t="shared" si="4"/>
        <v>43696</v>
      </c>
      <c r="N302" s="41"/>
    </row>
    <row r="303" spans="1:14" x14ac:dyDescent="0.2">
      <c r="A303" s="39"/>
      <c r="C303" s="40">
        <f t="shared" si="4"/>
        <v>43697</v>
      </c>
      <c r="N303" s="41"/>
    </row>
    <row r="304" spans="1:14" x14ac:dyDescent="0.2">
      <c r="A304" s="39"/>
      <c r="C304" s="40">
        <f t="shared" si="4"/>
        <v>43698</v>
      </c>
      <c r="N304" s="41"/>
    </row>
    <row r="305" spans="1:14" x14ac:dyDescent="0.2">
      <c r="A305" s="39"/>
      <c r="C305" s="40">
        <f t="shared" si="4"/>
        <v>43699</v>
      </c>
      <c r="N305" s="41"/>
    </row>
    <row r="306" spans="1:14" x14ac:dyDescent="0.2">
      <c r="A306" s="39"/>
      <c r="C306" s="40">
        <f t="shared" si="4"/>
        <v>43700</v>
      </c>
      <c r="N306" s="41"/>
    </row>
    <row r="307" spans="1:14" x14ac:dyDescent="0.2">
      <c r="A307" s="39"/>
      <c r="C307" s="40">
        <f t="shared" si="4"/>
        <v>43701</v>
      </c>
      <c r="N307" s="41"/>
    </row>
    <row r="308" spans="1:14" x14ac:dyDescent="0.2">
      <c r="A308" s="39"/>
      <c r="C308" s="40">
        <f t="shared" si="4"/>
        <v>43702</v>
      </c>
      <c r="N308" s="41"/>
    </row>
    <row r="309" spans="1:14" x14ac:dyDescent="0.2">
      <c r="A309" s="39"/>
      <c r="C309" s="40">
        <f t="shared" si="4"/>
        <v>43703</v>
      </c>
      <c r="N309" s="41"/>
    </row>
    <row r="310" spans="1:14" x14ac:dyDescent="0.2">
      <c r="A310" s="39"/>
      <c r="C310" s="40">
        <f t="shared" si="4"/>
        <v>43704</v>
      </c>
      <c r="N310" s="41"/>
    </row>
    <row r="311" spans="1:14" x14ac:dyDescent="0.2">
      <c r="A311" s="39"/>
      <c r="C311" s="40">
        <f t="shared" si="4"/>
        <v>43705</v>
      </c>
      <c r="N311" s="41"/>
    </row>
    <row r="312" spans="1:14" x14ac:dyDescent="0.2">
      <c r="A312" s="39"/>
      <c r="C312" s="40">
        <f t="shared" si="4"/>
        <v>43706</v>
      </c>
      <c r="N312" s="41"/>
    </row>
    <row r="313" spans="1:14" x14ac:dyDescent="0.2">
      <c r="A313" s="39"/>
      <c r="C313" s="40">
        <f t="shared" si="4"/>
        <v>43707</v>
      </c>
      <c r="N313" s="41"/>
    </row>
    <row r="314" spans="1:14" x14ac:dyDescent="0.2">
      <c r="A314" s="39"/>
      <c r="C314" s="40">
        <f t="shared" si="4"/>
        <v>43708</v>
      </c>
      <c r="N314" s="41"/>
    </row>
    <row r="315" spans="1:14" x14ac:dyDescent="0.2">
      <c r="A315" s="39"/>
      <c r="C315" s="40">
        <f t="shared" si="4"/>
        <v>43709</v>
      </c>
      <c r="N315" s="41"/>
    </row>
    <row r="316" spans="1:14" x14ac:dyDescent="0.2">
      <c r="A316" s="39"/>
      <c r="C316" s="40">
        <f t="shared" si="4"/>
        <v>43710</v>
      </c>
      <c r="N316" s="41"/>
    </row>
    <row r="317" spans="1:14" x14ac:dyDescent="0.2">
      <c r="A317" s="39"/>
      <c r="C317" s="40">
        <f t="shared" si="4"/>
        <v>43711</v>
      </c>
      <c r="N317" s="41"/>
    </row>
    <row r="318" spans="1:14" x14ac:dyDescent="0.2">
      <c r="A318" s="39"/>
      <c r="C318" s="40">
        <f t="shared" si="4"/>
        <v>43712</v>
      </c>
      <c r="N318" s="41"/>
    </row>
    <row r="319" spans="1:14" x14ac:dyDescent="0.2">
      <c r="A319" s="39"/>
      <c r="C319" s="40">
        <f t="shared" si="4"/>
        <v>43713</v>
      </c>
      <c r="N319" s="41"/>
    </row>
    <row r="320" spans="1:14" x14ac:dyDescent="0.2">
      <c r="A320" s="39"/>
      <c r="C320" s="40">
        <f t="shared" si="4"/>
        <v>43714</v>
      </c>
      <c r="N320" s="41"/>
    </row>
    <row r="321" spans="1:14" x14ac:dyDescent="0.2">
      <c r="A321" s="39"/>
      <c r="C321" s="40">
        <f t="shared" si="4"/>
        <v>43715</v>
      </c>
      <c r="N321" s="41"/>
    </row>
    <row r="322" spans="1:14" x14ac:dyDescent="0.2">
      <c r="A322" s="39"/>
      <c r="C322" s="40">
        <f t="shared" si="4"/>
        <v>43716</v>
      </c>
      <c r="N322" s="41"/>
    </row>
    <row r="323" spans="1:14" x14ac:dyDescent="0.2">
      <c r="A323" s="39"/>
      <c r="C323" s="40">
        <f t="shared" si="4"/>
        <v>43717</v>
      </c>
      <c r="N323" s="41"/>
    </row>
    <row r="324" spans="1:14" x14ac:dyDescent="0.2">
      <c r="A324" s="39"/>
      <c r="C324" s="40">
        <f t="shared" si="4"/>
        <v>43718</v>
      </c>
      <c r="N324" s="41"/>
    </row>
    <row r="325" spans="1:14" x14ac:dyDescent="0.2">
      <c r="A325" s="39"/>
      <c r="C325" s="40">
        <f t="shared" si="4"/>
        <v>43719</v>
      </c>
      <c r="N325" s="41"/>
    </row>
    <row r="326" spans="1:14" x14ac:dyDescent="0.2">
      <c r="A326" s="39"/>
      <c r="C326" s="40">
        <f t="shared" si="4"/>
        <v>43720</v>
      </c>
      <c r="N326" s="41"/>
    </row>
    <row r="327" spans="1:14" x14ac:dyDescent="0.2">
      <c r="A327" s="39"/>
      <c r="C327" s="40">
        <f t="shared" si="4"/>
        <v>43721</v>
      </c>
      <c r="N327" s="41"/>
    </row>
    <row r="328" spans="1:14" x14ac:dyDescent="0.2">
      <c r="A328" s="39"/>
      <c r="C328" s="40">
        <f t="shared" ref="C328:C370" si="5">C327+1</f>
        <v>43722</v>
      </c>
      <c r="N328" s="41"/>
    </row>
    <row r="329" spans="1:14" x14ac:dyDescent="0.2">
      <c r="A329" s="39"/>
      <c r="C329" s="40">
        <f t="shared" si="5"/>
        <v>43723</v>
      </c>
      <c r="N329" s="41"/>
    </row>
    <row r="330" spans="1:14" x14ac:dyDescent="0.2">
      <c r="A330" s="39"/>
      <c r="C330" s="40">
        <f t="shared" si="5"/>
        <v>43724</v>
      </c>
      <c r="N330" s="41"/>
    </row>
    <row r="331" spans="1:14" x14ac:dyDescent="0.2">
      <c r="A331" s="39"/>
      <c r="C331" s="40">
        <f t="shared" si="5"/>
        <v>43725</v>
      </c>
      <c r="N331" s="41"/>
    </row>
    <row r="332" spans="1:14" x14ac:dyDescent="0.2">
      <c r="A332" s="39"/>
      <c r="C332" s="40">
        <f t="shared" si="5"/>
        <v>43726</v>
      </c>
      <c r="N332" s="41"/>
    </row>
    <row r="333" spans="1:14" x14ac:dyDescent="0.2">
      <c r="A333" s="39"/>
      <c r="C333" s="40">
        <f t="shared" si="5"/>
        <v>43727</v>
      </c>
      <c r="N333" s="41"/>
    </row>
    <row r="334" spans="1:14" x14ac:dyDescent="0.2">
      <c r="A334" s="39"/>
      <c r="C334" s="40">
        <f t="shared" si="5"/>
        <v>43728</v>
      </c>
      <c r="J334" s="162"/>
      <c r="N334" s="41"/>
    </row>
    <row r="335" spans="1:14" x14ac:dyDescent="0.2">
      <c r="A335" s="39"/>
      <c r="C335" s="40">
        <f t="shared" si="5"/>
        <v>43729</v>
      </c>
      <c r="J335" s="162"/>
      <c r="N335" s="41"/>
    </row>
    <row r="336" spans="1:14" x14ac:dyDescent="0.2">
      <c r="A336" s="39"/>
      <c r="C336" s="40">
        <f t="shared" si="5"/>
        <v>43730</v>
      </c>
      <c r="N336" s="41"/>
    </row>
    <row r="337" spans="1:14" x14ac:dyDescent="0.2">
      <c r="A337" s="39"/>
      <c r="C337" s="40">
        <f t="shared" si="5"/>
        <v>43731</v>
      </c>
      <c r="N337" s="41"/>
    </row>
    <row r="338" spans="1:14" x14ac:dyDescent="0.2">
      <c r="A338" s="39"/>
      <c r="C338" s="40">
        <f t="shared" si="5"/>
        <v>43732</v>
      </c>
      <c r="N338" s="41"/>
    </row>
    <row r="339" spans="1:14" x14ac:dyDescent="0.2">
      <c r="A339" s="39"/>
      <c r="C339" s="40">
        <f t="shared" si="5"/>
        <v>43733</v>
      </c>
      <c r="N339" s="41"/>
    </row>
    <row r="340" spans="1:14" x14ac:dyDescent="0.2">
      <c r="A340" s="39"/>
      <c r="C340" s="40">
        <f t="shared" si="5"/>
        <v>43734</v>
      </c>
      <c r="N340" s="41"/>
    </row>
    <row r="341" spans="1:14" x14ac:dyDescent="0.2">
      <c r="A341" s="39"/>
      <c r="C341" s="40">
        <f t="shared" si="5"/>
        <v>43735</v>
      </c>
      <c r="N341" s="41"/>
    </row>
    <row r="342" spans="1:14" x14ac:dyDescent="0.2">
      <c r="A342" s="39"/>
      <c r="C342" s="40">
        <f t="shared" si="5"/>
        <v>43736</v>
      </c>
      <c r="N342" s="41"/>
    </row>
    <row r="343" spans="1:14" x14ac:dyDescent="0.2">
      <c r="A343" s="39"/>
      <c r="C343" s="40">
        <f t="shared" si="5"/>
        <v>43737</v>
      </c>
      <c r="N343" s="41"/>
    </row>
    <row r="344" spans="1:14" x14ac:dyDescent="0.2">
      <c r="A344" s="39"/>
      <c r="C344" s="40">
        <f t="shared" si="5"/>
        <v>43738</v>
      </c>
      <c r="N344" s="41"/>
    </row>
    <row r="345" spans="1:14" x14ac:dyDescent="0.2">
      <c r="A345" s="39"/>
      <c r="C345" s="40">
        <f t="shared" si="5"/>
        <v>43739</v>
      </c>
      <c r="N345" s="41"/>
    </row>
    <row r="346" spans="1:14" x14ac:dyDescent="0.2">
      <c r="A346" s="39"/>
      <c r="C346" s="40">
        <f t="shared" si="5"/>
        <v>43740</v>
      </c>
      <c r="N346" s="41"/>
    </row>
    <row r="347" spans="1:14" x14ac:dyDescent="0.2">
      <c r="A347" s="39"/>
      <c r="C347" s="40">
        <f t="shared" si="5"/>
        <v>43741</v>
      </c>
      <c r="N347" s="41"/>
    </row>
    <row r="348" spans="1:14" x14ac:dyDescent="0.2">
      <c r="A348" s="39"/>
      <c r="C348" s="40">
        <f t="shared" si="5"/>
        <v>43742</v>
      </c>
      <c r="N348" s="41"/>
    </row>
    <row r="349" spans="1:14" x14ac:dyDescent="0.2">
      <c r="A349" s="39"/>
      <c r="C349" s="40">
        <f t="shared" si="5"/>
        <v>43743</v>
      </c>
      <c r="N349" s="41"/>
    </row>
    <row r="350" spans="1:14" x14ac:dyDescent="0.2">
      <c r="A350" s="39"/>
      <c r="C350" s="40">
        <f t="shared" si="5"/>
        <v>43744</v>
      </c>
      <c r="N350" s="41"/>
    </row>
    <row r="351" spans="1:14" x14ac:dyDescent="0.2">
      <c r="A351" s="39"/>
      <c r="C351" s="40">
        <f t="shared" si="5"/>
        <v>43745</v>
      </c>
      <c r="N351" s="41"/>
    </row>
    <row r="352" spans="1:14" x14ac:dyDescent="0.2">
      <c r="A352" s="39"/>
      <c r="C352" s="40">
        <f t="shared" si="5"/>
        <v>43746</v>
      </c>
      <c r="N352" s="41"/>
    </row>
    <row r="353" spans="1:14" x14ac:dyDescent="0.2">
      <c r="A353" s="39"/>
      <c r="C353" s="40">
        <f t="shared" si="5"/>
        <v>43747</v>
      </c>
      <c r="N353" s="41"/>
    </row>
    <row r="354" spans="1:14" x14ac:dyDescent="0.2">
      <c r="A354" s="39"/>
      <c r="C354" s="40">
        <f t="shared" si="5"/>
        <v>43748</v>
      </c>
      <c r="N354" s="41"/>
    </row>
    <row r="355" spans="1:14" x14ac:dyDescent="0.2">
      <c r="A355" s="39"/>
      <c r="C355" s="40">
        <f t="shared" si="5"/>
        <v>43749</v>
      </c>
      <c r="N355" s="41"/>
    </row>
    <row r="356" spans="1:14" x14ac:dyDescent="0.2">
      <c r="A356" s="39"/>
      <c r="C356" s="40">
        <f t="shared" si="5"/>
        <v>43750</v>
      </c>
      <c r="N356" s="41"/>
    </row>
    <row r="357" spans="1:14" x14ac:dyDescent="0.2">
      <c r="A357" s="39"/>
      <c r="C357" s="40">
        <f t="shared" si="5"/>
        <v>43751</v>
      </c>
      <c r="N357" s="41"/>
    </row>
    <row r="358" spans="1:14" x14ac:dyDescent="0.2">
      <c r="A358" s="39"/>
      <c r="C358" s="40">
        <f t="shared" si="5"/>
        <v>43752</v>
      </c>
      <c r="N358" s="41"/>
    </row>
    <row r="359" spans="1:14" x14ac:dyDescent="0.2">
      <c r="A359" s="39"/>
      <c r="C359" s="40">
        <f t="shared" si="5"/>
        <v>43753</v>
      </c>
      <c r="N359" s="41"/>
    </row>
    <row r="360" spans="1:14" x14ac:dyDescent="0.2">
      <c r="A360" s="39"/>
      <c r="C360" s="40">
        <f t="shared" si="5"/>
        <v>43754</v>
      </c>
      <c r="N360" s="41"/>
    </row>
    <row r="361" spans="1:14" x14ac:dyDescent="0.2">
      <c r="A361" s="39"/>
      <c r="C361" s="40">
        <f t="shared" si="5"/>
        <v>43755</v>
      </c>
      <c r="N361" s="41"/>
    </row>
    <row r="362" spans="1:14" x14ac:dyDescent="0.2">
      <c r="A362" s="39"/>
      <c r="C362" s="40">
        <f t="shared" si="5"/>
        <v>43756</v>
      </c>
      <c r="N362" s="41"/>
    </row>
    <row r="363" spans="1:14" x14ac:dyDescent="0.2">
      <c r="A363" s="39"/>
      <c r="C363" s="40">
        <f t="shared" si="5"/>
        <v>43757</v>
      </c>
      <c r="N363" s="41"/>
    </row>
    <row r="364" spans="1:14" x14ac:dyDescent="0.2">
      <c r="A364" s="39"/>
      <c r="C364" s="40">
        <f t="shared" si="5"/>
        <v>43758</v>
      </c>
      <c r="N364" s="41"/>
    </row>
    <row r="365" spans="1:14" x14ac:dyDescent="0.2">
      <c r="A365" s="39"/>
      <c r="C365" s="40">
        <f t="shared" si="5"/>
        <v>43759</v>
      </c>
      <c r="N365" s="41"/>
    </row>
    <row r="366" spans="1:14" x14ac:dyDescent="0.2">
      <c r="A366" s="39"/>
      <c r="C366" s="40">
        <f t="shared" si="5"/>
        <v>43760</v>
      </c>
      <c r="N366" s="41"/>
    </row>
    <row r="367" spans="1:14" x14ac:dyDescent="0.2">
      <c r="A367" s="39"/>
      <c r="C367" s="40">
        <f t="shared" si="5"/>
        <v>43761</v>
      </c>
      <c r="N367" s="41"/>
    </row>
    <row r="368" spans="1:14" x14ac:dyDescent="0.2">
      <c r="A368" s="39"/>
      <c r="C368" s="40">
        <f t="shared" si="5"/>
        <v>43762</v>
      </c>
      <c r="N368" s="41"/>
    </row>
    <row r="369" spans="1:14" x14ac:dyDescent="0.2">
      <c r="A369" s="39"/>
      <c r="C369" s="40">
        <f t="shared" si="5"/>
        <v>43763</v>
      </c>
      <c r="N369" s="41"/>
    </row>
    <row r="370" spans="1:14" x14ac:dyDescent="0.2">
      <c r="A370" s="39"/>
      <c r="C370" s="40">
        <f t="shared" si="5"/>
        <v>43764</v>
      </c>
      <c r="N370" s="41"/>
    </row>
    <row r="371" spans="1:14" x14ac:dyDescent="0.2">
      <c r="C371" s="40">
        <f>C370</f>
        <v>43764</v>
      </c>
    </row>
  </sheetData>
  <autoFilter ref="A5:M370"/>
  <phoneticPr fontId="8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 enableFormatConditionsCalculation="0">
    <pageSetUpPr fitToPage="1"/>
  </sheetPr>
  <dimension ref="A1:CS47"/>
  <sheetViews>
    <sheetView tabSelected="1" topLeftCell="A2" zoomScale="115" zoomScaleNormal="115" zoomScalePageLayoutView="115" workbookViewId="0">
      <selection activeCell="CU16" sqref="CU16"/>
    </sheetView>
  </sheetViews>
  <sheetFormatPr baseColWidth="10" defaultColWidth="11.5" defaultRowHeight="14" x14ac:dyDescent="0.2"/>
  <cols>
    <col min="1" max="1" width="4.83203125" style="1" bestFit="1" customWidth="1"/>
    <col min="2" max="2" width="3" style="1" bestFit="1" customWidth="1"/>
    <col min="3" max="3" width="9.83203125" style="75" customWidth="1"/>
    <col min="4" max="4" width="0.1640625" style="117" customWidth="1"/>
    <col min="5" max="5" width="0.1640625" style="118" customWidth="1"/>
    <col min="6" max="6" width="0.1640625" style="117" customWidth="1"/>
    <col min="7" max="7" width="0.1640625" style="118" customWidth="1"/>
    <col min="8" max="8" width="0.1640625" style="117" customWidth="1"/>
    <col min="9" max="9" width="0.1640625" style="118" customWidth="1"/>
    <col min="10" max="10" width="3" style="1" bestFit="1" customWidth="1"/>
    <col min="11" max="11" width="9.83203125" style="75" customWidth="1"/>
    <col min="12" max="12" width="0.1640625" style="117" customWidth="1"/>
    <col min="13" max="13" width="0.1640625" style="118" customWidth="1"/>
    <col min="14" max="14" width="0.1640625" style="117" customWidth="1"/>
    <col min="15" max="15" width="0.1640625" style="118" customWidth="1"/>
    <col min="16" max="16" width="0.1640625" style="117" customWidth="1"/>
    <col min="17" max="17" width="0.1640625" style="118" customWidth="1"/>
    <col min="18" max="18" width="3" style="1" bestFit="1" customWidth="1"/>
    <col min="19" max="19" width="9.83203125" style="75" customWidth="1"/>
    <col min="20" max="20" width="0.1640625" style="117" customWidth="1"/>
    <col min="21" max="21" width="0.1640625" style="118" customWidth="1"/>
    <col min="22" max="22" width="0.1640625" style="117" customWidth="1"/>
    <col min="23" max="23" width="0.1640625" style="118" customWidth="1"/>
    <col min="24" max="24" width="0.1640625" style="117" customWidth="1"/>
    <col min="25" max="25" width="0.1640625" style="118" customWidth="1"/>
    <col min="26" max="26" width="3" style="1" bestFit="1" customWidth="1"/>
    <col min="27" max="27" width="9.83203125" style="75" customWidth="1"/>
    <col min="28" max="28" width="0.1640625" style="117" customWidth="1"/>
    <col min="29" max="29" width="0.1640625" style="118" customWidth="1"/>
    <col min="30" max="30" width="0.1640625" style="117" customWidth="1"/>
    <col min="31" max="31" width="0.1640625" style="118" customWidth="1"/>
    <col min="32" max="32" width="0.1640625" style="117" customWidth="1"/>
    <col min="33" max="33" width="0.1640625" style="118" customWidth="1"/>
    <col min="34" max="34" width="3" style="1" bestFit="1" customWidth="1"/>
    <col min="35" max="35" width="9.83203125" style="75" customWidth="1"/>
    <col min="36" max="36" width="0.1640625" style="117" customWidth="1"/>
    <col min="37" max="37" width="0.1640625" style="118" customWidth="1"/>
    <col min="38" max="38" width="0.1640625" style="117" customWidth="1"/>
    <col min="39" max="39" width="0.1640625" style="118" customWidth="1"/>
    <col min="40" max="40" width="0.1640625" style="117" customWidth="1"/>
    <col min="41" max="41" width="0.1640625" style="118" customWidth="1"/>
    <col min="42" max="42" width="3" style="1" bestFit="1" customWidth="1"/>
    <col min="43" max="43" width="9.83203125" style="75" customWidth="1"/>
    <col min="44" max="44" width="0.1640625" style="117" customWidth="1"/>
    <col min="45" max="45" width="0.1640625" style="118" customWidth="1"/>
    <col min="46" max="46" width="0.1640625" style="117" customWidth="1"/>
    <col min="47" max="47" width="0.1640625" style="118" customWidth="1"/>
    <col min="48" max="48" width="0.1640625" style="117" customWidth="1"/>
    <col min="49" max="49" width="0.1640625" style="118" customWidth="1"/>
    <col min="50" max="50" width="3" style="1" bestFit="1" customWidth="1"/>
    <col min="51" max="51" width="9.83203125" style="75" customWidth="1"/>
    <col min="52" max="52" width="0.1640625" style="117" customWidth="1"/>
    <col min="53" max="53" width="0.1640625" style="118" customWidth="1"/>
    <col min="54" max="54" width="0.1640625" style="117" customWidth="1"/>
    <col min="55" max="55" width="0.1640625" style="118" customWidth="1"/>
    <col min="56" max="56" width="0.1640625" style="117" customWidth="1"/>
    <col min="57" max="57" width="0.1640625" style="118" customWidth="1"/>
    <col min="58" max="58" width="3.1640625" style="3" bestFit="1" customWidth="1"/>
    <col min="59" max="59" width="9.83203125" style="80" customWidth="1"/>
    <col min="60" max="60" width="0.1640625" style="117" customWidth="1"/>
    <col min="61" max="61" width="0.1640625" style="118" customWidth="1"/>
    <col min="62" max="62" width="0.1640625" style="117" customWidth="1"/>
    <col min="63" max="63" width="0.1640625" style="118" customWidth="1"/>
    <col min="64" max="64" width="0.1640625" style="117" customWidth="1"/>
    <col min="65" max="65" width="0.1640625" style="118" customWidth="1"/>
    <col min="66" max="66" width="3" style="1" bestFit="1" customWidth="1"/>
    <col min="67" max="67" width="9.83203125" style="75" customWidth="1"/>
    <col min="68" max="68" width="0.1640625" style="117" customWidth="1"/>
    <col min="69" max="69" width="0.1640625" style="118" customWidth="1"/>
    <col min="70" max="70" width="0.1640625" style="117" customWidth="1"/>
    <col min="71" max="71" width="0.1640625" style="118" customWidth="1"/>
    <col min="72" max="72" width="0.1640625" style="117" customWidth="1"/>
    <col min="73" max="73" width="0.1640625" style="118" customWidth="1"/>
    <col min="74" max="74" width="3.1640625" style="1" bestFit="1" customWidth="1"/>
    <col min="75" max="75" width="9.83203125" style="75" customWidth="1"/>
    <col min="76" max="76" width="0.1640625" style="117" customWidth="1"/>
    <col min="77" max="77" width="0.1640625" style="118" customWidth="1"/>
    <col min="78" max="78" width="0.1640625" style="117" customWidth="1"/>
    <col min="79" max="79" width="0.1640625" style="118" customWidth="1"/>
    <col min="80" max="80" width="0.1640625" style="117" customWidth="1"/>
    <col min="81" max="81" width="0.1640625" style="118" customWidth="1"/>
    <col min="82" max="82" width="3" style="1" bestFit="1" customWidth="1"/>
    <col min="83" max="83" width="9.83203125" style="75" customWidth="1"/>
    <col min="84" max="84" width="0.1640625" style="117" customWidth="1"/>
    <col min="85" max="85" width="0.1640625" style="118" customWidth="1"/>
    <col min="86" max="86" width="0.1640625" style="117" customWidth="1"/>
    <col min="87" max="87" width="0.1640625" style="118" customWidth="1"/>
    <col min="88" max="88" width="0.1640625" style="117" customWidth="1"/>
    <col min="89" max="89" width="0.1640625" style="118" customWidth="1"/>
    <col min="90" max="90" width="3" style="1" bestFit="1" customWidth="1"/>
    <col min="91" max="91" width="9.83203125" style="75" customWidth="1"/>
    <col min="92" max="92" width="0.1640625" style="117" customWidth="1"/>
    <col min="93" max="93" width="0.1640625" style="118" customWidth="1"/>
    <col min="94" max="94" width="0.1640625" style="117" customWidth="1"/>
    <col min="95" max="95" width="0.1640625" style="118" customWidth="1"/>
    <col min="96" max="96" width="0.1640625" style="117" customWidth="1"/>
    <col min="97" max="97" width="0.1640625" style="118" customWidth="1"/>
    <col min="98" max="16384" width="11.5" style="1"/>
  </cols>
  <sheetData>
    <row r="1" spans="1:97" hidden="1" x14ac:dyDescent="0.2">
      <c r="A1" s="1">
        <v>5</v>
      </c>
      <c r="C1" s="75">
        <v>0</v>
      </c>
      <c r="K1" s="75">
        <v>31</v>
      </c>
      <c r="S1" s="75">
        <v>59</v>
      </c>
      <c r="AA1" s="75">
        <v>90</v>
      </c>
      <c r="AI1" s="75">
        <v>120</v>
      </c>
      <c r="AQ1" s="75">
        <v>151</v>
      </c>
      <c r="AY1" s="75">
        <v>181</v>
      </c>
      <c r="BG1" s="80">
        <v>212</v>
      </c>
      <c r="BO1" s="75">
        <v>243</v>
      </c>
      <c r="BW1" s="75">
        <v>273</v>
      </c>
      <c r="CE1" s="75">
        <v>304</v>
      </c>
      <c r="CM1" s="75">
        <v>334</v>
      </c>
    </row>
    <row r="2" spans="1:97" ht="15" customHeight="1" x14ac:dyDescent="0.2">
      <c r="A2" s="5"/>
      <c r="B2" s="180" t="s">
        <v>0</v>
      </c>
      <c r="C2" s="179"/>
      <c r="D2" s="119"/>
      <c r="E2" s="120"/>
      <c r="F2" s="119"/>
      <c r="G2" s="120"/>
      <c r="H2" s="119"/>
      <c r="I2" s="120"/>
      <c r="J2" s="178" t="s">
        <v>9</v>
      </c>
      <c r="K2" s="179"/>
      <c r="L2" s="132"/>
      <c r="M2" s="133"/>
      <c r="N2" s="132"/>
      <c r="O2" s="133"/>
      <c r="P2" s="132"/>
      <c r="Q2" s="133"/>
      <c r="R2" s="181" t="s">
        <v>10</v>
      </c>
      <c r="S2" s="182"/>
      <c r="T2" s="132"/>
      <c r="U2" s="133"/>
      <c r="V2" s="132"/>
      <c r="W2" s="133"/>
      <c r="X2" s="132"/>
      <c r="Y2" s="133"/>
      <c r="Z2" s="181" t="s">
        <v>11</v>
      </c>
      <c r="AA2" s="182"/>
      <c r="AB2" s="132"/>
      <c r="AC2" s="133"/>
      <c r="AD2" s="132"/>
      <c r="AE2" s="133"/>
      <c r="AF2" s="132"/>
      <c r="AG2" s="133"/>
      <c r="AH2" s="178" t="s">
        <v>13</v>
      </c>
      <c r="AI2" s="179"/>
      <c r="AJ2" s="132"/>
      <c r="AK2" s="133"/>
      <c r="AL2" s="132"/>
      <c r="AM2" s="133"/>
      <c r="AN2" s="132"/>
      <c r="AO2" s="133"/>
      <c r="AP2" s="178" t="s">
        <v>15</v>
      </c>
      <c r="AQ2" s="179"/>
      <c r="AR2" s="132"/>
      <c r="AS2" s="133"/>
      <c r="AT2" s="132"/>
      <c r="AU2" s="133"/>
      <c r="AV2" s="132"/>
      <c r="AW2" s="133"/>
      <c r="AX2" s="181" t="s">
        <v>17</v>
      </c>
      <c r="AY2" s="182"/>
      <c r="AZ2" s="132"/>
      <c r="BA2" s="133"/>
      <c r="BB2" s="132"/>
      <c r="BC2" s="133"/>
      <c r="BD2" s="132"/>
      <c r="BE2" s="133"/>
      <c r="BF2" s="181" t="s">
        <v>18</v>
      </c>
      <c r="BG2" s="182"/>
      <c r="BH2" s="132"/>
      <c r="BI2" s="133"/>
      <c r="BJ2" s="132"/>
      <c r="BK2" s="133"/>
      <c r="BL2" s="132"/>
      <c r="BM2" s="133"/>
      <c r="BN2" s="178" t="s">
        <v>19</v>
      </c>
      <c r="BO2" s="179"/>
      <c r="BP2" s="132"/>
      <c r="BQ2" s="133"/>
      <c r="BR2" s="132"/>
      <c r="BS2" s="133"/>
      <c r="BT2" s="132"/>
      <c r="BU2" s="133"/>
      <c r="BV2" s="178" t="s">
        <v>20</v>
      </c>
      <c r="BW2" s="179"/>
      <c r="BX2" s="132"/>
      <c r="BY2" s="133"/>
      <c r="BZ2" s="132"/>
      <c r="CA2" s="133"/>
      <c r="CB2" s="132"/>
      <c r="CC2" s="133"/>
      <c r="CD2" s="178" t="s">
        <v>21</v>
      </c>
      <c r="CE2" s="179"/>
      <c r="CF2" s="132"/>
      <c r="CG2" s="133"/>
      <c r="CH2" s="132"/>
      <c r="CI2" s="133"/>
      <c r="CJ2" s="132"/>
      <c r="CK2" s="133"/>
      <c r="CL2" s="178" t="s">
        <v>22</v>
      </c>
      <c r="CM2" s="179"/>
      <c r="CN2" s="132"/>
      <c r="CO2" s="133"/>
      <c r="CP2" s="132"/>
      <c r="CQ2" s="133"/>
      <c r="CR2" s="132"/>
      <c r="CS2" s="138"/>
    </row>
    <row r="3" spans="1:97" s="2" customFormat="1" ht="14.5" customHeight="1" x14ac:dyDescent="0.2">
      <c r="A3" s="6" t="s">
        <v>25</v>
      </c>
      <c r="B3" s="8"/>
      <c r="C3" s="164" t="str">
        <f t="shared" ref="C3:C41" ca="1" si="0">IF(B3&gt;0,IF(INDIRECT("Basistabelle!G" &amp; $A$1+B3+C$1)&gt;"",INDIRECT("Basistabelle!G" &amp; $A$1+B3+C$1),IF(INDIRECT("Basistabelle!H" &amp; $A$1+B3+C$1)&gt;"",INDIRECT("Basistabelle!H" &amp; $A$1+B3+C$1),IF($A3="Mo","                    Wo " &amp; WEEKNUM(INDIRECT("Basistabelle!C" &amp; $A$1+B3+C$1)),""))),"")</f>
        <v/>
      </c>
      <c r="D3" s="121" t="str">
        <f t="shared" ref="D3" ca="1" si="1">IF(B3&gt;0,IF(INDIRECT("Basistabelle!D" &amp; $A$1+B3+C$1)&gt;"",INDIRECT("Basistabelle!D" &amp; $A$1+B3+C$1),""),"")</f>
        <v/>
      </c>
      <c r="E3" s="122"/>
      <c r="F3" s="123" t="str">
        <f t="shared" ref="F3" ca="1" si="2">IF(B3&gt;0,IF(INDIRECT("Basistabelle!E" &amp; $A$1+B3+C$1)&gt;"",INDIRECT("Basistabelle!E" &amp; $A$1+B3+C$1),""),"")</f>
        <v/>
      </c>
      <c r="G3" s="122"/>
      <c r="H3" s="123" t="str">
        <f t="shared" ref="H3" ca="1" si="3">IF(B3&gt;0,IF(INDIRECT("Basistabelle!F" &amp; $A$1+B3+C$1)&gt;"",INDIRECT("Basistabelle!F" &amp; $A$1+B3+C$1),""),"")</f>
        <v/>
      </c>
      <c r="I3" s="122"/>
      <c r="J3" s="17"/>
      <c r="K3" s="164" t="str">
        <f t="shared" ref="K3:K41" ca="1" si="4">IF(J3&gt;0,IF(INDIRECT("Basistabelle!G" &amp; $A$1+J3+K$1)&gt;"",INDIRECT("Basistabelle!G" &amp; $A$1+J3+K$1),IF(INDIRECT("Basistabelle!H" &amp; $A$1+J3+K$1)&gt;"",INDIRECT("Basistabelle!H" &amp; $A$1+J3+K$1),IF($A3="Mo","                    Wo " &amp; WEEKNUM(INDIRECT("Basistabelle!C" &amp; $A$1+J3+K$1)),""))),"")</f>
        <v/>
      </c>
      <c r="L3" s="157" t="str">
        <f t="shared" ref="L3:L5" ca="1" si="5">IF(J3&gt;0,IF(INDIRECT("Basistabelle!D" &amp; $A$1+J3+K$1)&gt;"",INDIRECT("Basistabelle!D" &amp; $A$1+J3+K$1),""),"")</f>
        <v/>
      </c>
      <c r="M3" s="124"/>
      <c r="N3" s="121" t="str">
        <f t="shared" ref="N3:N5" ca="1" si="6">IF(J3&gt;0,IF(INDIRECT("Basistabelle!E" &amp; $A$1+J3+K$1)&gt;"",INDIRECT("Basistabelle!E" &amp; $A$1+J3+K$1),""),"")</f>
        <v/>
      </c>
      <c r="O3" s="124"/>
      <c r="P3" s="121" t="str">
        <f t="shared" ref="P3:P5" ca="1" si="7">IF(J3&gt;0,IF(INDIRECT("Basistabelle!F" &amp; $A$1+J3+K$1)&gt;"",INDIRECT("Basistabelle!F" &amp; $A$1+J3+K$1),""),"")</f>
        <v/>
      </c>
      <c r="Q3" s="124"/>
      <c r="R3" s="17"/>
      <c r="S3" s="164" t="str">
        <f t="shared" ref="S3:S41" ca="1" si="8">IF(R3&gt;0,IF(INDIRECT("Basistabelle!G" &amp; $A$1+R3+S$1)&gt;"",INDIRECT("Basistabelle!G" &amp; $A$1+R3+S$1),IF(INDIRECT("Basistabelle!H" &amp; $A$1+R3+S$1)&gt;"",INDIRECT("Basistabelle!H" &amp; $A$1+R3+S$1),IF($A3="Mo","                    Wo " &amp; WEEKNUM(INDIRECT("Basistabelle!C" &amp; $A$1+R3+S$1)),""))),"")</f>
        <v/>
      </c>
      <c r="T3" s="157" t="str">
        <f t="shared" ref="T3" ca="1" si="9">IF(R3&gt;0,IF(INDIRECT("Basistabelle!D" &amp; $A$1+R3+S$1)&gt;"",INDIRECT("Basistabelle!D" &amp; $A$1+R3+S$1),""),"")</f>
        <v/>
      </c>
      <c r="U3" s="124"/>
      <c r="V3" s="121" t="str">
        <f t="shared" ref="V3" ca="1" si="10">IF(R3&gt;0,IF(INDIRECT("Basistabelle!E" &amp; $A$1+R3+S$1)&gt;"",INDIRECT("Basistabelle!E" &amp; $A$1+R3+S$1),""),"")</f>
        <v/>
      </c>
      <c r="W3" s="124"/>
      <c r="X3" s="121" t="str">
        <f t="shared" ref="X3" ca="1" si="11">IF(R3&gt;0,IF(INDIRECT("Basistabelle!F" &amp; $A$1+R3+S$1)&gt;"",INDIRECT("Basistabelle!F" &amp; $A$1+R3+S$1),""),"")</f>
        <v/>
      </c>
      <c r="Y3" s="124"/>
      <c r="Z3" s="17"/>
      <c r="AA3" s="164" t="str">
        <f t="shared" ref="AA3:AA41" ca="1" si="12">IF(Z3&gt;0,IF(INDIRECT("Basistabelle!G" &amp; $A$1+Z3+AA$1)&gt;"",INDIRECT("Basistabelle!G" &amp; $A$1+Z3+AA$1),IF(INDIRECT("Basistabelle!H" &amp; $A$1+Z3+AA$1)&gt;"",INDIRECT("Basistabelle!H" &amp; $A$1+Z3+AA$1),IF($A3="Mo","                    Wo " &amp; WEEKNUM(INDIRECT("Basistabelle!C" &amp; $A$1+Z3+AA$1)),""))),"")</f>
        <v/>
      </c>
      <c r="AB3" s="157" t="str">
        <f t="shared" ref="AB3:AB7" ca="1" si="13">IF(Z3&gt;0,IF(INDIRECT("Basistabelle!D" &amp; $A$1+Z3+AA$1)&gt;"",INDIRECT("Basistabelle!D" &amp; $A$1+Z3+AA$1),""),"")</f>
        <v/>
      </c>
      <c r="AC3" s="124"/>
      <c r="AD3" s="121" t="str">
        <f t="shared" ref="AD3:AD7" ca="1" si="14">IF(Z3&gt;0,IF(INDIRECT("Basistabelle!E" &amp; $A$1+Z3+AA$1)&gt;"",INDIRECT("Basistabelle!E" &amp; $A$1+Z3+AA$1),""),"")</f>
        <v/>
      </c>
      <c r="AE3" s="124"/>
      <c r="AF3" s="157" t="str">
        <f t="shared" ref="AF3:AF7" ca="1" si="15">IF(Z3&gt;0,IF(INDIRECT("Basistabelle!F" &amp; $A$1+Z3+AA$1)&gt;"",INDIRECT("Basistabelle!F" &amp; $A$1+Z3+AA$1),""),"")</f>
        <v/>
      </c>
      <c r="AG3" s="124"/>
      <c r="AH3" s="17"/>
      <c r="AI3" s="159"/>
      <c r="AJ3" s="157" t="str">
        <f t="shared" ref="AJ3:AJ9" ca="1" si="16">IF(AH3&gt;0,IF(INDIRECT("Basistabelle!D" &amp; $A$1+AH3+AI$1)&gt;"",INDIRECT("Basistabelle!D" &amp; $A$1+AH3+AI$1),""),"")</f>
        <v/>
      </c>
      <c r="AK3" s="124"/>
      <c r="AL3" s="121" t="str">
        <f t="shared" ref="AL3:AL10" ca="1" si="17">IF(AH3&gt;0,IF(INDIRECT("Basistabelle!E" &amp; $A$1+AH3+AI$1)&gt;"",INDIRECT("Basistabelle!E" &amp; $A$1+AH3+AI$1),""),"")</f>
        <v/>
      </c>
      <c r="AM3" s="124"/>
      <c r="AN3" s="157" t="str">
        <f t="shared" ref="AN3:AN10" ca="1" si="18">IF(AH3&gt;0,IF(INDIRECT("Basistabelle!F" &amp; $A$1+AH3+AI$1)&gt;"",INDIRECT("Basistabelle!F" &amp; $A$1+AH3+AI$1),""),"")</f>
        <v/>
      </c>
      <c r="AO3" s="124"/>
      <c r="AP3" s="17"/>
      <c r="AQ3" s="164" t="str">
        <f t="shared" ref="AQ3:AQ41" ca="1" si="19">IF(AP3&gt;0,IF(INDIRECT("Basistabelle!G" &amp; $A$1+AP3+AQ$1)&gt;"",INDIRECT("Basistabelle!G" &amp; $A$1+AP3+AQ$1),IF(INDIRECT("Basistabelle!H" &amp; $A$1+AP3+AQ$1)&gt;"",INDIRECT("Basistabelle!H" &amp; $A$1+AP3+AQ$1),IF($A3="Mo","                    Wo " &amp; WEEKNUM(INDIRECT("Basistabelle!C" &amp; $A$1+AP3+AQ$1)),""))),"")</f>
        <v/>
      </c>
      <c r="AR3" s="134" t="str">
        <f t="shared" ref="AR3" ca="1" si="20">IF(AP3&gt;0,IF(INDIRECT("Basistabelle!D" &amp; $A$1+AP3+AQ$1)&gt;"",INDIRECT("Basistabelle!D" &amp; $A$1+AP3+AQ$1),""),"")</f>
        <v/>
      </c>
      <c r="AS3" s="135"/>
      <c r="AT3" s="134" t="str">
        <f ca="1">IF(AP3&gt;0,IF(INDIRECT("Basistabelle!E" &amp; $A$1+AP3+AQ$1)&gt;"",INDIRECT("Basistabelle!E" &amp; $A$1+AP3+AQ$1),""),"")</f>
        <v/>
      </c>
      <c r="AU3" s="135"/>
      <c r="AV3" s="134" t="str">
        <f ca="1">IF(AP3&gt;0,IF(INDIRECT("Basistabelle!F" &amp; $A$1+AP3+AQ$1)&gt;"",INDIRECT("Basistabelle!F" &amp; $A$1+AP3+AQ$1),""),"")</f>
        <v/>
      </c>
      <c r="AW3" s="136"/>
      <c r="AX3" s="17"/>
      <c r="AY3" s="164" t="str">
        <f t="shared" ref="AY3:AY41" ca="1" si="21">IF(AX3&gt;0,IF(INDIRECT("Basistabelle!G" &amp; $A$1+AX3+AY$1)&gt;"",INDIRECT("Basistabelle!G" &amp; $A$1+AX3+AY$1),IF(INDIRECT("Basistabelle!H" &amp; $A$1+AX3+AY$1)&gt;"",INDIRECT("Basistabelle!H" &amp; $A$1+AX3+AY$1),IF($A3="Mo","                    Wo " &amp; WEEKNUM(INDIRECT("Basistabelle!C" &amp; $A$1+AX3+AY$1)),""))),"")</f>
        <v/>
      </c>
      <c r="AZ3" s="134" t="str">
        <f t="shared" ref="AZ3" ca="1" si="22">IF(AX3&gt;0,IF(INDIRECT("Basistabelle!D" &amp; $A$1+AX3+AY$1)&gt;"",INDIRECT("Basistabelle!D" &amp; $A$1+AX3+AY$1),""),"")</f>
        <v/>
      </c>
      <c r="BA3" s="135"/>
      <c r="BB3" s="134" t="str">
        <f ca="1">IF(AX3&gt;0,IF(INDIRECT("Basistabelle!E" &amp; $A$1+AX3+AY$1)&gt;"",INDIRECT("Basistabelle!E" &amp; $A$1+AX3+AY$1),""),"")</f>
        <v/>
      </c>
      <c r="BC3" s="135"/>
      <c r="BD3" s="134" t="str">
        <f ca="1">IF(AX3&gt;0,IF(INDIRECT("Basistabelle!F" &amp; $A$1+AX3+AY$1)&gt;"",INDIRECT("Basistabelle!F" &amp; $A$1+AX3+AY$1),""),"")</f>
        <v/>
      </c>
      <c r="BE3" s="136"/>
      <c r="BF3" s="20"/>
      <c r="BG3" s="164" t="str">
        <f t="shared" ref="BG3:BG41" ca="1" si="23">IF(BF3&gt;0,IF(INDIRECT("Basistabelle!G" &amp; $A$1+BF3+BG$1)&gt;"",INDIRECT("Basistabelle!G" &amp; $A$1+BF3+BG$1),IF(INDIRECT("Basistabelle!H" &amp; $A$1+BF3+BG$1)&gt;"",INDIRECT("Basistabelle!H" &amp; $A$1+BF3+BG$1),IF($A3="Mo","                    Wo " &amp; WEEKNUM(INDIRECT("Basistabelle!C" &amp; $A$1+BF3+BG$1)),""))),"")</f>
        <v/>
      </c>
      <c r="BH3" s="134" t="str">
        <f t="shared" ref="BH3:BH4" ca="1" si="24">IF(BF3&gt;0,IF(INDIRECT("Basistabelle!D" &amp; $A$1+BF3+BG$1)&gt;"",INDIRECT("Basistabelle!D" &amp; $A$1+BF3+BG$1),""),"")</f>
        <v/>
      </c>
      <c r="BI3" s="135"/>
      <c r="BJ3" s="134" t="str">
        <f ca="1">IF(BF3&gt;0,IF(INDIRECT("Basistabelle!E" &amp; $A$1+BF3+BG$1)&gt;"",INDIRECT("Basistabelle!E" &amp; $A$1+BF3+BG$1),""),"")</f>
        <v/>
      </c>
      <c r="BK3" s="135"/>
      <c r="BL3" s="134" t="str">
        <f ca="1">IF(BF3&gt;0,IF(INDIRECT("Basistabelle!F" &amp; $A$1+BF3+BG$1)&gt;"",INDIRECT("Basistabelle!F" &amp; $A$1+BF3+BG$1),""),"")</f>
        <v/>
      </c>
      <c r="BM3" s="136"/>
      <c r="BN3" s="6"/>
      <c r="BO3" s="164" t="str">
        <f t="shared" ref="BO3:BO41" ca="1" si="25">IF(BN3&gt;0,IF(INDIRECT("Basistabelle!G" &amp; $A$1+BN3+BO$1)&gt;"",INDIRECT("Basistabelle!G" &amp; $A$1+BN3+BO$1),IF(INDIRECT("Basistabelle!H" &amp; $A$1+BN3+BO$1)&gt;"",INDIRECT("Basistabelle!H" &amp; $A$1+BN3+BO$1),IF($A3="Mo","                    Wo " &amp; WEEKNUM(INDIRECT("Basistabelle!C" &amp; $A$1+BN3+BO$1)),""))),"")</f>
        <v/>
      </c>
      <c r="BP3" s="134" t="str">
        <f t="shared" ref="BP3" ca="1" si="26">IF(BN3&gt;0,IF(INDIRECT("Basistabelle!D" &amp; $A$1+BN3+BO$1)&gt;"",INDIRECT("Basistabelle!D" &amp; $A$1+BN3+BO$1),""),"")</f>
        <v/>
      </c>
      <c r="BQ3" s="135"/>
      <c r="BR3" s="134" t="str">
        <f ca="1">IF(BN3&gt;0,IF(INDIRECT("Basistabelle!E" &amp; $A$1+BN3+BO$1)&gt;"",INDIRECT("Basistabelle!E" &amp; $A$1+BN3+BO$1),""),"")</f>
        <v/>
      </c>
      <c r="BS3" s="135"/>
      <c r="BT3" s="134" t="str">
        <f ca="1">IF(BN3&gt;0,IF(INDIRECT("Basistabelle!F" &amp; $A$1+BN3+BO$1)&gt;"",INDIRECT("Basistabelle!F" &amp; $A$1+BN3+BO$1),""),"")</f>
        <v/>
      </c>
      <c r="BU3" s="136"/>
      <c r="BV3" s="17"/>
      <c r="BW3" s="164" t="str">
        <f t="shared" ref="BW3:BW41" ca="1" si="27">IF(BV3&gt;0,IF(INDIRECT("Basistabelle!G" &amp; $A$1+BV3+BW$1)&gt;"",INDIRECT("Basistabelle!G" &amp; $A$1+BV3+BW$1),IF(INDIRECT("Basistabelle!H" &amp; $A$1+BV3+BW$1)&gt;"",INDIRECT("Basistabelle!H" &amp; $A$1+BV3+BW$1),IF($A3="Mo","                    Wo " &amp; WEEKNUM(INDIRECT("Basistabelle!C" &amp; $A$1+BV3+BW$1)),""))),"")</f>
        <v/>
      </c>
      <c r="BX3" s="134" t="str">
        <f t="shared" ref="BX3" ca="1" si="28">IF(BV3&gt;0,IF(INDIRECT("Basistabelle!D" &amp; $A$1+BV3+BW$1)&gt;"",INDIRECT("Basistabelle!D" &amp; $A$1+BV3+BW$1),""),"")</f>
        <v/>
      </c>
      <c r="BY3" s="135"/>
      <c r="BZ3" s="134" t="str">
        <f ca="1">IF(BV3&gt;0,IF(INDIRECT("Basistabelle!E" &amp; $A$1+BV3+BW$1)&gt;"",INDIRECT("Basistabelle!E" &amp; $A$1+BV3+BW$1),""),"")</f>
        <v/>
      </c>
      <c r="CA3" s="135"/>
      <c r="CB3" s="134" t="str">
        <f ca="1">IF(BV3&gt;0,IF(INDIRECT("Basistabelle!F" &amp; $A$1+BV3+BW$1)&gt;"",INDIRECT("Basistabelle!F" &amp; $A$1+BV3+BW$1),""),"")</f>
        <v/>
      </c>
      <c r="CC3" s="136"/>
      <c r="CD3" s="17"/>
      <c r="CE3" s="164" t="str">
        <f t="shared" ref="CE3:CE41" ca="1" si="29">IF(CD3&gt;0,IF(INDIRECT("Basistabelle!G" &amp; $A$1+CD3+CE$1)&gt;"",INDIRECT("Basistabelle!G" &amp; $A$1+CD3+CE$1),IF(INDIRECT("Basistabelle!H" &amp; $A$1+CD3+CE$1)&gt;"",INDIRECT("Basistabelle!H" &amp; $A$1+CD3+CE$1),IF($A3="Mo","                    Wo " &amp; WEEKNUM(INDIRECT("Basistabelle!C" &amp; $A$1+CD3+CE$1)),""))),"")</f>
        <v/>
      </c>
      <c r="CF3" s="134" t="str">
        <f t="shared" ref="CF3" ca="1" si="30">IF(CD3&gt;0,IF(INDIRECT("Basistabelle!D" &amp; $A$1+CD3+CE$1)&gt;"",INDIRECT("Basistabelle!D" &amp; $A$1+CD3+CE$1),""),"")</f>
        <v/>
      </c>
      <c r="CG3" s="135"/>
      <c r="CH3" s="134" t="str">
        <f ca="1">IF(CD3&gt;0,IF(INDIRECT("Basistabelle!E" &amp; $A$1+CD3+CE$1)&gt;"",INDIRECT("Basistabelle!E" &amp; $A$1+CD3+CE$1),""),"")</f>
        <v/>
      </c>
      <c r="CI3" s="135"/>
      <c r="CJ3" s="134" t="str">
        <f ca="1">IF(CD3&gt;0,IF(INDIRECT("Basistabelle!F" &amp; $A$1+CD3+CE$1)&gt;"",INDIRECT("Basistabelle!F" &amp; $A$1+CD3+CE$1),""),"")</f>
        <v/>
      </c>
      <c r="CK3" s="136"/>
      <c r="CL3" s="6"/>
      <c r="CM3" s="164" t="str">
        <f t="shared" ref="CM3:CM41" ca="1" si="31">IF(CL3&gt;0,IF(INDIRECT("Basistabelle!G" &amp; $A$1+CL3+CM$1)&gt;"",INDIRECT("Basistabelle!G" &amp; $A$1+CL3+CM$1),IF(INDIRECT("Basistabelle!H" &amp; $A$1+CL3+CM$1)&gt;"",INDIRECT("Basistabelle!H" &amp; $A$1+CL3+CM$1),IF($A3="Mo","                    Wo " &amp; WEEKNUM(INDIRECT("Basistabelle!C" &amp; $A$1+CL3+CM$1)),""))),"")</f>
        <v/>
      </c>
      <c r="CN3" s="134" t="str">
        <f t="shared" ref="CN3" ca="1" si="32">IF(CL3&gt;0,IF(INDIRECT("Basistabelle!D" &amp; $A$1+CL3+CM$1)&gt;"",INDIRECT("Basistabelle!D" &amp; $A$1+CL3+CM$1),""),"")</f>
        <v/>
      </c>
      <c r="CO3" s="135"/>
      <c r="CP3" s="134" t="str">
        <f ca="1">IF(CL3&gt;0,IF(INDIRECT("Basistabelle!E" &amp; $A$1+CL3+CM$1)&gt;"",INDIRECT("Basistabelle!E" &amp; $A$1+CL3+CM$1),""),"")</f>
        <v/>
      </c>
      <c r="CQ3" s="135"/>
      <c r="CR3" s="134" t="str">
        <f ca="1">IF(CL3&gt;0,IF(INDIRECT("Basistabelle!F" &amp; $A$1+CL3+CM$1)&gt;"",INDIRECT("Basistabelle!F" &amp; $A$1+CL3+CM$1),""),"")</f>
        <v/>
      </c>
      <c r="CS3" s="136"/>
    </row>
    <row r="4" spans="1:97" s="2" customFormat="1" x14ac:dyDescent="0.2">
      <c r="A4" s="6" t="s">
        <v>6</v>
      </c>
      <c r="B4" s="8"/>
      <c r="C4" s="164" t="str">
        <f t="shared" ca="1" si="0"/>
        <v/>
      </c>
      <c r="D4" s="121" t="str">
        <f t="shared" ref="D4" ca="1" si="33">IF(B4&gt;0,IF(INDIRECT("Basistabelle!D" &amp; $A$1+B4+C$1)&gt;"",INDIRECT("Basistabelle!D" &amp; $A$1+B4+C$1),""),"")</f>
        <v/>
      </c>
      <c r="E4" s="122"/>
      <c r="F4" s="123" t="str">
        <f t="shared" ref="F4" ca="1" si="34">IF(B4&gt;0,IF(INDIRECT("Basistabelle!E" &amp; $A$1+B4+C$1)&gt;"",INDIRECT("Basistabelle!E" &amp; $A$1+B4+C$1),""),"")</f>
        <v/>
      </c>
      <c r="G4" s="122"/>
      <c r="H4" s="123" t="str">
        <f t="shared" ref="H4" ca="1" si="35">IF(B4&gt;0,IF(INDIRECT("Basistabelle!F" &amp; $A$1+B4+C$1)&gt;"",INDIRECT("Basistabelle!F" &amp; $A$1+B4+C$1),""),"")</f>
        <v/>
      </c>
      <c r="I4" s="122"/>
      <c r="J4" s="17"/>
      <c r="K4" s="164" t="str">
        <f t="shared" ca="1" si="4"/>
        <v/>
      </c>
      <c r="L4" s="157" t="str">
        <f t="shared" ca="1" si="5"/>
        <v/>
      </c>
      <c r="M4" s="124"/>
      <c r="N4" s="121" t="str">
        <f t="shared" ca="1" si="6"/>
        <v/>
      </c>
      <c r="O4" s="124"/>
      <c r="P4" s="121" t="str">
        <f t="shared" ca="1" si="7"/>
        <v/>
      </c>
      <c r="Q4" s="124"/>
      <c r="R4" s="6"/>
      <c r="S4" s="164" t="str">
        <f t="shared" ca="1" si="8"/>
        <v/>
      </c>
      <c r="T4" s="157" t="str">
        <f t="shared" ref="T4" ca="1" si="36">IF(R4&gt;0,IF(INDIRECT("Basistabelle!D" &amp; $A$1+R4+S$1)&gt;"",INDIRECT("Basistabelle!D" &amp; $A$1+R4+S$1),""),"")</f>
        <v/>
      </c>
      <c r="U4" s="124"/>
      <c r="V4" s="121" t="str">
        <f t="shared" ref="V4" ca="1" si="37">IF(R4&gt;0,IF(INDIRECT("Basistabelle!E" &amp; $A$1+R4+S$1)&gt;"",INDIRECT("Basistabelle!E" &amp; $A$1+R4+S$1),""),"")</f>
        <v/>
      </c>
      <c r="W4" s="124"/>
      <c r="X4" s="121" t="str">
        <f t="shared" ref="X4" ca="1" si="38">IF(R4&gt;0,IF(INDIRECT("Basistabelle!F" &amp; $A$1+R4+S$1)&gt;"",INDIRECT("Basistabelle!F" &amp; $A$1+R4+S$1),""),"")</f>
        <v/>
      </c>
      <c r="Y4" s="124"/>
      <c r="Z4" s="6"/>
      <c r="AA4" s="164" t="str">
        <f t="shared" ca="1" si="12"/>
        <v/>
      </c>
      <c r="AB4" s="157" t="str">
        <f t="shared" ca="1" si="13"/>
        <v/>
      </c>
      <c r="AC4" s="124"/>
      <c r="AD4" s="121" t="str">
        <f t="shared" ca="1" si="14"/>
        <v/>
      </c>
      <c r="AE4" s="124"/>
      <c r="AF4" s="157" t="str">
        <f t="shared" ca="1" si="15"/>
        <v/>
      </c>
      <c r="AG4" s="124"/>
      <c r="AH4" s="17"/>
      <c r="AI4" s="159"/>
      <c r="AJ4" s="157" t="str">
        <f t="shared" ca="1" si="16"/>
        <v/>
      </c>
      <c r="AK4" s="124"/>
      <c r="AL4" s="121" t="str">
        <f t="shared" ca="1" si="17"/>
        <v/>
      </c>
      <c r="AM4" s="124"/>
      <c r="AN4" s="157" t="str">
        <f t="shared" ca="1" si="18"/>
        <v/>
      </c>
      <c r="AO4" s="124"/>
      <c r="AP4" s="17"/>
      <c r="AQ4" s="164" t="str">
        <f t="shared" ca="1" si="19"/>
        <v/>
      </c>
      <c r="AR4" s="121" t="str">
        <f t="shared" ref="AR4:AR9" ca="1" si="39">IF(AP4&gt;0,IF(INDIRECT("Basistabelle!D" &amp; $A$1+AP4+AQ$1)&gt;"",INDIRECT("Basistabelle!D" &amp; $A$1+AP4+AQ$1),""),"")</f>
        <v/>
      </c>
      <c r="AS4" s="122"/>
      <c r="AT4" s="123" t="str">
        <f t="shared" ref="AT4:AT9" ca="1" si="40">IF(AP4&gt;0,IF(INDIRECT("Basistabelle!E" &amp; $A$1+AP4+AQ$1)&gt;"",INDIRECT("Basistabelle!E" &amp; $A$1+AP4+AQ$1),""),"")</f>
        <v/>
      </c>
      <c r="AU4" s="122"/>
      <c r="AV4" s="123" t="str">
        <f t="shared" ref="AV4:AV9" ca="1" si="41">IF(AP4&gt;0,IF(INDIRECT("Basistabelle!F" &amp; $A$1+AP4+AQ$1)&gt;"",INDIRECT("Basistabelle!F" &amp; $A$1+AP4+AQ$1),""),"")</f>
        <v/>
      </c>
      <c r="AW4" s="122"/>
      <c r="AX4" s="6"/>
      <c r="AY4" s="164" t="str">
        <f t="shared" ca="1" si="21"/>
        <v/>
      </c>
      <c r="AZ4" s="121" t="str">
        <f t="shared" ref="AZ4:AZ41" ca="1" si="42">IF(AX4&gt;0,IF(INDIRECT("Basistabelle!D" &amp; $A$1+AX4+AY$1)&gt;"",INDIRECT("Basistabelle!D" &amp; $A$1+AX4+AY$1),""),"")</f>
        <v/>
      </c>
      <c r="BA4" s="122"/>
      <c r="BB4" s="123" t="str">
        <f t="shared" ref="BB4:BB41" ca="1" si="43">IF(AX4&gt;0,IF(INDIRECT("Basistabelle!E" &amp; $A$1+AX4+AY$1)&gt;"",INDIRECT("Basistabelle!E" &amp; $A$1+AX4+AY$1),""),"")</f>
        <v/>
      </c>
      <c r="BC4" s="122"/>
      <c r="BD4" s="123" t="str">
        <f t="shared" ref="BD4:BD41" ca="1" si="44">IF(AX4&gt;0,IF(INDIRECT("Basistabelle!F" &amp; $A$1+AX4+AY$1)&gt;"",INDIRECT("Basistabelle!F" &amp; $A$1+AX4+AY$1),""),"")</f>
        <v/>
      </c>
      <c r="BE4" s="122"/>
      <c r="BF4" s="158"/>
      <c r="BG4" s="164" t="str">
        <f t="shared" ca="1" si="23"/>
        <v/>
      </c>
      <c r="BH4" s="157" t="str">
        <f t="shared" ca="1" si="24"/>
        <v/>
      </c>
      <c r="BI4" s="124"/>
      <c r="BJ4" s="121" t="str">
        <f t="shared" ref="BJ4" ca="1" si="45">IF(BF4&gt;0,IF(INDIRECT("Basistabelle!E" &amp; $A$1+BF4+BG$1)&gt;"",INDIRECT("Basistabelle!E" &amp; $A$1+BF4+BG$1),""),"")</f>
        <v/>
      </c>
      <c r="BK4" s="124"/>
      <c r="BL4" s="157" t="str">
        <f t="shared" ref="BL4" ca="1" si="46">IF(BF4&gt;0,IF(INDIRECT("Basistabelle!F" &amp; $A$1+BF4+BG$1)&gt;"",INDIRECT("Basistabelle!F" &amp; $A$1+BF4+BG$1),""),"")</f>
        <v/>
      </c>
      <c r="BM4" s="124"/>
      <c r="BN4" s="6"/>
      <c r="BO4" s="164" t="str">
        <f t="shared" ca="1" si="25"/>
        <v/>
      </c>
      <c r="BP4" s="125" t="str">
        <f t="shared" ref="BP4:BP10" ca="1" si="47">IF(BN4&gt;0,IF(INDIRECT("Basistabelle!D" &amp; $A$1+BN4+BO$1)&gt;"",INDIRECT("Basistabelle!D" &amp; $A$1+BN4+BO$1),""),"")</f>
        <v/>
      </c>
      <c r="BQ4" s="122"/>
      <c r="BR4" s="121" t="str">
        <f t="shared" ref="BR4:BR10" ca="1" si="48">IF(BN4&gt;0,IF(INDIRECT("Basistabelle!E" &amp; $A$1+BN4+BO$1)&gt;"",INDIRECT("Basistabelle!E" &amp; $A$1+BN4+BO$1),""),"")</f>
        <v/>
      </c>
      <c r="BS4" s="122"/>
      <c r="BT4" s="125" t="str">
        <f t="shared" ref="BT4:BT10" ca="1" si="49">IF(BN4&gt;0,IF(INDIRECT("Basistabelle!F" &amp; $A$1+BN4+BO$1)&gt;"",INDIRECT("Basistabelle!F" &amp; $A$1+BN4+BO$1),""),"")</f>
        <v/>
      </c>
      <c r="BU4" s="122"/>
      <c r="BV4" s="17"/>
      <c r="BW4" s="164" t="str">
        <f t="shared" ca="1" si="27"/>
        <v/>
      </c>
      <c r="BX4" s="125" t="str">
        <f t="shared" ref="BX4:BX17" ca="1" si="50">IF(BV4&gt;0,IF(INDIRECT("Basistabelle!D" &amp; $A$1+BV4+BW$1)&gt;"",INDIRECT("Basistabelle!D" &amp; $A$1+BV4+BW$1),""),"")</f>
        <v/>
      </c>
      <c r="BY4" s="122"/>
      <c r="BZ4" s="121" t="str">
        <f t="shared" ref="BZ4:BZ17" ca="1" si="51">IF(BV4&gt;0,IF(INDIRECT("Basistabelle!E" &amp; $A$1+BV4+BW$1)&gt;"",INDIRECT("Basistabelle!E" &amp; $A$1+BV4+BW$1),""),"")</f>
        <v/>
      </c>
      <c r="CA4" s="122"/>
      <c r="CB4" s="125" t="str">
        <f t="shared" ref="CB4:CB17" ca="1" si="52">IF(BV4&gt;0,IF(INDIRECT("Basistabelle!F" &amp; $A$1+BV4+BW$1)&gt;"",INDIRECT("Basistabelle!F" &amp; $A$1+BV4+BW$1),""),"")</f>
        <v/>
      </c>
      <c r="CC4" s="122"/>
      <c r="CD4" s="17"/>
      <c r="CE4" s="164" t="str">
        <f t="shared" ca="1" si="29"/>
        <v/>
      </c>
      <c r="CF4" s="125" t="str">
        <f t="shared" ref="CF4:CF10" ca="1" si="53">IF(CD4&gt;0,IF(INDIRECT("Basistabelle!D" &amp; $A$1+CD4+CE$1)&gt;"",INDIRECT("Basistabelle!D" &amp; $A$1+CD4+CE$1),""),"")</f>
        <v/>
      </c>
      <c r="CG4" s="122"/>
      <c r="CH4" s="121" t="str">
        <f t="shared" ref="CH4:CH10" ca="1" si="54">IF(CD4&gt;0,IF(INDIRECT("Basistabelle!E" &amp; $A$1+CD4+CE$1)&gt;"",INDIRECT("Basistabelle!E" &amp; $A$1+CD4+CE$1),""),"")</f>
        <v/>
      </c>
      <c r="CI4" s="122"/>
      <c r="CJ4" s="125" t="str">
        <f t="shared" ref="CJ4:CJ10" ca="1" si="55">IF(CD4&gt;0,IF(INDIRECT("Basistabelle!F" &amp; $A$1+CD4+CE$1)&gt;"",INDIRECT("Basistabelle!F" &amp; $A$1+CD4+CE$1),""),"")</f>
        <v/>
      </c>
      <c r="CK4" s="122"/>
      <c r="CL4" s="6"/>
      <c r="CM4" s="164" t="str">
        <f t="shared" ca="1" si="31"/>
        <v/>
      </c>
      <c r="CN4" s="125" t="str">
        <f t="shared" ref="CN4:CN10" ca="1" si="56">IF(CL4&gt;0,IF(INDIRECT("Basistabelle!D" &amp; $A$1+CL4+CM$1)&gt;"",INDIRECT("Basistabelle!D" &amp; $A$1+CL4+CM$1),""),"")</f>
        <v/>
      </c>
      <c r="CO4" s="124"/>
      <c r="CP4" s="121" t="str">
        <f t="shared" ref="CP4:CP10" ca="1" si="57">IF(CL4&gt;0,IF(INDIRECT("Basistabelle!E" &amp; $A$1+CL4+CM$1)&gt;"",INDIRECT("Basistabelle!E" &amp; $A$1+CL4+CM$1),""),"")</f>
        <v/>
      </c>
      <c r="CQ4" s="124"/>
      <c r="CR4" s="125" t="str">
        <f t="shared" ref="CR4:CR10" ca="1" si="58">IF(CL4&gt;0,IF(INDIRECT("Basistabelle!F" &amp; $A$1+CL4+CM$1)&gt;"",INDIRECT("Basistabelle!F" &amp; $A$1+CL4+CM$1),""),"")</f>
        <v/>
      </c>
      <c r="CS4" s="139"/>
    </row>
    <row r="5" spans="1:97" s="2" customFormat="1" x14ac:dyDescent="0.2">
      <c r="A5" s="6" t="s">
        <v>7</v>
      </c>
      <c r="B5" s="8"/>
      <c r="C5" s="164" t="str">
        <f t="shared" ca="1" si="0"/>
        <v/>
      </c>
      <c r="D5" s="121" t="str">
        <f t="shared" ref="D5:D11" ca="1" si="59">IF(B5&gt;0,IF(INDIRECT("Basistabelle!D" &amp; $A$1+B5+C$1)&gt;"",INDIRECT("Basistabelle!D" &amp; $A$1+B5+C$1),""),"")</f>
        <v/>
      </c>
      <c r="E5" s="124"/>
      <c r="F5" s="121" t="str">
        <f t="shared" ref="F5:F11" ca="1" si="60">IF(B5&gt;0,IF(INDIRECT("Basistabelle!E" &amp; $A$1+B5+C$1)&gt;"",INDIRECT("Basistabelle!E" &amp; $A$1+B5+C$1),""),"")</f>
        <v/>
      </c>
      <c r="G5" s="124"/>
      <c r="H5" s="121" t="str">
        <f t="shared" ref="H5:H11" ca="1" si="61">IF(B5&gt;0,IF(INDIRECT("Basistabelle!F" &amp; $A$1+B5+C$1)&gt;"",INDIRECT("Basistabelle!F" &amp; $A$1+B5+C$1),""),"")</f>
        <v/>
      </c>
      <c r="I5" s="124"/>
      <c r="J5" s="6"/>
      <c r="K5" s="164" t="str">
        <f t="shared" ca="1" si="4"/>
        <v/>
      </c>
      <c r="L5" s="157" t="str">
        <f t="shared" ca="1" si="5"/>
        <v/>
      </c>
      <c r="M5" s="124"/>
      <c r="N5" s="121" t="str">
        <f t="shared" ca="1" si="6"/>
        <v/>
      </c>
      <c r="O5" s="124"/>
      <c r="P5" s="121" t="str">
        <f t="shared" ca="1" si="7"/>
        <v/>
      </c>
      <c r="Q5" s="124"/>
      <c r="R5" s="6"/>
      <c r="S5" s="164" t="str">
        <f t="shared" ca="1" si="8"/>
        <v/>
      </c>
      <c r="T5" s="157" t="str">
        <f t="shared" ref="T5" ca="1" si="62">IF(R5&gt;0,IF(INDIRECT("Basistabelle!D" &amp; $A$1+R5+S$1)&gt;"",INDIRECT("Basistabelle!D" &amp; $A$1+R5+S$1),""),"")</f>
        <v/>
      </c>
      <c r="U5" s="124"/>
      <c r="V5" s="121" t="str">
        <f t="shared" ref="V5" ca="1" si="63">IF(R5&gt;0,IF(INDIRECT("Basistabelle!E" &amp; $A$1+R5+S$1)&gt;"",INDIRECT("Basistabelle!E" &amp; $A$1+R5+S$1),""),"")</f>
        <v/>
      </c>
      <c r="W5" s="124"/>
      <c r="X5" s="121" t="str">
        <f t="shared" ref="X5" ca="1" si="64">IF(R5&gt;0,IF(INDIRECT("Basistabelle!F" &amp; $A$1+R5+S$1)&gt;"",INDIRECT("Basistabelle!F" &amp; $A$1+R5+S$1),""),"")</f>
        <v/>
      </c>
      <c r="Y5" s="124"/>
      <c r="Z5" s="6"/>
      <c r="AA5" s="164" t="str">
        <f t="shared" ca="1" si="12"/>
        <v/>
      </c>
      <c r="AB5" s="157" t="str">
        <f t="shared" ca="1" si="13"/>
        <v/>
      </c>
      <c r="AC5" s="124"/>
      <c r="AD5" s="121" t="str">
        <f t="shared" ca="1" si="14"/>
        <v/>
      </c>
      <c r="AE5" s="124"/>
      <c r="AF5" s="157" t="str">
        <f t="shared" ca="1" si="15"/>
        <v/>
      </c>
      <c r="AG5" s="124"/>
      <c r="AH5" s="6"/>
      <c r="AI5" s="166" t="str">
        <f t="shared" ref="AI5:AI41" ca="1" si="65">IF(AH5&gt;0,IF(INDIRECT("Basistabelle!G" &amp; $A$1+AH5+AI$1)&gt;"",INDIRECT("Basistabelle!G" &amp; $A$1+AH5+AI$1),IF(INDIRECT("Basistabelle!H" &amp; $A$1+AH5+AI$1)&gt;"",INDIRECT("Basistabelle!H" &amp; $A$1+AH5+AI$1),IF($A5="Mo","                    Wo " &amp; WEEKNUM(INDIRECT("Basistabelle!C" &amp; $A$1+AH5+AI$1)),""))),"")</f>
        <v/>
      </c>
      <c r="AJ5" s="157" t="str">
        <f t="shared" ca="1" si="16"/>
        <v/>
      </c>
      <c r="AK5" s="124"/>
      <c r="AL5" s="121" t="str">
        <f t="shared" ca="1" si="17"/>
        <v/>
      </c>
      <c r="AM5" s="124"/>
      <c r="AN5" s="157" t="str">
        <f t="shared" ca="1" si="18"/>
        <v/>
      </c>
      <c r="AO5" s="124"/>
      <c r="AP5" s="6"/>
      <c r="AQ5" s="164" t="str">
        <f t="shared" ca="1" si="19"/>
        <v/>
      </c>
      <c r="AR5" s="121" t="str">
        <f t="shared" ca="1" si="39"/>
        <v/>
      </c>
      <c r="AS5" s="124"/>
      <c r="AT5" s="121" t="str">
        <f t="shared" ca="1" si="40"/>
        <v/>
      </c>
      <c r="AU5" s="124"/>
      <c r="AV5" s="121" t="str">
        <f t="shared" ca="1" si="41"/>
        <v/>
      </c>
      <c r="AW5" s="124"/>
      <c r="AX5" s="6"/>
      <c r="AY5" s="164" t="str">
        <f t="shared" ca="1" si="21"/>
        <v/>
      </c>
      <c r="AZ5" s="125" t="str">
        <f t="shared" ca="1" si="42"/>
        <v/>
      </c>
      <c r="BA5" s="124"/>
      <c r="BB5" s="121" t="str">
        <f t="shared" ca="1" si="43"/>
        <v/>
      </c>
      <c r="BC5" s="124"/>
      <c r="BD5" s="125" t="str">
        <f t="shared" ca="1" si="44"/>
        <v/>
      </c>
      <c r="BE5" s="124"/>
      <c r="BF5" s="21"/>
      <c r="BG5" s="164" t="str">
        <f t="shared" ca="1" si="23"/>
        <v/>
      </c>
      <c r="BH5" s="125" t="str">
        <f t="shared" ref="BH5:BH16" ca="1" si="66">IF(BF5&gt;0,IF(INDIRECT("Basistabelle!D" &amp; $A$1+BF5+BG$1)&gt;"",INDIRECT("Basistabelle!D" &amp; $A$1+BF5+BG$1),""),"")</f>
        <v/>
      </c>
      <c r="BI5" s="124"/>
      <c r="BJ5" s="121" t="str">
        <f t="shared" ref="BJ5:BJ16" ca="1" si="67">IF(BF5&gt;0,IF(INDIRECT("Basistabelle!E" &amp; $A$1+BF5+BG$1)&gt;"",INDIRECT("Basistabelle!E" &amp; $A$1+BF5+BG$1),""),"")</f>
        <v/>
      </c>
      <c r="BK5" s="124"/>
      <c r="BL5" s="125" t="str">
        <f t="shared" ref="BL5:BL16" ca="1" si="68">IF(BF5&gt;0,IF(INDIRECT("Basistabelle!F" &amp; $A$1+BF5+BG$1)&gt;"",INDIRECT("Basistabelle!F" &amp; $A$1+BF5+BG$1),""),"")</f>
        <v/>
      </c>
      <c r="BM5" s="124"/>
      <c r="BN5" s="6"/>
      <c r="BO5" s="164" t="str">
        <f t="shared" ca="1" si="25"/>
        <v/>
      </c>
      <c r="BP5" s="125" t="str">
        <f t="shared" ca="1" si="47"/>
        <v/>
      </c>
      <c r="BQ5" s="124"/>
      <c r="BR5" s="121" t="str">
        <f t="shared" ca="1" si="48"/>
        <v/>
      </c>
      <c r="BS5" s="124"/>
      <c r="BT5" s="125" t="str">
        <f t="shared" ca="1" si="49"/>
        <v/>
      </c>
      <c r="BU5" s="124"/>
      <c r="BV5" s="6"/>
      <c r="BW5" s="164" t="str">
        <f t="shared" ca="1" si="27"/>
        <v/>
      </c>
      <c r="BX5" s="125" t="str">
        <f t="shared" ca="1" si="50"/>
        <v/>
      </c>
      <c r="BY5" s="124"/>
      <c r="BZ5" s="121" t="str">
        <f t="shared" ca="1" si="51"/>
        <v/>
      </c>
      <c r="CA5" s="124"/>
      <c r="CB5" s="125" t="str">
        <f t="shared" ca="1" si="52"/>
        <v/>
      </c>
      <c r="CC5" s="124"/>
      <c r="CD5" s="6"/>
      <c r="CE5" s="164" t="str">
        <f t="shared" ca="1" si="29"/>
        <v/>
      </c>
      <c r="CF5" s="125" t="str">
        <f t="shared" ca="1" si="53"/>
        <v/>
      </c>
      <c r="CG5" s="124"/>
      <c r="CH5" s="121" t="str">
        <f t="shared" ca="1" si="54"/>
        <v/>
      </c>
      <c r="CI5" s="124"/>
      <c r="CJ5" s="125" t="str">
        <f t="shared" ca="1" si="55"/>
        <v/>
      </c>
      <c r="CK5" s="124"/>
      <c r="CL5" s="6"/>
      <c r="CM5" s="164" t="str">
        <f t="shared" ca="1" si="31"/>
        <v/>
      </c>
      <c r="CN5" s="125" t="str">
        <f t="shared" ca="1" si="56"/>
        <v/>
      </c>
      <c r="CO5" s="124"/>
      <c r="CP5" s="121" t="str">
        <f t="shared" ca="1" si="57"/>
        <v/>
      </c>
      <c r="CQ5" s="124"/>
      <c r="CR5" s="125" t="str">
        <f t="shared" ca="1" si="58"/>
        <v/>
      </c>
      <c r="CS5" s="139"/>
    </row>
    <row r="6" spans="1:97" s="2" customFormat="1" x14ac:dyDescent="0.2">
      <c r="A6" s="6" t="s">
        <v>8</v>
      </c>
      <c r="B6" s="8"/>
      <c r="C6" s="164" t="str">
        <f t="shared" ca="1" si="0"/>
        <v/>
      </c>
      <c r="D6" s="125" t="str">
        <f t="shared" ca="1" si="59"/>
        <v/>
      </c>
      <c r="E6" s="124"/>
      <c r="F6" s="121" t="str">
        <f t="shared" ca="1" si="60"/>
        <v/>
      </c>
      <c r="G6" s="124"/>
      <c r="H6" s="121" t="str">
        <f t="shared" ca="1" si="61"/>
        <v/>
      </c>
      <c r="I6" s="124"/>
      <c r="J6" s="6"/>
      <c r="K6" s="164" t="str">
        <f t="shared" ca="1" si="4"/>
        <v/>
      </c>
      <c r="L6" s="125" t="str">
        <f t="shared" ref="L6:L10" ca="1" si="69">IF(J6&gt;0,IF(INDIRECT("Basistabelle!D" &amp; $A$1+J6+K$1)&gt;"",INDIRECT("Basistabelle!D" &amp; $A$1+J6+K$1),""),"")</f>
        <v/>
      </c>
      <c r="M6" s="124"/>
      <c r="N6" s="121" t="str">
        <f t="shared" ref="N6:N10" ca="1" si="70">IF(J6&gt;0,IF(INDIRECT("Basistabelle!E" &amp; $A$1+J6+K$1)&gt;"",INDIRECT("Basistabelle!E" &amp; $A$1+J6+K$1),""),"")</f>
        <v/>
      </c>
      <c r="O6" s="124"/>
      <c r="P6" s="121" t="str">
        <f t="shared" ref="P6:P10" ca="1" si="71">IF(J6&gt;0,IF(INDIRECT("Basistabelle!F" &amp; $A$1+J6+K$1)&gt;"",INDIRECT("Basistabelle!F" &amp; $A$1+J6+K$1),""),"")</f>
        <v/>
      </c>
      <c r="Q6" s="124"/>
      <c r="R6" s="6"/>
      <c r="S6" s="164" t="str">
        <f t="shared" ca="1" si="8"/>
        <v/>
      </c>
      <c r="T6" s="125" t="str">
        <f t="shared" ref="T6:T10" ca="1" si="72">IF(R6&gt;0,IF(INDIRECT("Basistabelle!D" &amp; $A$1+R6+S$1)&gt;"",INDIRECT("Basistabelle!D" &amp; $A$1+R6+S$1),""),"")</f>
        <v/>
      </c>
      <c r="U6" s="124"/>
      <c r="V6" s="121" t="str">
        <f t="shared" ref="V6:V10" ca="1" si="73">IF(R6&gt;0,IF(INDIRECT("Basistabelle!E" &amp; $A$1+R6+S$1)&gt;"",INDIRECT("Basistabelle!E" &amp; $A$1+R6+S$1),""),"")</f>
        <v/>
      </c>
      <c r="W6" s="124"/>
      <c r="X6" s="121" t="str">
        <f t="shared" ref="X6:X10" ca="1" si="74">IF(R6&gt;0,IF(INDIRECT("Basistabelle!F" &amp; $A$1+R6+S$1)&gt;"",INDIRECT("Basistabelle!F" &amp; $A$1+R6+S$1),""),"")</f>
        <v/>
      </c>
      <c r="Y6" s="124"/>
      <c r="Z6" s="6"/>
      <c r="AA6" s="164" t="str">
        <f t="shared" ca="1" si="12"/>
        <v/>
      </c>
      <c r="AB6" s="157" t="str">
        <f t="shared" ca="1" si="13"/>
        <v/>
      </c>
      <c r="AC6" s="124"/>
      <c r="AD6" s="121" t="str">
        <f t="shared" ca="1" si="14"/>
        <v/>
      </c>
      <c r="AE6" s="124"/>
      <c r="AF6" s="157" t="str">
        <f t="shared" ca="1" si="15"/>
        <v/>
      </c>
      <c r="AG6" s="124"/>
      <c r="AH6" s="6"/>
      <c r="AI6" s="164" t="str">
        <f t="shared" ca="1" si="65"/>
        <v/>
      </c>
      <c r="AJ6" s="157" t="str">
        <f t="shared" ca="1" si="16"/>
        <v/>
      </c>
      <c r="AK6" s="124"/>
      <c r="AL6" s="121" t="str">
        <f t="shared" ca="1" si="17"/>
        <v/>
      </c>
      <c r="AM6" s="124"/>
      <c r="AN6" s="157" t="str">
        <f t="shared" ca="1" si="18"/>
        <v/>
      </c>
      <c r="AO6" s="124"/>
      <c r="AP6" s="6"/>
      <c r="AQ6" s="164" t="str">
        <f t="shared" ca="1" si="19"/>
        <v/>
      </c>
      <c r="AR6" s="125" t="str">
        <f t="shared" ca="1" si="39"/>
        <v/>
      </c>
      <c r="AS6" s="124"/>
      <c r="AT6" s="121" t="str">
        <f t="shared" ca="1" si="40"/>
        <v/>
      </c>
      <c r="AU6" s="124"/>
      <c r="AV6" s="125" t="str">
        <f t="shared" ca="1" si="41"/>
        <v/>
      </c>
      <c r="AW6" s="137"/>
      <c r="AX6" s="6"/>
      <c r="AY6" s="164" t="str">
        <f t="shared" ca="1" si="21"/>
        <v/>
      </c>
      <c r="AZ6" s="125" t="str">
        <f t="shared" ca="1" si="42"/>
        <v/>
      </c>
      <c r="BA6" s="124"/>
      <c r="BB6" s="121" t="str">
        <f t="shared" ca="1" si="43"/>
        <v/>
      </c>
      <c r="BC6" s="124"/>
      <c r="BD6" s="125" t="str">
        <f t="shared" ca="1" si="44"/>
        <v/>
      </c>
      <c r="BE6" s="137"/>
      <c r="BF6" s="21"/>
      <c r="BG6" s="164" t="str">
        <f t="shared" ca="1" si="23"/>
        <v/>
      </c>
      <c r="BH6" s="125" t="str">
        <f t="shared" ca="1" si="66"/>
        <v/>
      </c>
      <c r="BI6" s="124"/>
      <c r="BJ6" s="121" t="str">
        <f t="shared" ca="1" si="67"/>
        <v/>
      </c>
      <c r="BK6" s="124"/>
      <c r="BL6" s="125" t="str">
        <f t="shared" ca="1" si="68"/>
        <v/>
      </c>
      <c r="BM6" s="137"/>
      <c r="BN6" s="6"/>
      <c r="BO6" s="164" t="str">
        <f t="shared" ca="1" si="25"/>
        <v/>
      </c>
      <c r="BP6" s="125" t="str">
        <f t="shared" ca="1" si="47"/>
        <v/>
      </c>
      <c r="BQ6" s="124"/>
      <c r="BR6" s="121" t="str">
        <f t="shared" ca="1" si="48"/>
        <v/>
      </c>
      <c r="BS6" s="124"/>
      <c r="BT6" s="125" t="str">
        <f t="shared" ca="1" si="49"/>
        <v/>
      </c>
      <c r="BU6" s="137"/>
      <c r="BV6" s="6"/>
      <c r="BW6" s="164" t="str">
        <f t="shared" ca="1" si="27"/>
        <v/>
      </c>
      <c r="BX6" s="125" t="str">
        <f t="shared" ca="1" si="50"/>
        <v/>
      </c>
      <c r="BY6" s="124"/>
      <c r="BZ6" s="121" t="str">
        <f t="shared" ca="1" si="51"/>
        <v/>
      </c>
      <c r="CA6" s="124"/>
      <c r="CB6" s="125" t="str">
        <f t="shared" ca="1" si="52"/>
        <v/>
      </c>
      <c r="CC6" s="137"/>
      <c r="CD6" s="6"/>
      <c r="CE6" s="164" t="str">
        <f t="shared" ca="1" si="29"/>
        <v/>
      </c>
      <c r="CF6" s="125" t="str">
        <f t="shared" ca="1" si="53"/>
        <v/>
      </c>
      <c r="CG6" s="124"/>
      <c r="CH6" s="121" t="str">
        <f t="shared" ca="1" si="54"/>
        <v/>
      </c>
      <c r="CI6" s="124"/>
      <c r="CJ6" s="125" t="str">
        <f t="shared" ca="1" si="55"/>
        <v/>
      </c>
      <c r="CK6" s="137"/>
      <c r="CL6" s="6"/>
      <c r="CM6" s="164" t="str">
        <f t="shared" ca="1" si="31"/>
        <v/>
      </c>
      <c r="CN6" s="125" t="str">
        <f t="shared" ca="1" si="56"/>
        <v/>
      </c>
      <c r="CO6" s="124"/>
      <c r="CP6" s="121" t="str">
        <f t="shared" ca="1" si="57"/>
        <v/>
      </c>
      <c r="CQ6" s="124"/>
      <c r="CR6" s="125" t="str">
        <f t="shared" ca="1" si="58"/>
        <v/>
      </c>
      <c r="CS6" s="137"/>
    </row>
    <row r="7" spans="1:97" s="2" customFormat="1" x14ac:dyDescent="0.2">
      <c r="A7" s="6" t="s">
        <v>3</v>
      </c>
      <c r="B7" s="8"/>
      <c r="C7" s="164" t="str">
        <f t="shared" ca="1" si="0"/>
        <v/>
      </c>
      <c r="D7" s="125" t="str">
        <f t="shared" ca="1" si="59"/>
        <v/>
      </c>
      <c r="E7" s="124"/>
      <c r="F7" s="121" t="str">
        <f t="shared" ca="1" si="60"/>
        <v/>
      </c>
      <c r="G7" s="124"/>
      <c r="H7" s="121" t="str">
        <f t="shared" ca="1" si="61"/>
        <v/>
      </c>
      <c r="I7" s="124"/>
      <c r="J7" s="6"/>
      <c r="K7" s="164" t="str">
        <f t="shared" ca="1" si="4"/>
        <v/>
      </c>
      <c r="L7" s="125" t="str">
        <f t="shared" ca="1" si="69"/>
        <v/>
      </c>
      <c r="M7" s="124"/>
      <c r="N7" s="121" t="str">
        <f t="shared" ca="1" si="70"/>
        <v/>
      </c>
      <c r="O7" s="124"/>
      <c r="P7" s="121" t="str">
        <f t="shared" ca="1" si="71"/>
        <v/>
      </c>
      <c r="Q7" s="124"/>
      <c r="R7" s="6"/>
      <c r="S7" s="164" t="str">
        <f t="shared" ca="1" si="8"/>
        <v/>
      </c>
      <c r="T7" s="125" t="str">
        <f t="shared" ca="1" si="72"/>
        <v/>
      </c>
      <c r="U7" s="124"/>
      <c r="V7" s="121" t="str">
        <f t="shared" ca="1" si="73"/>
        <v/>
      </c>
      <c r="W7" s="124"/>
      <c r="X7" s="121" t="str">
        <f t="shared" ca="1" si="74"/>
        <v/>
      </c>
      <c r="Y7" s="124"/>
      <c r="Z7" s="6"/>
      <c r="AA7" s="164" t="str">
        <f t="shared" ca="1" si="12"/>
        <v/>
      </c>
      <c r="AB7" s="157" t="str">
        <f t="shared" ca="1" si="13"/>
        <v/>
      </c>
      <c r="AC7" s="124"/>
      <c r="AD7" s="121" t="str">
        <f t="shared" ca="1" si="14"/>
        <v/>
      </c>
      <c r="AE7" s="124"/>
      <c r="AF7" s="157" t="str">
        <f t="shared" ca="1" si="15"/>
        <v/>
      </c>
      <c r="AG7" s="124"/>
      <c r="AH7" s="6"/>
      <c r="AI7" s="164" t="str">
        <f t="shared" ca="1" si="65"/>
        <v/>
      </c>
      <c r="AJ7" s="157" t="str">
        <f t="shared" ca="1" si="16"/>
        <v/>
      </c>
      <c r="AK7" s="124"/>
      <c r="AL7" s="121" t="str">
        <f t="shared" ca="1" si="17"/>
        <v/>
      </c>
      <c r="AM7" s="124"/>
      <c r="AN7" s="157" t="str">
        <f t="shared" ca="1" si="18"/>
        <v/>
      </c>
      <c r="AO7" s="124"/>
      <c r="AP7" s="6"/>
      <c r="AQ7" s="164" t="str">
        <f t="shared" ca="1" si="19"/>
        <v/>
      </c>
      <c r="AR7" s="125" t="str">
        <f t="shared" ca="1" si="39"/>
        <v/>
      </c>
      <c r="AS7" s="124"/>
      <c r="AT7" s="121" t="str">
        <f t="shared" ca="1" si="40"/>
        <v/>
      </c>
      <c r="AU7" s="124"/>
      <c r="AV7" s="125" t="str">
        <f t="shared" ca="1" si="41"/>
        <v/>
      </c>
      <c r="AW7" s="137"/>
      <c r="AX7" s="6"/>
      <c r="AY7" s="164" t="str">
        <f t="shared" ca="1" si="21"/>
        <v/>
      </c>
      <c r="AZ7" s="125" t="str">
        <f t="shared" ca="1" si="42"/>
        <v/>
      </c>
      <c r="BA7" s="124"/>
      <c r="BB7" s="121" t="str">
        <f t="shared" ca="1" si="43"/>
        <v/>
      </c>
      <c r="BC7" s="124"/>
      <c r="BD7" s="125" t="str">
        <f t="shared" ca="1" si="44"/>
        <v/>
      </c>
      <c r="BE7" s="137"/>
      <c r="BF7" s="21"/>
      <c r="BG7" s="164" t="str">
        <f t="shared" ca="1" si="23"/>
        <v/>
      </c>
      <c r="BH7" s="125" t="str">
        <f t="shared" ca="1" si="66"/>
        <v/>
      </c>
      <c r="BI7" s="124"/>
      <c r="BJ7" s="121" t="str">
        <f t="shared" ca="1" si="67"/>
        <v/>
      </c>
      <c r="BK7" s="124"/>
      <c r="BL7" s="125" t="str">
        <f t="shared" ca="1" si="68"/>
        <v/>
      </c>
      <c r="BM7" s="137"/>
      <c r="BN7" s="6"/>
      <c r="BO7" s="164" t="str">
        <f t="shared" ca="1" si="25"/>
        <v/>
      </c>
      <c r="BP7" s="125" t="str">
        <f t="shared" ca="1" si="47"/>
        <v/>
      </c>
      <c r="BQ7" s="124"/>
      <c r="BR7" s="121" t="str">
        <f t="shared" ca="1" si="48"/>
        <v/>
      </c>
      <c r="BS7" s="124"/>
      <c r="BT7" s="125" t="str">
        <f t="shared" ca="1" si="49"/>
        <v/>
      </c>
      <c r="BU7" s="137"/>
      <c r="BV7" s="6"/>
      <c r="BW7" s="164" t="str">
        <f t="shared" ca="1" si="27"/>
        <v/>
      </c>
      <c r="BX7" s="125" t="str">
        <f t="shared" ca="1" si="50"/>
        <v/>
      </c>
      <c r="BY7" s="124"/>
      <c r="BZ7" s="121" t="str">
        <f t="shared" ca="1" si="51"/>
        <v/>
      </c>
      <c r="CA7" s="124"/>
      <c r="CB7" s="125" t="str">
        <f t="shared" ca="1" si="52"/>
        <v/>
      </c>
      <c r="CC7" s="137"/>
      <c r="CD7" s="6"/>
      <c r="CE7" s="164" t="str">
        <f t="shared" ca="1" si="29"/>
        <v/>
      </c>
      <c r="CF7" s="125" t="str">
        <f t="shared" ca="1" si="53"/>
        <v/>
      </c>
      <c r="CG7" s="124"/>
      <c r="CH7" s="121" t="str">
        <f t="shared" ca="1" si="54"/>
        <v/>
      </c>
      <c r="CI7" s="124"/>
      <c r="CJ7" s="125" t="str">
        <f t="shared" ca="1" si="55"/>
        <v/>
      </c>
      <c r="CK7" s="137"/>
      <c r="CL7" s="6"/>
      <c r="CM7" s="164" t="str">
        <f t="shared" ca="1" si="31"/>
        <v/>
      </c>
      <c r="CN7" s="125" t="str">
        <f t="shared" ca="1" si="56"/>
        <v/>
      </c>
      <c r="CO7" s="124"/>
      <c r="CP7" s="121" t="str">
        <f t="shared" ca="1" si="57"/>
        <v/>
      </c>
      <c r="CQ7" s="124"/>
      <c r="CR7" s="125" t="str">
        <f t="shared" ca="1" si="58"/>
        <v/>
      </c>
      <c r="CS7" s="137"/>
    </row>
    <row r="8" spans="1:97" s="2" customFormat="1" ht="12.75" customHeight="1" x14ac:dyDescent="0.2">
      <c r="A8" s="9" t="s">
        <v>4</v>
      </c>
      <c r="B8" s="10"/>
      <c r="C8" s="164" t="str">
        <f t="shared" ca="1" si="0"/>
        <v/>
      </c>
      <c r="D8" s="126" t="str">
        <f t="shared" ca="1" si="59"/>
        <v/>
      </c>
      <c r="E8" s="127"/>
      <c r="F8" s="126" t="str">
        <f t="shared" ca="1" si="60"/>
        <v/>
      </c>
      <c r="G8" s="127"/>
      <c r="H8" s="127" t="str">
        <f t="shared" ca="1" si="61"/>
        <v/>
      </c>
      <c r="I8" s="127"/>
      <c r="J8" s="51"/>
      <c r="K8" s="164" t="str">
        <f t="shared" ca="1" si="4"/>
        <v/>
      </c>
      <c r="L8" s="126" t="str">
        <f t="shared" ca="1" si="69"/>
        <v/>
      </c>
      <c r="M8" s="126"/>
      <c r="N8" s="126" t="str">
        <f t="shared" ca="1" si="70"/>
        <v/>
      </c>
      <c r="O8" s="126"/>
      <c r="P8" s="126" t="str">
        <f t="shared" ca="1" si="71"/>
        <v/>
      </c>
      <c r="Q8" s="126"/>
      <c r="R8" s="9"/>
      <c r="S8" s="164" t="str">
        <f t="shared" ca="1" si="8"/>
        <v/>
      </c>
      <c r="T8" s="126" t="str">
        <f t="shared" ca="1" si="72"/>
        <v/>
      </c>
      <c r="U8" s="126"/>
      <c r="V8" s="126" t="str">
        <f t="shared" ca="1" si="73"/>
        <v/>
      </c>
      <c r="W8" s="126"/>
      <c r="X8" s="126" t="str">
        <f t="shared" ca="1" si="74"/>
        <v/>
      </c>
      <c r="Y8" s="126"/>
      <c r="Z8" s="9"/>
      <c r="AA8" s="164" t="str">
        <f t="shared" ca="1" si="12"/>
        <v/>
      </c>
      <c r="AB8" s="126" t="str">
        <f t="shared" ref="AB8" ca="1" si="75">IF(Z8&gt;0,IF(INDIRECT("Basistabelle!D" &amp; $A$1+Z8+AA$1)&gt;"",INDIRECT("Basistabelle!D" &amp; $A$1+Z8+AA$1),""),"")</f>
        <v/>
      </c>
      <c r="AC8" s="127"/>
      <c r="AD8" s="126" t="str">
        <f t="shared" ref="AD8" ca="1" si="76">IF(Z8&gt;0,IF(INDIRECT("Basistabelle!E" &amp; $A$1+Z8+AA$1)&gt;"",INDIRECT("Basistabelle!E" &amp; $A$1+Z8+AA$1),""),"")</f>
        <v/>
      </c>
      <c r="AE8" s="127"/>
      <c r="AF8" s="127" t="str">
        <f t="shared" ref="AF8" ca="1" si="77">IF(Z8&gt;0,IF(INDIRECT("Basistabelle!F" &amp; $A$1+Z8+AA$1)&gt;"",INDIRECT("Basistabelle!F" &amp; $A$1+Z8+AA$1),""),"")</f>
        <v/>
      </c>
      <c r="AG8" s="126"/>
      <c r="AH8" s="9"/>
      <c r="AI8" s="164" t="str">
        <f t="shared" ca="1" si="65"/>
        <v/>
      </c>
      <c r="AJ8" s="126" t="str">
        <f t="shared" ca="1" si="16"/>
        <v/>
      </c>
      <c r="AK8" s="127"/>
      <c r="AL8" s="126" t="str">
        <f t="shared" ca="1" si="17"/>
        <v/>
      </c>
      <c r="AM8" s="127"/>
      <c r="AN8" s="127" t="str">
        <f t="shared" ca="1" si="18"/>
        <v/>
      </c>
      <c r="AO8" s="127"/>
      <c r="AP8" s="9"/>
      <c r="AQ8" s="164" t="str">
        <f t="shared" ca="1" si="19"/>
        <v/>
      </c>
      <c r="AR8" s="126" t="str">
        <f t="shared" ca="1" si="39"/>
        <v/>
      </c>
      <c r="AS8" s="126"/>
      <c r="AT8" s="126" t="str">
        <f t="shared" ca="1" si="40"/>
        <v/>
      </c>
      <c r="AU8" s="126"/>
      <c r="AV8" s="126" t="str">
        <f t="shared" ca="1" si="41"/>
        <v/>
      </c>
      <c r="AW8" s="126"/>
      <c r="AX8" s="9"/>
      <c r="AY8" s="164" t="str">
        <f t="shared" ca="1" si="21"/>
        <v/>
      </c>
      <c r="AZ8" s="126" t="str">
        <f t="shared" ca="1" si="42"/>
        <v/>
      </c>
      <c r="BA8" s="127"/>
      <c r="BB8" s="126" t="str">
        <f t="shared" ca="1" si="43"/>
        <v/>
      </c>
      <c r="BC8" s="127"/>
      <c r="BD8" s="127" t="str">
        <f t="shared" ca="1" si="44"/>
        <v/>
      </c>
      <c r="BE8" s="127"/>
      <c r="BF8" s="9"/>
      <c r="BG8" s="164" t="str">
        <f t="shared" ca="1" si="23"/>
        <v/>
      </c>
      <c r="BH8" s="126" t="str">
        <f t="shared" ca="1" si="66"/>
        <v/>
      </c>
      <c r="BI8" s="126"/>
      <c r="BJ8" s="126" t="str">
        <f t="shared" ca="1" si="67"/>
        <v/>
      </c>
      <c r="BK8" s="126"/>
      <c r="BL8" s="126" t="str">
        <f t="shared" ca="1" si="68"/>
        <v/>
      </c>
      <c r="BM8" s="126"/>
      <c r="BN8" s="9"/>
      <c r="BO8" s="164" t="str">
        <f t="shared" ca="1" si="25"/>
        <v/>
      </c>
      <c r="BP8" s="126" t="str">
        <f t="shared" ca="1" si="47"/>
        <v/>
      </c>
      <c r="BQ8" s="126"/>
      <c r="BR8" s="126" t="str">
        <f t="shared" ca="1" si="48"/>
        <v/>
      </c>
      <c r="BS8" s="126"/>
      <c r="BT8" s="126" t="str">
        <f t="shared" ca="1" si="49"/>
        <v/>
      </c>
      <c r="BU8" s="126"/>
      <c r="BV8" s="9"/>
      <c r="BW8" s="164" t="str">
        <f t="shared" ca="1" si="27"/>
        <v/>
      </c>
      <c r="BX8" s="126" t="str">
        <f t="shared" ca="1" si="50"/>
        <v/>
      </c>
      <c r="BY8" s="127"/>
      <c r="BZ8" s="126" t="str">
        <f t="shared" ca="1" si="51"/>
        <v/>
      </c>
      <c r="CA8" s="127"/>
      <c r="CB8" s="127" t="str">
        <f t="shared" ca="1" si="52"/>
        <v/>
      </c>
      <c r="CC8" s="127"/>
      <c r="CD8" s="9"/>
      <c r="CE8" s="164" t="str">
        <f t="shared" ca="1" si="29"/>
        <v/>
      </c>
      <c r="CF8" s="126" t="str">
        <f t="shared" ca="1" si="53"/>
        <v/>
      </c>
      <c r="CG8" s="126"/>
      <c r="CH8" s="126" t="str">
        <f t="shared" ca="1" si="54"/>
        <v/>
      </c>
      <c r="CI8" s="126"/>
      <c r="CJ8" s="126" t="str">
        <f t="shared" ca="1" si="55"/>
        <v/>
      </c>
      <c r="CK8" s="126"/>
      <c r="CL8" s="9"/>
      <c r="CM8" s="164" t="str">
        <f t="shared" ca="1" si="31"/>
        <v/>
      </c>
      <c r="CN8" s="126" t="str">
        <f t="shared" ca="1" si="56"/>
        <v/>
      </c>
      <c r="CO8" s="126"/>
      <c r="CP8" s="126" t="str">
        <f t="shared" ca="1" si="57"/>
        <v/>
      </c>
      <c r="CQ8" s="126"/>
      <c r="CR8" s="126" t="str">
        <f t="shared" ca="1" si="58"/>
        <v/>
      </c>
      <c r="CS8" s="140"/>
    </row>
    <row r="9" spans="1:97" s="2" customFormat="1" ht="12.75" customHeight="1" x14ac:dyDescent="0.2">
      <c r="A9" s="9" t="s">
        <v>5</v>
      </c>
      <c r="B9" s="10"/>
      <c r="C9" s="164" t="str">
        <f t="shared" ca="1" si="0"/>
        <v/>
      </c>
      <c r="D9" s="126" t="str">
        <f t="shared" ca="1" si="59"/>
        <v/>
      </c>
      <c r="E9" s="127"/>
      <c r="F9" s="126" t="str">
        <f t="shared" ca="1" si="60"/>
        <v/>
      </c>
      <c r="G9" s="127"/>
      <c r="H9" s="127" t="str">
        <f t="shared" ca="1" si="61"/>
        <v/>
      </c>
      <c r="I9" s="127"/>
      <c r="J9" s="51"/>
      <c r="K9" s="164" t="str">
        <f t="shared" ca="1" si="4"/>
        <v/>
      </c>
      <c r="L9" s="126" t="str">
        <f t="shared" ca="1" si="69"/>
        <v/>
      </c>
      <c r="M9" s="127"/>
      <c r="N9" s="126" t="str">
        <f t="shared" ca="1" si="70"/>
        <v/>
      </c>
      <c r="O9" s="127"/>
      <c r="P9" s="127" t="str">
        <f t="shared" ca="1" si="71"/>
        <v/>
      </c>
      <c r="Q9" s="126"/>
      <c r="R9" s="9"/>
      <c r="S9" s="164" t="str">
        <f t="shared" ca="1" si="8"/>
        <v/>
      </c>
      <c r="T9" s="126" t="str">
        <f t="shared" ref="T9" ca="1" si="78">IF(R9&gt;0,IF(INDIRECT("Basistabelle!D" &amp; $A$1+R9+S$1)&gt;"",INDIRECT("Basistabelle!D" &amp; $A$1+R9+S$1),""),"")</f>
        <v/>
      </c>
      <c r="U9" s="126"/>
      <c r="V9" s="126" t="str">
        <f t="shared" ref="V9" ca="1" si="79">IF(R9&gt;0,IF(INDIRECT("Basistabelle!E" &amp; $A$1+R9+S$1)&gt;"",INDIRECT("Basistabelle!E" &amp; $A$1+R9+S$1),""),"")</f>
        <v/>
      </c>
      <c r="W9" s="126"/>
      <c r="X9" s="126" t="str">
        <f t="shared" ref="X9" ca="1" si="80">IF(R9&gt;0,IF(INDIRECT("Basistabelle!F" &amp; $A$1+R9+S$1)&gt;"",INDIRECT("Basistabelle!F" &amp; $A$1+R9+S$1),""),"")</f>
        <v/>
      </c>
      <c r="Y9" s="126"/>
      <c r="Z9" s="9"/>
      <c r="AA9" s="164" t="str">
        <f t="shared" ca="1" si="12"/>
        <v/>
      </c>
      <c r="AB9" s="126" t="str">
        <f t="shared" ref="AB9:AB37" ca="1" si="81">IF(Z9&gt;0,IF(INDIRECT("Basistabelle!D" &amp; $A$1+Z9+AA$1)&gt;"",INDIRECT("Basistabelle!D" &amp; $A$1+Z9+AA$1),""),"")</f>
        <v/>
      </c>
      <c r="AC9" s="127"/>
      <c r="AD9" s="126" t="str">
        <f t="shared" ref="AD9:AD37" ca="1" si="82">IF(Z9&gt;0,IF(INDIRECT("Basistabelle!E" &amp; $A$1+Z9+AA$1)&gt;"",INDIRECT("Basistabelle!E" &amp; $A$1+Z9+AA$1),""),"")</f>
        <v/>
      </c>
      <c r="AE9" s="127"/>
      <c r="AF9" s="127" t="str">
        <f t="shared" ref="AF9:AF37" ca="1" si="83">IF(Z9&gt;0,IF(INDIRECT("Basistabelle!F" &amp; $A$1+Z9+AA$1)&gt;"",INDIRECT("Basistabelle!F" &amp; $A$1+Z9+AA$1),""),"")</f>
        <v/>
      </c>
      <c r="AG9" s="126"/>
      <c r="AH9" s="9"/>
      <c r="AI9" s="164" t="str">
        <f t="shared" ca="1" si="65"/>
        <v/>
      </c>
      <c r="AJ9" s="126" t="str">
        <f t="shared" ca="1" si="16"/>
        <v/>
      </c>
      <c r="AK9" s="127"/>
      <c r="AL9" s="126" t="str">
        <f t="shared" ca="1" si="17"/>
        <v/>
      </c>
      <c r="AM9" s="127"/>
      <c r="AN9" s="127" t="str">
        <f t="shared" ca="1" si="18"/>
        <v/>
      </c>
      <c r="AO9" s="127"/>
      <c r="AP9" s="9"/>
      <c r="AQ9" s="164" t="str">
        <f t="shared" ca="1" si="19"/>
        <v/>
      </c>
      <c r="AR9" s="126" t="str">
        <f t="shared" ca="1" si="39"/>
        <v/>
      </c>
      <c r="AS9" s="127"/>
      <c r="AT9" s="126" t="str">
        <f t="shared" ca="1" si="40"/>
        <v/>
      </c>
      <c r="AU9" s="127"/>
      <c r="AV9" s="127" t="str">
        <f t="shared" ca="1" si="41"/>
        <v/>
      </c>
      <c r="AW9" s="126"/>
      <c r="AX9" s="9"/>
      <c r="AY9" s="164" t="str">
        <f t="shared" ca="1" si="21"/>
        <v/>
      </c>
      <c r="AZ9" s="126" t="str">
        <f t="shared" ca="1" si="42"/>
        <v/>
      </c>
      <c r="BA9" s="127"/>
      <c r="BB9" s="126" t="str">
        <f t="shared" ca="1" si="43"/>
        <v/>
      </c>
      <c r="BC9" s="127"/>
      <c r="BD9" s="127" t="str">
        <f t="shared" ca="1" si="44"/>
        <v/>
      </c>
      <c r="BE9" s="126"/>
      <c r="BF9" s="9"/>
      <c r="BG9" s="164" t="str">
        <f t="shared" ca="1" si="23"/>
        <v/>
      </c>
      <c r="BH9" s="126" t="str">
        <f t="shared" ca="1" si="66"/>
        <v/>
      </c>
      <c r="BI9" s="127"/>
      <c r="BJ9" s="126" t="str">
        <f t="shared" ca="1" si="67"/>
        <v/>
      </c>
      <c r="BK9" s="127"/>
      <c r="BL9" s="127" t="str">
        <f t="shared" ca="1" si="68"/>
        <v/>
      </c>
      <c r="BM9" s="126"/>
      <c r="BN9" s="9"/>
      <c r="BO9" s="164" t="str">
        <f t="shared" ca="1" si="25"/>
        <v/>
      </c>
      <c r="BP9" s="126" t="str">
        <f t="shared" ca="1" si="47"/>
        <v/>
      </c>
      <c r="BQ9" s="127"/>
      <c r="BR9" s="126" t="str">
        <f t="shared" ca="1" si="48"/>
        <v/>
      </c>
      <c r="BS9" s="127"/>
      <c r="BT9" s="127" t="str">
        <f t="shared" ca="1" si="49"/>
        <v/>
      </c>
      <c r="BU9" s="126"/>
      <c r="BV9" s="9"/>
      <c r="BW9" s="164" t="str">
        <f t="shared" ca="1" si="27"/>
        <v/>
      </c>
      <c r="BX9" s="126" t="str">
        <f t="shared" ca="1" si="50"/>
        <v/>
      </c>
      <c r="BY9" s="127"/>
      <c r="BZ9" s="126" t="str">
        <f t="shared" ca="1" si="51"/>
        <v/>
      </c>
      <c r="CA9" s="127"/>
      <c r="CB9" s="127" t="str">
        <f t="shared" ca="1" si="52"/>
        <v/>
      </c>
      <c r="CC9" s="127"/>
      <c r="CD9" s="9"/>
      <c r="CE9" s="164" t="str">
        <f t="shared" ca="1" si="29"/>
        <v/>
      </c>
      <c r="CF9" s="126" t="str">
        <f t="shared" ca="1" si="53"/>
        <v/>
      </c>
      <c r="CG9" s="127"/>
      <c r="CH9" s="126" t="str">
        <f t="shared" ca="1" si="54"/>
        <v/>
      </c>
      <c r="CI9" s="127"/>
      <c r="CJ9" s="127" t="str">
        <f t="shared" ca="1" si="55"/>
        <v/>
      </c>
      <c r="CK9" s="126"/>
      <c r="CL9" s="9"/>
      <c r="CM9" s="164" t="str">
        <f t="shared" ca="1" si="31"/>
        <v/>
      </c>
      <c r="CN9" s="126" t="str">
        <f t="shared" ca="1" si="56"/>
        <v/>
      </c>
      <c r="CO9" s="127"/>
      <c r="CP9" s="126" t="str">
        <f t="shared" ca="1" si="57"/>
        <v/>
      </c>
      <c r="CQ9" s="127"/>
      <c r="CR9" s="127" t="str">
        <f t="shared" ca="1" si="58"/>
        <v/>
      </c>
      <c r="CS9" s="140"/>
    </row>
    <row r="10" spans="1:97" s="2" customFormat="1" ht="14.5" customHeight="1" x14ac:dyDescent="0.2">
      <c r="A10" s="6" t="s">
        <v>25</v>
      </c>
      <c r="B10" s="8"/>
      <c r="C10" s="164" t="str">
        <f t="shared" ca="1" si="0"/>
        <v/>
      </c>
      <c r="D10" s="157" t="str">
        <f t="shared" ca="1" si="59"/>
        <v/>
      </c>
      <c r="E10" s="124"/>
      <c r="F10" s="121" t="str">
        <f t="shared" ca="1" si="60"/>
        <v/>
      </c>
      <c r="G10" s="124"/>
      <c r="H10" s="157" t="str">
        <f t="shared" ca="1" si="61"/>
        <v/>
      </c>
      <c r="I10" s="124"/>
      <c r="J10" s="6"/>
      <c r="K10" s="164" t="str">
        <f t="shared" ca="1" si="4"/>
        <v/>
      </c>
      <c r="L10" s="157" t="str">
        <f t="shared" ca="1" si="69"/>
        <v/>
      </c>
      <c r="M10" s="124"/>
      <c r="N10" s="121" t="str">
        <f t="shared" ca="1" si="70"/>
        <v/>
      </c>
      <c r="O10" s="124"/>
      <c r="P10" s="157" t="str">
        <f t="shared" ca="1" si="71"/>
        <v/>
      </c>
      <c r="Q10" s="124"/>
      <c r="R10" s="18"/>
      <c r="S10" s="164" t="str">
        <f t="shared" ca="1" si="8"/>
        <v/>
      </c>
      <c r="T10" s="157" t="str">
        <f t="shared" ca="1" si="72"/>
        <v/>
      </c>
      <c r="U10" s="124"/>
      <c r="V10" s="121" t="str">
        <f t="shared" ca="1" si="73"/>
        <v/>
      </c>
      <c r="W10" s="124"/>
      <c r="X10" s="157" t="str">
        <f t="shared" ca="1" si="74"/>
        <v/>
      </c>
      <c r="Y10" s="124"/>
      <c r="Z10" s="18"/>
      <c r="AA10" s="164" t="str">
        <f t="shared" ca="1" si="12"/>
        <v/>
      </c>
      <c r="AB10" s="157" t="str">
        <f t="shared" ref="AB10" ca="1" si="84">IF(Z10&gt;0,IF(INDIRECT("Basistabelle!D" &amp; $A$1+Z10+AA$1)&gt;"",INDIRECT("Basistabelle!D" &amp; $A$1+Z10+AA$1),""),"")</f>
        <v/>
      </c>
      <c r="AC10" s="124"/>
      <c r="AD10" s="121" t="str">
        <f t="shared" ref="AD10" ca="1" si="85">IF(Z10&gt;0,IF(INDIRECT("Basistabelle!E" &amp; $A$1+Z10+AA$1)&gt;"",INDIRECT("Basistabelle!E" &amp; $A$1+Z10+AA$1),""),"")</f>
        <v/>
      </c>
      <c r="AE10" s="124"/>
      <c r="AF10" s="157" t="str">
        <f t="shared" ref="AF10" ca="1" si="86">IF(Z10&gt;0,IF(INDIRECT("Basistabelle!F" &amp; $A$1+Z10+AA$1)&gt;"",INDIRECT("Basistabelle!F" &amp; $A$1+Z10+AA$1),""),"")</f>
        <v/>
      </c>
      <c r="AG10" s="124"/>
      <c r="AH10" s="18"/>
      <c r="AI10" s="164" t="str">
        <f t="shared" ca="1" si="65"/>
        <v/>
      </c>
      <c r="AJ10" s="157" t="str">
        <f ca="1">IF(AH10&gt;0,IF(INDIRECT("Basistabelle!D" &amp; $A$1+AH10+AI$1)&gt;"",INDIRECT("Basistabelle!D" &amp; $A$1+AH10+AI$1),""),"")</f>
        <v/>
      </c>
      <c r="AK10" s="124"/>
      <c r="AL10" s="121" t="str">
        <f t="shared" ca="1" si="17"/>
        <v/>
      </c>
      <c r="AM10" s="124"/>
      <c r="AN10" s="157" t="str">
        <f t="shared" ca="1" si="18"/>
        <v/>
      </c>
      <c r="AO10" s="124"/>
      <c r="AP10" s="18"/>
      <c r="AQ10" s="164" t="str">
        <f t="shared" ca="1" si="19"/>
        <v/>
      </c>
      <c r="AR10" s="157" t="str">
        <f t="shared" ref="AR10" ca="1" si="87">IF(AP10&gt;0,IF(INDIRECT("Basistabelle!D" &amp; $A$1+AP10+AQ$1)&gt;"",INDIRECT("Basistabelle!D" &amp; $A$1+AP10+AQ$1),""),"")</f>
        <v/>
      </c>
      <c r="AS10" s="124"/>
      <c r="AT10" s="121" t="str">
        <f t="shared" ref="AT10" ca="1" si="88">IF(AP10&gt;0,IF(INDIRECT("Basistabelle!E" &amp; $A$1+AP10+AQ$1)&gt;"",INDIRECT("Basistabelle!E" &amp; $A$1+AP10+AQ$1),""),"")</f>
        <v/>
      </c>
      <c r="AU10" s="124"/>
      <c r="AV10" s="157" t="str">
        <f t="shared" ref="AV10" ca="1" si="89">IF(AP10&gt;0,IF(INDIRECT("Basistabelle!F" &amp; $A$1+AP10+AQ$1)&gt;"",INDIRECT("Basistabelle!F" &amp; $A$1+AP10+AQ$1),""),"")</f>
        <v/>
      </c>
      <c r="AW10" s="163"/>
      <c r="AX10" s="18"/>
      <c r="AY10" s="164" t="str">
        <f t="shared" ca="1" si="21"/>
        <v/>
      </c>
      <c r="AZ10" s="157" t="str">
        <f t="shared" ref="AZ10" ca="1" si="90">IF(AX10&gt;0,IF(INDIRECT("Basistabelle!D" &amp; $A$1+AX10+AY$1)&gt;"",INDIRECT("Basistabelle!D" &amp; $A$1+AX10+AY$1),""),"")</f>
        <v/>
      </c>
      <c r="BA10" s="124"/>
      <c r="BB10" s="121" t="str">
        <f t="shared" ref="BB10" ca="1" si="91">IF(AX10&gt;0,IF(INDIRECT("Basistabelle!E" &amp; $A$1+AX10+AY$1)&gt;"",INDIRECT("Basistabelle!E" &amp; $A$1+AX10+AY$1),""),"")</f>
        <v/>
      </c>
      <c r="BC10" s="124"/>
      <c r="BD10" s="157" t="str">
        <f t="shared" ref="BD10" ca="1" si="92">IF(AX10&gt;0,IF(INDIRECT("Basistabelle!F" &amp; $A$1+AX10+AY$1)&gt;"",INDIRECT("Basistabelle!F" &amp; $A$1+AX10+AY$1),""),"")</f>
        <v/>
      </c>
      <c r="BE10" s="124"/>
      <c r="BF10" s="21"/>
      <c r="BG10" s="164" t="str">
        <f t="shared" ca="1" si="23"/>
        <v/>
      </c>
      <c r="BH10" s="125" t="str">
        <f t="shared" ca="1" si="66"/>
        <v/>
      </c>
      <c r="BI10" s="124"/>
      <c r="BJ10" s="121" t="str">
        <f t="shared" ca="1" si="67"/>
        <v/>
      </c>
      <c r="BK10" s="124"/>
      <c r="BL10" s="125" t="str">
        <f t="shared" ca="1" si="68"/>
        <v/>
      </c>
      <c r="BM10" s="137"/>
      <c r="BN10" s="18"/>
      <c r="BO10" s="164" t="str">
        <f t="shared" ca="1" si="25"/>
        <v/>
      </c>
      <c r="BP10" s="157" t="str">
        <f t="shared" ca="1" si="47"/>
        <v/>
      </c>
      <c r="BQ10" s="124"/>
      <c r="BR10" s="121" t="str">
        <f t="shared" ca="1" si="48"/>
        <v/>
      </c>
      <c r="BS10" s="124"/>
      <c r="BT10" s="157" t="str">
        <f t="shared" ca="1" si="49"/>
        <v/>
      </c>
      <c r="BU10" s="124"/>
      <c r="BV10" s="6"/>
      <c r="BW10" s="164" t="str">
        <f t="shared" ca="1" si="27"/>
        <v/>
      </c>
      <c r="BX10" s="125" t="str">
        <f t="shared" ca="1" si="50"/>
        <v/>
      </c>
      <c r="BY10" s="124"/>
      <c r="BZ10" s="121" t="str">
        <f t="shared" ca="1" si="51"/>
        <v/>
      </c>
      <c r="CA10" s="124"/>
      <c r="CB10" s="125" t="str">
        <f t="shared" ca="1" si="52"/>
        <v/>
      </c>
      <c r="CC10" s="137"/>
      <c r="CD10" s="18"/>
      <c r="CE10" s="164" t="str">
        <f t="shared" ca="1" si="29"/>
        <v/>
      </c>
      <c r="CF10" s="157" t="str">
        <f t="shared" ca="1" si="53"/>
        <v/>
      </c>
      <c r="CG10" s="124"/>
      <c r="CH10" s="121" t="str">
        <f t="shared" ca="1" si="54"/>
        <v/>
      </c>
      <c r="CI10" s="124"/>
      <c r="CJ10" s="157" t="str">
        <f t="shared" ca="1" si="55"/>
        <v/>
      </c>
      <c r="CK10" s="124"/>
      <c r="CL10" s="6"/>
      <c r="CM10" s="164" t="str">
        <f t="shared" ca="1" si="31"/>
        <v/>
      </c>
      <c r="CN10" s="157" t="str">
        <f t="shared" ca="1" si="56"/>
        <v/>
      </c>
      <c r="CO10" s="124"/>
      <c r="CP10" s="121" t="str">
        <f t="shared" ca="1" si="57"/>
        <v/>
      </c>
      <c r="CQ10" s="124"/>
      <c r="CR10" s="157" t="str">
        <f t="shared" ca="1" si="58"/>
        <v/>
      </c>
      <c r="CS10" s="139"/>
    </row>
    <row r="11" spans="1:97" s="2" customFormat="1" ht="14.5" customHeight="1" x14ac:dyDescent="0.2">
      <c r="A11" s="6" t="s">
        <v>6</v>
      </c>
      <c r="B11" s="8"/>
      <c r="C11" s="164" t="str">
        <f t="shared" ca="1" si="0"/>
        <v/>
      </c>
      <c r="D11" s="157" t="str">
        <f t="shared" ca="1" si="59"/>
        <v/>
      </c>
      <c r="E11" s="124"/>
      <c r="F11" s="121" t="str">
        <f t="shared" ca="1" si="60"/>
        <v/>
      </c>
      <c r="G11" s="124"/>
      <c r="H11" s="157" t="str">
        <f t="shared" ca="1" si="61"/>
        <v/>
      </c>
      <c r="I11" s="124"/>
      <c r="J11" s="6"/>
      <c r="K11" s="164" t="str">
        <f t="shared" ca="1" si="4"/>
        <v/>
      </c>
      <c r="L11" s="125" t="str">
        <f t="shared" ref="L11:L33" ca="1" si="93">IF(J11&gt;0,IF(INDIRECT("Basistabelle!D" &amp; $A$1+J11+K$1)&gt;"",INDIRECT("Basistabelle!D" &amp; $A$1+J11+K$1),""),"")</f>
        <v/>
      </c>
      <c r="M11" s="124"/>
      <c r="N11" s="121" t="str">
        <f t="shared" ref="N11:N33" ca="1" si="94">IF(J11&gt;0,IF(INDIRECT("Basistabelle!E" &amp; $A$1+J11+K$1)&gt;"",INDIRECT("Basistabelle!E" &amp; $A$1+J11+K$1),""),"")</f>
        <v/>
      </c>
      <c r="O11" s="124"/>
      <c r="P11" s="125" t="str">
        <f t="shared" ref="P11:P33" ca="1" si="95">IF(J11&gt;0,IF(INDIRECT("Basistabelle!F" &amp; $A$1+J11+K$1)&gt;"",INDIRECT("Basistabelle!F" &amp; $A$1+J11+K$1),""),"")</f>
        <v/>
      </c>
      <c r="Q11" s="124"/>
      <c r="R11" s="6"/>
      <c r="S11" s="164" t="str">
        <f t="shared" ca="1" si="8"/>
        <v/>
      </c>
      <c r="T11" s="125" t="str">
        <f t="shared" ref="T11:T17" ca="1" si="96">IF(R11&gt;0,IF(INDIRECT("Basistabelle!D" &amp; $A$1+R11+S$1)&gt;"",INDIRECT("Basistabelle!D" &amp; $A$1+R11+S$1),""),"")</f>
        <v/>
      </c>
      <c r="U11" s="124"/>
      <c r="V11" s="121" t="str">
        <f t="shared" ref="V11:V17" ca="1" si="97">IF(R11&gt;0,IF(INDIRECT("Basistabelle!E" &amp; $A$1+R11+S$1)&gt;"",INDIRECT("Basistabelle!E" &amp; $A$1+R11+S$1),""),"")</f>
        <v/>
      </c>
      <c r="W11" s="124"/>
      <c r="X11" s="125" t="str">
        <f t="shared" ref="X11:X17" ca="1" si="98">IF(R11&gt;0,IF(INDIRECT("Basistabelle!F" &amp; $A$1+R11+S$1)&gt;"",INDIRECT("Basistabelle!F" &amp; $A$1+R11+S$1),""),"")</f>
        <v/>
      </c>
      <c r="Y11" s="124"/>
      <c r="Z11" s="6"/>
      <c r="AA11" s="164" t="str">
        <f t="shared" ca="1" si="12"/>
        <v/>
      </c>
      <c r="AB11" s="125" t="str">
        <f t="shared" ca="1" si="81"/>
        <v/>
      </c>
      <c r="AC11" s="124"/>
      <c r="AD11" s="121" t="str">
        <f t="shared" ca="1" si="82"/>
        <v/>
      </c>
      <c r="AE11" s="124"/>
      <c r="AF11" s="125" t="str">
        <f t="shared" ca="1" si="83"/>
        <v/>
      </c>
      <c r="AG11" s="124"/>
      <c r="AH11" s="6"/>
      <c r="AI11" s="164" t="str">
        <f t="shared" ca="1" si="65"/>
        <v/>
      </c>
      <c r="AJ11" s="125" t="str">
        <f ca="1">IF(AH11&gt;0,IF(INDIRECT("Basistabelle!D" &amp; $A$1+AH11+AI$1)&gt;"",INDIRECT("Basistabelle!D" &amp; $A$1+AH11+AI$1),""),"")</f>
        <v/>
      </c>
      <c r="AK11" s="124"/>
      <c r="AL11" s="121" t="str">
        <f t="shared" ref="AL11:AL39" ca="1" si="99">IF(AH11&gt;0,IF(INDIRECT("Basistabelle!E" &amp; $A$1+AH11+AI$1)&gt;"",INDIRECT("Basistabelle!E" &amp; $A$1+AH11+AI$1),""),"")</f>
        <v/>
      </c>
      <c r="AM11" s="124"/>
      <c r="AN11" s="125" t="str">
        <f t="shared" ref="AN11:AN16" ca="1" si="100">IF(AH11&gt;0,IF(INDIRECT("Basistabelle!F" &amp; $A$1+AH11+AI$1)&gt;"",INDIRECT("Basistabelle!F" &amp; $A$1+AH11+AI$1),""),"")</f>
        <v/>
      </c>
      <c r="AO11" s="124"/>
      <c r="AP11" s="6"/>
      <c r="AQ11" s="164" t="str">
        <f t="shared" ca="1" si="19"/>
        <v/>
      </c>
      <c r="AR11" s="125" t="str">
        <f t="shared" ref="AR11:AR17" ca="1" si="101">IF(AP11&gt;0,IF(INDIRECT("Basistabelle!D" &amp; $A$1+AP11+AQ$1)&gt;"",INDIRECT("Basistabelle!D" &amp; $A$1+AP11+AQ$1),""),"")</f>
        <v/>
      </c>
      <c r="AS11" s="124"/>
      <c r="AT11" s="121" t="str">
        <f t="shared" ref="AT11:AT17" ca="1" si="102">IF(AP11&gt;0,IF(INDIRECT("Basistabelle!E" &amp; $A$1+AP11+AQ$1)&gt;"",INDIRECT("Basistabelle!E" &amp; $A$1+AP11+AQ$1),""),"")</f>
        <v/>
      </c>
      <c r="AU11" s="124"/>
      <c r="AV11" s="125" t="str">
        <f t="shared" ref="AV11:AV17" ca="1" si="103">IF(AP11&gt;0,IF(INDIRECT("Basistabelle!F" &amp; $A$1+AP11+AQ$1)&gt;"",INDIRECT("Basistabelle!F" &amp; $A$1+AP11+AQ$1),""),"")</f>
        <v/>
      </c>
      <c r="AW11" s="124"/>
      <c r="AX11" s="6"/>
      <c r="AY11" s="164" t="str">
        <f t="shared" ca="1" si="21"/>
        <v/>
      </c>
      <c r="AZ11" s="125" t="str">
        <f t="shared" ca="1" si="42"/>
        <v/>
      </c>
      <c r="BA11" s="124"/>
      <c r="BB11" s="121" t="str">
        <f t="shared" ca="1" si="43"/>
        <v/>
      </c>
      <c r="BC11" s="124"/>
      <c r="BD11" s="125" t="str">
        <f t="shared" ca="1" si="44"/>
        <v/>
      </c>
      <c r="BE11" s="124"/>
      <c r="BF11" s="21"/>
      <c r="BG11" s="164" t="str">
        <f t="shared" ca="1" si="23"/>
        <v/>
      </c>
      <c r="BH11" s="125" t="str">
        <f t="shared" ca="1" si="66"/>
        <v/>
      </c>
      <c r="BI11" s="124"/>
      <c r="BJ11" s="121" t="str">
        <f t="shared" ca="1" si="67"/>
        <v/>
      </c>
      <c r="BK11" s="124"/>
      <c r="BL11" s="125" t="str">
        <f t="shared" ca="1" si="68"/>
        <v/>
      </c>
      <c r="BM11" s="124"/>
      <c r="BN11" s="6"/>
      <c r="BO11" s="164" t="str">
        <f t="shared" ca="1" si="25"/>
        <v/>
      </c>
      <c r="BP11" s="125" t="str">
        <f t="shared" ref="BP11:BP17" ca="1" si="104">IF(BN11&gt;0,IF(INDIRECT("Basistabelle!D" &amp; $A$1+BN11+BO$1)&gt;"",INDIRECT("Basistabelle!D" &amp; $A$1+BN11+BO$1),""),"")</f>
        <v/>
      </c>
      <c r="BQ11" s="124"/>
      <c r="BR11" s="121" t="str">
        <f t="shared" ref="BR11:BR17" ca="1" si="105">IF(BN11&gt;0,IF(INDIRECT("Basistabelle!E" &amp; $A$1+BN11+BO$1)&gt;"",INDIRECT("Basistabelle!E" &amp; $A$1+BN11+BO$1),""),"")</f>
        <v/>
      </c>
      <c r="BS11" s="124"/>
      <c r="BT11" s="125" t="str">
        <f t="shared" ref="BT11:BT17" ca="1" si="106">IF(BN11&gt;0,IF(INDIRECT("Basistabelle!F" &amp; $A$1+BN11+BO$1)&gt;"",INDIRECT("Basistabelle!F" &amp; $A$1+BN11+BO$1),""),"")</f>
        <v/>
      </c>
      <c r="BU11" s="124"/>
      <c r="BV11" s="6"/>
      <c r="BW11" s="164" t="str">
        <f t="shared" ca="1" si="27"/>
        <v/>
      </c>
      <c r="BX11" s="125" t="str">
        <f t="shared" ca="1" si="50"/>
        <v/>
      </c>
      <c r="BY11" s="124"/>
      <c r="BZ11" s="121" t="str">
        <f t="shared" ca="1" si="51"/>
        <v/>
      </c>
      <c r="CA11" s="124"/>
      <c r="CB11" s="125" t="str">
        <f t="shared" ca="1" si="52"/>
        <v/>
      </c>
      <c r="CC11" s="124"/>
      <c r="CD11" s="6"/>
      <c r="CE11" s="164" t="str">
        <f t="shared" ca="1" si="29"/>
        <v/>
      </c>
      <c r="CF11" s="125" t="str">
        <f t="shared" ref="CF11:CF16" ca="1" si="107">IF(CD11&gt;0,IF(INDIRECT("Basistabelle!D" &amp; $A$1+CD11+CE$1)&gt;"",INDIRECT("Basistabelle!D" &amp; $A$1+CD11+CE$1),""),"")</f>
        <v/>
      </c>
      <c r="CG11" s="124"/>
      <c r="CH11" s="121" t="str">
        <f t="shared" ref="CH11:CH16" ca="1" si="108">IF(CD11&gt;0,IF(INDIRECT("Basistabelle!E" &amp; $A$1+CD11+CE$1)&gt;"",INDIRECT("Basistabelle!E" &amp; $A$1+CD11+CE$1),""),"")</f>
        <v/>
      </c>
      <c r="CI11" s="124"/>
      <c r="CJ11" s="125" t="str">
        <f t="shared" ref="CJ11:CJ16" ca="1" si="109">IF(CD11&gt;0,IF(INDIRECT("Basistabelle!F" &amp; $A$1+CD11+CE$1)&gt;"",INDIRECT("Basistabelle!F" &amp; $A$1+CD11+CE$1),""),"")</f>
        <v/>
      </c>
      <c r="CK11" s="124"/>
      <c r="CL11" s="6"/>
      <c r="CM11" s="164" t="str">
        <f t="shared" ca="1" si="31"/>
        <v/>
      </c>
      <c r="CN11" s="125" t="str">
        <f t="shared" ref="CN11:CN16" ca="1" si="110">IF(CL11&gt;0,IF(INDIRECT("Basistabelle!D" &amp; $A$1+CL11+CM$1)&gt;"",INDIRECT("Basistabelle!D" &amp; $A$1+CL11+CM$1),""),"")</f>
        <v/>
      </c>
      <c r="CO11" s="124"/>
      <c r="CP11" s="121" t="str">
        <f t="shared" ref="CP11:CP16" ca="1" si="111">IF(CL11&gt;0,IF(INDIRECT("Basistabelle!E" &amp; $A$1+CL11+CM$1)&gt;"",INDIRECT("Basistabelle!E" &amp; $A$1+CL11+CM$1),""),"")</f>
        <v/>
      </c>
      <c r="CQ11" s="124"/>
      <c r="CR11" s="125" t="str">
        <f t="shared" ref="CR11:CR16" ca="1" si="112">IF(CL11&gt;0,IF(INDIRECT("Basistabelle!F" &amp; $A$1+CL11+CM$1)&gt;"",INDIRECT("Basistabelle!F" &amp; $A$1+CL11+CM$1),""),"")</f>
        <v/>
      </c>
      <c r="CS11" s="139"/>
    </row>
    <row r="12" spans="1:97" s="2" customFormat="1" x14ac:dyDescent="0.2">
      <c r="A12" s="6" t="s">
        <v>7</v>
      </c>
      <c r="B12" s="8"/>
      <c r="C12" s="164" t="str">
        <f t="shared" ca="1" si="0"/>
        <v/>
      </c>
      <c r="D12" s="125" t="str">
        <f t="shared" ref="D12:D17" ca="1" si="113">IF(B12&gt;0,IF(INDIRECT("Basistabelle!D" &amp; $A$1+B12+C$1)&gt;"",INDIRECT("Basistabelle!D" &amp; $A$1+B12+C$1),""),"")</f>
        <v/>
      </c>
      <c r="E12" s="124"/>
      <c r="F12" s="121" t="str">
        <f t="shared" ref="F12:F17" ca="1" si="114">IF(B12&gt;0,IF(INDIRECT("Basistabelle!E" &amp; $A$1+B12+C$1)&gt;"",INDIRECT("Basistabelle!E" &amp; $A$1+B12+C$1),""),"")</f>
        <v/>
      </c>
      <c r="G12" s="124"/>
      <c r="H12" s="125" t="str">
        <f t="shared" ref="H12:H17" ca="1" si="115">IF(B12&gt;0,IF(INDIRECT("Basistabelle!F" &amp; $A$1+B12+C$1)&gt;"",INDIRECT("Basistabelle!F" &amp; $A$1+B12+C$1),""),"")</f>
        <v/>
      </c>
      <c r="I12" s="124"/>
      <c r="J12" s="6"/>
      <c r="K12" s="164" t="str">
        <f t="shared" ca="1" si="4"/>
        <v/>
      </c>
      <c r="L12" s="125" t="str">
        <f t="shared" ca="1" si="93"/>
        <v/>
      </c>
      <c r="M12" s="124"/>
      <c r="N12" s="121" t="str">
        <f t="shared" ca="1" si="94"/>
        <v/>
      </c>
      <c r="O12" s="124"/>
      <c r="P12" s="125" t="str">
        <f t="shared" ca="1" si="95"/>
        <v/>
      </c>
      <c r="Q12" s="124"/>
      <c r="R12" s="6"/>
      <c r="S12" s="164" t="str">
        <f t="shared" ca="1" si="8"/>
        <v/>
      </c>
      <c r="T12" s="125" t="str">
        <f t="shared" ca="1" si="96"/>
        <v/>
      </c>
      <c r="U12" s="124"/>
      <c r="V12" s="121" t="str">
        <f t="shared" ca="1" si="97"/>
        <v/>
      </c>
      <c r="W12" s="124"/>
      <c r="X12" s="125" t="str">
        <f t="shared" ca="1" si="98"/>
        <v/>
      </c>
      <c r="Y12" s="124"/>
      <c r="Z12" s="6"/>
      <c r="AA12" s="164" t="str">
        <f t="shared" ca="1" si="12"/>
        <v/>
      </c>
      <c r="AB12" s="125" t="str">
        <f t="shared" ca="1" si="81"/>
        <v/>
      </c>
      <c r="AC12" s="124"/>
      <c r="AD12" s="121" t="str">
        <f t="shared" ca="1" si="82"/>
        <v/>
      </c>
      <c r="AE12" s="124"/>
      <c r="AF12" s="125" t="str">
        <f t="shared" ca="1" si="83"/>
        <v/>
      </c>
      <c r="AG12" s="124"/>
      <c r="AH12" s="6"/>
      <c r="AI12" s="164" t="str">
        <f t="shared" ca="1" si="65"/>
        <v/>
      </c>
      <c r="AJ12" s="125" t="str">
        <f t="shared" ref="AJ12:AJ16" ca="1" si="116">IF(AH12&gt;0,IF(INDIRECT("Basistabelle!D" &amp; $A$1+AH12+AI$1)&gt;"",INDIRECT("Basistabelle!D" &amp; $A$1+AH12+AI$1),""),"")</f>
        <v/>
      </c>
      <c r="AK12" s="124"/>
      <c r="AL12" s="121" t="str">
        <f t="shared" ca="1" si="99"/>
        <v/>
      </c>
      <c r="AM12" s="124"/>
      <c r="AN12" s="125" t="str">
        <f t="shared" ca="1" si="100"/>
        <v/>
      </c>
      <c r="AO12" s="124"/>
      <c r="AP12" s="6"/>
      <c r="AQ12" s="164" t="str">
        <f t="shared" ca="1" si="19"/>
        <v/>
      </c>
      <c r="AR12" s="125" t="str">
        <f t="shared" ca="1" si="101"/>
        <v/>
      </c>
      <c r="AS12" s="124"/>
      <c r="AT12" s="121" t="str">
        <f t="shared" ca="1" si="102"/>
        <v/>
      </c>
      <c r="AU12" s="124"/>
      <c r="AV12" s="125" t="str">
        <f t="shared" ca="1" si="103"/>
        <v/>
      </c>
      <c r="AW12" s="124"/>
      <c r="AX12" s="6"/>
      <c r="AY12" s="164" t="str">
        <f t="shared" ca="1" si="21"/>
        <v/>
      </c>
      <c r="AZ12" s="125" t="str">
        <f t="shared" ca="1" si="42"/>
        <v/>
      </c>
      <c r="BA12" s="124"/>
      <c r="BB12" s="121" t="str">
        <f t="shared" ca="1" si="43"/>
        <v/>
      </c>
      <c r="BC12" s="124"/>
      <c r="BD12" s="125" t="str">
        <f t="shared" ca="1" si="44"/>
        <v/>
      </c>
      <c r="BE12" s="124"/>
      <c r="BF12" s="21"/>
      <c r="BG12" s="164" t="str">
        <f t="shared" ca="1" si="23"/>
        <v/>
      </c>
      <c r="BH12" s="125" t="str">
        <f t="shared" ca="1" si="66"/>
        <v/>
      </c>
      <c r="BI12" s="124"/>
      <c r="BJ12" s="121" t="str">
        <f t="shared" ca="1" si="67"/>
        <v/>
      </c>
      <c r="BK12" s="124"/>
      <c r="BL12" s="125" t="str">
        <f t="shared" ca="1" si="68"/>
        <v/>
      </c>
      <c r="BM12" s="124"/>
      <c r="BN12" s="6"/>
      <c r="BO12" s="164" t="str">
        <f t="shared" ca="1" si="25"/>
        <v/>
      </c>
      <c r="BP12" s="125" t="str">
        <f t="shared" ca="1" si="104"/>
        <v/>
      </c>
      <c r="BQ12" s="124"/>
      <c r="BR12" s="121" t="str">
        <f t="shared" ca="1" si="105"/>
        <v/>
      </c>
      <c r="BS12" s="124"/>
      <c r="BT12" s="125" t="str">
        <f t="shared" ca="1" si="106"/>
        <v/>
      </c>
      <c r="BU12" s="124"/>
      <c r="BV12" s="6"/>
      <c r="BW12" s="164" t="str">
        <f t="shared" ca="1" si="27"/>
        <v/>
      </c>
      <c r="BX12" s="125" t="str">
        <f t="shared" ca="1" si="50"/>
        <v/>
      </c>
      <c r="BY12" s="124"/>
      <c r="BZ12" s="121" t="str">
        <f t="shared" ca="1" si="51"/>
        <v/>
      </c>
      <c r="CA12" s="124"/>
      <c r="CB12" s="125" t="str">
        <f t="shared" ca="1" si="52"/>
        <v/>
      </c>
      <c r="CC12" s="124"/>
      <c r="CD12" s="6"/>
      <c r="CE12" s="164" t="str">
        <f t="shared" ca="1" si="29"/>
        <v/>
      </c>
      <c r="CF12" s="125" t="str">
        <f t="shared" ca="1" si="107"/>
        <v/>
      </c>
      <c r="CG12" s="124"/>
      <c r="CH12" s="121" t="str">
        <f t="shared" ca="1" si="108"/>
        <v/>
      </c>
      <c r="CI12" s="124"/>
      <c r="CJ12" s="125" t="str">
        <f t="shared" ca="1" si="109"/>
        <v/>
      </c>
      <c r="CK12" s="124"/>
      <c r="CL12" s="6"/>
      <c r="CM12" s="164" t="str">
        <f t="shared" ca="1" si="31"/>
        <v/>
      </c>
      <c r="CN12" s="125" t="str">
        <f t="shared" ca="1" si="110"/>
        <v/>
      </c>
      <c r="CO12" s="124"/>
      <c r="CP12" s="121" t="str">
        <f t="shared" ca="1" si="111"/>
        <v/>
      </c>
      <c r="CQ12" s="124"/>
      <c r="CR12" s="125" t="str">
        <f t="shared" ca="1" si="112"/>
        <v/>
      </c>
      <c r="CS12" s="139"/>
    </row>
    <row r="13" spans="1:97" s="2" customFormat="1" x14ac:dyDescent="0.2">
      <c r="A13" s="6" t="s">
        <v>8</v>
      </c>
      <c r="B13" s="8"/>
      <c r="C13" s="164" t="str">
        <f t="shared" ca="1" si="0"/>
        <v/>
      </c>
      <c r="D13" s="125" t="str">
        <f t="shared" ca="1" si="113"/>
        <v/>
      </c>
      <c r="E13" s="124"/>
      <c r="F13" s="121" t="str">
        <f t="shared" ca="1" si="114"/>
        <v/>
      </c>
      <c r="G13" s="124"/>
      <c r="H13" s="125" t="str">
        <f t="shared" ca="1" si="115"/>
        <v/>
      </c>
      <c r="I13" s="124"/>
      <c r="J13" s="6"/>
      <c r="K13" s="164" t="str">
        <f t="shared" ca="1" si="4"/>
        <v/>
      </c>
      <c r="L13" s="125" t="str">
        <f t="shared" ca="1" si="93"/>
        <v/>
      </c>
      <c r="M13" s="124"/>
      <c r="N13" s="121" t="str">
        <f t="shared" ca="1" si="94"/>
        <v/>
      </c>
      <c r="O13" s="124"/>
      <c r="P13" s="125" t="str">
        <f t="shared" ca="1" si="95"/>
        <v/>
      </c>
      <c r="Q13" s="124"/>
      <c r="R13" s="6"/>
      <c r="S13" s="164" t="str">
        <f t="shared" ca="1" si="8"/>
        <v/>
      </c>
      <c r="T13" s="125" t="str">
        <f t="shared" ca="1" si="96"/>
        <v/>
      </c>
      <c r="U13" s="124"/>
      <c r="V13" s="121" t="str">
        <f t="shared" ca="1" si="97"/>
        <v/>
      </c>
      <c r="W13" s="124"/>
      <c r="X13" s="125" t="str">
        <f t="shared" ca="1" si="98"/>
        <v/>
      </c>
      <c r="Y13" s="124"/>
      <c r="Z13" s="6"/>
      <c r="AA13" s="164" t="str">
        <f t="shared" ca="1" si="12"/>
        <v/>
      </c>
      <c r="AB13" s="125" t="str">
        <f t="shared" ca="1" si="81"/>
        <v/>
      </c>
      <c r="AC13" s="124"/>
      <c r="AD13" s="121" t="str">
        <f t="shared" ca="1" si="82"/>
        <v/>
      </c>
      <c r="AE13" s="124"/>
      <c r="AF13" s="125" t="str">
        <f t="shared" ca="1" si="83"/>
        <v/>
      </c>
      <c r="AG13" s="124"/>
      <c r="AH13" s="6"/>
      <c r="AI13" s="164" t="str">
        <f t="shared" ca="1" si="65"/>
        <v/>
      </c>
      <c r="AJ13" s="125" t="str">
        <f t="shared" ca="1" si="116"/>
        <v/>
      </c>
      <c r="AK13" s="124"/>
      <c r="AL13" s="121" t="str">
        <f t="shared" ca="1" si="99"/>
        <v/>
      </c>
      <c r="AM13" s="124"/>
      <c r="AN13" s="125" t="str">
        <f t="shared" ca="1" si="100"/>
        <v/>
      </c>
      <c r="AO13" s="124"/>
      <c r="AP13" s="6"/>
      <c r="AQ13" s="164" t="str">
        <f t="shared" ca="1" si="19"/>
        <v/>
      </c>
      <c r="AR13" s="125" t="str">
        <f t="shared" ca="1" si="101"/>
        <v/>
      </c>
      <c r="AS13" s="124"/>
      <c r="AT13" s="121" t="str">
        <f t="shared" ca="1" si="102"/>
        <v/>
      </c>
      <c r="AU13" s="124"/>
      <c r="AV13" s="125" t="str">
        <f t="shared" ca="1" si="103"/>
        <v/>
      </c>
      <c r="AW13" s="124"/>
      <c r="AX13" s="6"/>
      <c r="AY13" s="164" t="str">
        <f t="shared" ca="1" si="21"/>
        <v/>
      </c>
      <c r="AZ13" s="125" t="str">
        <f t="shared" ca="1" si="42"/>
        <v/>
      </c>
      <c r="BA13" s="124"/>
      <c r="BB13" s="121" t="str">
        <f t="shared" ca="1" si="43"/>
        <v/>
      </c>
      <c r="BC13" s="124"/>
      <c r="BD13" s="125" t="str">
        <f t="shared" ca="1" si="44"/>
        <v/>
      </c>
      <c r="BE13" s="124"/>
      <c r="BF13" s="21"/>
      <c r="BG13" s="164" t="str">
        <f t="shared" ca="1" si="23"/>
        <v/>
      </c>
      <c r="BH13" s="125" t="str">
        <f t="shared" ca="1" si="66"/>
        <v/>
      </c>
      <c r="BI13" s="124"/>
      <c r="BJ13" s="121" t="str">
        <f t="shared" ca="1" si="67"/>
        <v/>
      </c>
      <c r="BK13" s="124"/>
      <c r="BL13" s="125" t="str">
        <f t="shared" ca="1" si="68"/>
        <v/>
      </c>
      <c r="BM13" s="124"/>
      <c r="BN13" s="6"/>
      <c r="BO13" s="164" t="str">
        <f t="shared" ca="1" si="25"/>
        <v/>
      </c>
      <c r="BP13" s="125" t="str">
        <f t="shared" ca="1" si="104"/>
        <v/>
      </c>
      <c r="BQ13" s="124"/>
      <c r="BR13" s="121" t="str">
        <f t="shared" ca="1" si="105"/>
        <v/>
      </c>
      <c r="BS13" s="124"/>
      <c r="BT13" s="125" t="str">
        <f t="shared" ca="1" si="106"/>
        <v/>
      </c>
      <c r="BU13" s="124"/>
      <c r="BV13" s="6"/>
      <c r="BW13" s="164" t="str">
        <f t="shared" ca="1" si="27"/>
        <v/>
      </c>
      <c r="BX13" s="125" t="str">
        <f t="shared" ca="1" si="50"/>
        <v/>
      </c>
      <c r="BY13" s="124"/>
      <c r="BZ13" s="121" t="str">
        <f t="shared" ca="1" si="51"/>
        <v/>
      </c>
      <c r="CA13" s="124"/>
      <c r="CB13" s="125" t="str">
        <f t="shared" ca="1" si="52"/>
        <v/>
      </c>
      <c r="CC13" s="124"/>
      <c r="CD13" s="6"/>
      <c r="CE13" s="164" t="str">
        <f t="shared" ca="1" si="29"/>
        <v/>
      </c>
      <c r="CF13" s="125" t="str">
        <f t="shared" ca="1" si="107"/>
        <v/>
      </c>
      <c r="CG13" s="124"/>
      <c r="CH13" s="121" t="str">
        <f t="shared" ca="1" si="108"/>
        <v/>
      </c>
      <c r="CI13" s="124"/>
      <c r="CJ13" s="125" t="str">
        <f t="shared" ca="1" si="109"/>
        <v/>
      </c>
      <c r="CK13" s="124"/>
      <c r="CL13" s="6"/>
      <c r="CM13" s="164" t="str">
        <f t="shared" ca="1" si="31"/>
        <v/>
      </c>
      <c r="CN13" s="125" t="str">
        <f t="shared" ca="1" si="110"/>
        <v/>
      </c>
      <c r="CO13" s="124"/>
      <c r="CP13" s="121" t="str">
        <f t="shared" ca="1" si="111"/>
        <v/>
      </c>
      <c r="CQ13" s="124"/>
      <c r="CR13" s="125" t="str">
        <f t="shared" ca="1" si="112"/>
        <v/>
      </c>
      <c r="CS13" s="139"/>
    </row>
    <row r="14" spans="1:97" s="2" customFormat="1" x14ac:dyDescent="0.2">
      <c r="A14" s="6" t="s">
        <v>3</v>
      </c>
      <c r="B14" s="8"/>
      <c r="C14" s="164" t="str">
        <f t="shared" ca="1" si="0"/>
        <v/>
      </c>
      <c r="D14" s="125" t="str">
        <f t="shared" ca="1" si="113"/>
        <v/>
      </c>
      <c r="E14" s="124"/>
      <c r="F14" s="121" t="str">
        <f t="shared" ca="1" si="114"/>
        <v/>
      </c>
      <c r="G14" s="124"/>
      <c r="H14" s="125" t="str">
        <f t="shared" ca="1" si="115"/>
        <v/>
      </c>
      <c r="I14" s="124"/>
      <c r="J14" s="6"/>
      <c r="K14" s="164" t="str">
        <f t="shared" ca="1" si="4"/>
        <v/>
      </c>
      <c r="L14" s="125" t="str">
        <f t="shared" ca="1" si="93"/>
        <v/>
      </c>
      <c r="M14" s="124"/>
      <c r="N14" s="121" t="str">
        <f t="shared" ca="1" si="94"/>
        <v/>
      </c>
      <c r="O14" s="124"/>
      <c r="P14" s="125" t="str">
        <f t="shared" ca="1" si="95"/>
        <v/>
      </c>
      <c r="Q14" s="124"/>
      <c r="R14" s="6"/>
      <c r="S14" s="164" t="str">
        <f t="shared" ca="1" si="8"/>
        <v/>
      </c>
      <c r="T14" s="125" t="str">
        <f t="shared" ca="1" si="96"/>
        <v/>
      </c>
      <c r="U14" s="124"/>
      <c r="V14" s="121" t="str">
        <f t="shared" ca="1" si="97"/>
        <v/>
      </c>
      <c r="W14" s="124"/>
      <c r="X14" s="125" t="str">
        <f t="shared" ca="1" si="98"/>
        <v/>
      </c>
      <c r="Y14" s="124"/>
      <c r="Z14" s="6"/>
      <c r="AA14" s="164" t="str">
        <f t="shared" ca="1" si="12"/>
        <v/>
      </c>
      <c r="AB14" s="125" t="str">
        <f t="shared" ca="1" si="81"/>
        <v/>
      </c>
      <c r="AC14" s="124"/>
      <c r="AD14" s="121" t="str">
        <f t="shared" ca="1" si="82"/>
        <v/>
      </c>
      <c r="AE14" s="124"/>
      <c r="AF14" s="125" t="str">
        <f t="shared" ca="1" si="83"/>
        <v/>
      </c>
      <c r="AG14" s="124"/>
      <c r="AH14" s="6"/>
      <c r="AI14" s="164" t="str">
        <f t="shared" ca="1" si="65"/>
        <v/>
      </c>
      <c r="AJ14" s="125" t="str">
        <f t="shared" ca="1" si="116"/>
        <v/>
      </c>
      <c r="AK14" s="124"/>
      <c r="AL14" s="121" t="str">
        <f t="shared" ca="1" si="99"/>
        <v/>
      </c>
      <c r="AM14" s="124"/>
      <c r="AN14" s="125" t="str">
        <f t="shared" ca="1" si="100"/>
        <v/>
      </c>
      <c r="AO14" s="124"/>
      <c r="AP14" s="6"/>
      <c r="AQ14" s="164" t="str">
        <f t="shared" ca="1" si="19"/>
        <v/>
      </c>
      <c r="AR14" s="125" t="str">
        <f t="shared" ca="1" si="101"/>
        <v/>
      </c>
      <c r="AS14" s="124"/>
      <c r="AT14" s="121" t="str">
        <f t="shared" ca="1" si="102"/>
        <v/>
      </c>
      <c r="AU14" s="124"/>
      <c r="AV14" s="125" t="str">
        <f t="shared" ca="1" si="103"/>
        <v/>
      </c>
      <c r="AW14" s="124"/>
      <c r="AX14" s="6"/>
      <c r="AY14" s="164" t="str">
        <f t="shared" ca="1" si="21"/>
        <v/>
      </c>
      <c r="AZ14" s="125" t="str">
        <f t="shared" ca="1" si="42"/>
        <v/>
      </c>
      <c r="BA14" s="124"/>
      <c r="BB14" s="121" t="str">
        <f t="shared" ca="1" si="43"/>
        <v/>
      </c>
      <c r="BC14" s="124"/>
      <c r="BD14" s="125" t="str">
        <f t="shared" ca="1" si="44"/>
        <v/>
      </c>
      <c r="BE14" s="124"/>
      <c r="BF14" s="21"/>
      <c r="BG14" s="164" t="str">
        <f t="shared" ca="1" si="23"/>
        <v/>
      </c>
      <c r="BH14" s="125" t="str">
        <f t="shared" ca="1" si="66"/>
        <v/>
      </c>
      <c r="BI14" s="124"/>
      <c r="BJ14" s="121" t="str">
        <f t="shared" ca="1" si="67"/>
        <v/>
      </c>
      <c r="BK14" s="124"/>
      <c r="BL14" s="125" t="str">
        <f t="shared" ca="1" si="68"/>
        <v/>
      </c>
      <c r="BM14" s="124"/>
      <c r="BN14" s="6"/>
      <c r="BO14" s="164" t="str">
        <f t="shared" ca="1" si="25"/>
        <v/>
      </c>
      <c r="BP14" s="125" t="str">
        <f t="shared" ca="1" si="104"/>
        <v/>
      </c>
      <c r="BQ14" s="124"/>
      <c r="BR14" s="121" t="str">
        <f t="shared" ca="1" si="105"/>
        <v/>
      </c>
      <c r="BS14" s="124"/>
      <c r="BT14" s="125" t="str">
        <f t="shared" ca="1" si="106"/>
        <v/>
      </c>
      <c r="BU14" s="124"/>
      <c r="BV14" s="6"/>
      <c r="BW14" s="164" t="str">
        <f t="shared" ca="1" si="27"/>
        <v/>
      </c>
      <c r="BX14" s="125" t="str">
        <f t="shared" ca="1" si="50"/>
        <v/>
      </c>
      <c r="BY14" s="124"/>
      <c r="BZ14" s="121" t="str">
        <f t="shared" ca="1" si="51"/>
        <v/>
      </c>
      <c r="CA14" s="124"/>
      <c r="CB14" s="125" t="str">
        <f t="shared" ca="1" si="52"/>
        <v/>
      </c>
      <c r="CC14" s="124"/>
      <c r="CD14" s="6"/>
      <c r="CE14" s="164" t="str">
        <f t="shared" ca="1" si="29"/>
        <v/>
      </c>
      <c r="CF14" s="125" t="str">
        <f t="shared" ca="1" si="107"/>
        <v/>
      </c>
      <c r="CG14" s="124"/>
      <c r="CH14" s="121" t="str">
        <f t="shared" ca="1" si="108"/>
        <v/>
      </c>
      <c r="CI14" s="124"/>
      <c r="CJ14" s="125" t="str">
        <f t="shared" ca="1" si="109"/>
        <v/>
      </c>
      <c r="CK14" s="124"/>
      <c r="CL14" s="6"/>
      <c r="CM14" s="164" t="str">
        <f t="shared" ca="1" si="31"/>
        <v/>
      </c>
      <c r="CN14" s="156" t="str">
        <f t="shared" ca="1" si="110"/>
        <v/>
      </c>
      <c r="CO14" s="124"/>
      <c r="CP14" s="121" t="str">
        <f t="shared" ca="1" si="111"/>
        <v/>
      </c>
      <c r="CQ14" s="124"/>
      <c r="CR14" s="156" t="str">
        <f t="shared" ca="1" si="112"/>
        <v/>
      </c>
      <c r="CS14" s="139"/>
    </row>
    <row r="15" spans="1:97" s="2" customFormat="1" ht="14.5" customHeight="1" x14ac:dyDescent="0.2">
      <c r="A15" s="51" t="s">
        <v>4</v>
      </c>
      <c r="B15" s="52"/>
      <c r="C15" s="164" t="str">
        <f t="shared" ca="1" si="0"/>
        <v/>
      </c>
      <c r="D15" s="126" t="str">
        <f t="shared" ca="1" si="113"/>
        <v/>
      </c>
      <c r="E15" s="127"/>
      <c r="F15" s="126" t="str">
        <f t="shared" ca="1" si="114"/>
        <v/>
      </c>
      <c r="G15" s="127"/>
      <c r="H15" s="127" t="str">
        <f t="shared" ca="1" si="115"/>
        <v/>
      </c>
      <c r="I15" s="127"/>
      <c r="J15" s="51"/>
      <c r="K15" s="164" t="str">
        <f t="shared" ca="1" si="4"/>
        <v/>
      </c>
      <c r="L15" s="126" t="str">
        <f t="shared" ca="1" si="93"/>
        <v/>
      </c>
      <c r="M15" s="127"/>
      <c r="N15" s="126" t="str">
        <f t="shared" ca="1" si="94"/>
        <v/>
      </c>
      <c r="O15" s="127"/>
      <c r="P15" s="127" t="str">
        <f t="shared" ca="1" si="95"/>
        <v/>
      </c>
      <c r="Q15" s="127"/>
      <c r="R15" s="9"/>
      <c r="S15" s="164" t="str">
        <f t="shared" ca="1" si="8"/>
        <v/>
      </c>
      <c r="T15" s="126" t="str">
        <f t="shared" ca="1" si="96"/>
        <v/>
      </c>
      <c r="U15" s="127"/>
      <c r="V15" s="126" t="str">
        <f t="shared" ca="1" si="97"/>
        <v/>
      </c>
      <c r="W15" s="127"/>
      <c r="X15" s="127" t="str">
        <f t="shared" ca="1" si="98"/>
        <v/>
      </c>
      <c r="Y15" s="127"/>
      <c r="Z15" s="9"/>
      <c r="AA15" s="164" t="str">
        <f t="shared" ca="1" si="12"/>
        <v/>
      </c>
      <c r="AB15" s="126" t="str">
        <f t="shared" ca="1" si="81"/>
        <v/>
      </c>
      <c r="AC15" s="127"/>
      <c r="AD15" s="126" t="str">
        <f t="shared" ca="1" si="82"/>
        <v/>
      </c>
      <c r="AE15" s="127"/>
      <c r="AF15" s="127" t="str">
        <f t="shared" ca="1" si="83"/>
        <v/>
      </c>
      <c r="AG15" s="127"/>
      <c r="AH15" s="9"/>
      <c r="AI15" s="164" t="str">
        <f t="shared" ca="1" si="65"/>
        <v/>
      </c>
      <c r="AJ15" s="126" t="str">
        <f t="shared" ca="1" si="116"/>
        <v/>
      </c>
      <c r="AK15" s="127"/>
      <c r="AL15" s="126" t="str">
        <f t="shared" ca="1" si="99"/>
        <v/>
      </c>
      <c r="AM15" s="127"/>
      <c r="AN15" s="127" t="str">
        <f t="shared" ca="1" si="100"/>
        <v/>
      </c>
      <c r="AO15" s="127"/>
      <c r="AP15" s="9"/>
      <c r="AQ15" s="164" t="str">
        <f t="shared" ca="1" si="19"/>
        <v/>
      </c>
      <c r="AR15" s="126" t="str">
        <f t="shared" ca="1" si="101"/>
        <v/>
      </c>
      <c r="AS15" s="127"/>
      <c r="AT15" s="126" t="str">
        <f t="shared" ca="1" si="102"/>
        <v/>
      </c>
      <c r="AU15" s="127"/>
      <c r="AV15" s="127" t="str">
        <f t="shared" ca="1" si="103"/>
        <v/>
      </c>
      <c r="AW15" s="127"/>
      <c r="AX15" s="9"/>
      <c r="AY15" s="164" t="str">
        <f t="shared" ca="1" si="21"/>
        <v/>
      </c>
      <c r="AZ15" s="126" t="str">
        <f t="shared" ca="1" si="42"/>
        <v/>
      </c>
      <c r="BA15" s="127"/>
      <c r="BB15" s="126" t="str">
        <f t="shared" ca="1" si="43"/>
        <v/>
      </c>
      <c r="BC15" s="127"/>
      <c r="BD15" s="127" t="str">
        <f t="shared" ca="1" si="44"/>
        <v/>
      </c>
      <c r="BE15" s="127"/>
      <c r="BF15" s="22"/>
      <c r="BG15" s="164" t="str">
        <f t="shared" ca="1" si="23"/>
        <v/>
      </c>
      <c r="BH15" s="126" t="str">
        <f t="shared" ca="1" si="66"/>
        <v/>
      </c>
      <c r="BI15" s="127"/>
      <c r="BJ15" s="126" t="str">
        <f t="shared" ca="1" si="67"/>
        <v/>
      </c>
      <c r="BK15" s="127"/>
      <c r="BL15" s="127" t="str">
        <f t="shared" ca="1" si="68"/>
        <v/>
      </c>
      <c r="BM15" s="127"/>
      <c r="BN15" s="9"/>
      <c r="BO15" s="164" t="str">
        <f t="shared" ca="1" si="25"/>
        <v/>
      </c>
      <c r="BP15" s="126" t="str">
        <f t="shared" ca="1" si="104"/>
        <v/>
      </c>
      <c r="BQ15" s="127"/>
      <c r="BR15" s="126" t="str">
        <f t="shared" ca="1" si="105"/>
        <v/>
      </c>
      <c r="BS15" s="127"/>
      <c r="BT15" s="127" t="str">
        <f t="shared" ca="1" si="106"/>
        <v/>
      </c>
      <c r="BU15" s="127"/>
      <c r="BV15" s="9"/>
      <c r="BW15" s="164" t="str">
        <f t="shared" ca="1" si="27"/>
        <v/>
      </c>
      <c r="BX15" s="126" t="str">
        <f t="shared" ca="1" si="50"/>
        <v/>
      </c>
      <c r="BY15" s="127"/>
      <c r="BZ15" s="126" t="str">
        <f t="shared" ca="1" si="51"/>
        <v/>
      </c>
      <c r="CA15" s="127"/>
      <c r="CB15" s="127" t="str">
        <f t="shared" ca="1" si="52"/>
        <v/>
      </c>
      <c r="CC15" s="127"/>
      <c r="CD15" s="9"/>
      <c r="CE15" s="164" t="str">
        <f t="shared" ca="1" si="29"/>
        <v/>
      </c>
      <c r="CF15" s="126" t="str">
        <f t="shared" ref="CF15" ca="1" si="117">IF(CD15&gt;0,IF(INDIRECT("Basistabelle!D" &amp; $A$1+CD15+CE$1)&gt;"",INDIRECT("Basistabelle!D" &amp; $A$1+CD15+CE$1),""),"")</f>
        <v/>
      </c>
      <c r="CG15" s="127"/>
      <c r="CH15" s="126" t="str">
        <f t="shared" ref="CH15" ca="1" si="118">IF(CD15&gt;0,IF(INDIRECT("Basistabelle!E" &amp; $A$1+CD15+CE$1)&gt;"",INDIRECT("Basistabelle!E" &amp; $A$1+CD15+CE$1),""),"")</f>
        <v/>
      </c>
      <c r="CI15" s="127"/>
      <c r="CJ15" s="127" t="str">
        <f t="shared" ref="CJ15" ca="1" si="119">IF(CD15&gt;0,IF(INDIRECT("Basistabelle!F" &amp; $A$1+CD15+CE$1)&gt;"",INDIRECT("Basistabelle!F" &amp; $A$1+CD15+CE$1),""),"")</f>
        <v/>
      </c>
      <c r="CK15" s="127"/>
      <c r="CL15" s="9"/>
      <c r="CM15" s="164" t="str">
        <f t="shared" ca="1" si="31"/>
        <v/>
      </c>
      <c r="CN15" s="126" t="str">
        <f t="shared" ca="1" si="110"/>
        <v/>
      </c>
      <c r="CO15" s="127"/>
      <c r="CP15" s="126" t="str">
        <f t="shared" ca="1" si="111"/>
        <v/>
      </c>
      <c r="CQ15" s="127"/>
      <c r="CR15" s="127" t="str">
        <f t="shared" ca="1" si="112"/>
        <v/>
      </c>
      <c r="CS15" s="141"/>
    </row>
    <row r="16" spans="1:97" s="2" customFormat="1" x14ac:dyDescent="0.2">
      <c r="A16" s="9" t="s">
        <v>5</v>
      </c>
      <c r="B16" s="10"/>
      <c r="C16" s="164" t="str">
        <f t="shared" ca="1" si="0"/>
        <v/>
      </c>
      <c r="D16" s="126" t="str">
        <f t="shared" ca="1" si="113"/>
        <v/>
      </c>
      <c r="E16" s="127"/>
      <c r="F16" s="126" t="str">
        <f t="shared" ca="1" si="114"/>
        <v/>
      </c>
      <c r="G16" s="127"/>
      <c r="H16" s="127" t="str">
        <f t="shared" ca="1" si="115"/>
        <v/>
      </c>
      <c r="I16" s="127"/>
      <c r="J16" s="51"/>
      <c r="K16" s="164" t="str">
        <f t="shared" ca="1" si="4"/>
        <v/>
      </c>
      <c r="L16" s="126" t="str">
        <f t="shared" ca="1" si="93"/>
        <v/>
      </c>
      <c r="M16" s="127"/>
      <c r="N16" s="126" t="str">
        <f t="shared" ca="1" si="94"/>
        <v/>
      </c>
      <c r="O16" s="127"/>
      <c r="P16" s="127" t="str">
        <f t="shared" ca="1" si="95"/>
        <v/>
      </c>
      <c r="Q16" s="127"/>
      <c r="R16" s="9"/>
      <c r="S16" s="164" t="str">
        <f t="shared" ca="1" si="8"/>
        <v/>
      </c>
      <c r="T16" s="126" t="str">
        <f t="shared" ca="1" si="96"/>
        <v/>
      </c>
      <c r="U16" s="127"/>
      <c r="V16" s="126" t="str">
        <f t="shared" ca="1" si="97"/>
        <v/>
      </c>
      <c r="W16" s="127"/>
      <c r="X16" s="127" t="str">
        <f t="shared" ca="1" si="98"/>
        <v/>
      </c>
      <c r="Y16" s="127"/>
      <c r="Z16" s="9"/>
      <c r="AA16" s="164" t="str">
        <f t="shared" ca="1" si="12"/>
        <v/>
      </c>
      <c r="AB16" s="126" t="str">
        <f t="shared" ca="1" si="81"/>
        <v/>
      </c>
      <c r="AC16" s="127"/>
      <c r="AD16" s="126" t="str">
        <f t="shared" ca="1" si="82"/>
        <v/>
      </c>
      <c r="AE16" s="127"/>
      <c r="AF16" s="127" t="str">
        <f t="shared" ca="1" si="83"/>
        <v/>
      </c>
      <c r="AG16" s="127"/>
      <c r="AH16" s="9"/>
      <c r="AI16" s="164" t="str">
        <f t="shared" ca="1" si="65"/>
        <v/>
      </c>
      <c r="AJ16" s="126" t="str">
        <f t="shared" ca="1" si="116"/>
        <v/>
      </c>
      <c r="AK16" s="127"/>
      <c r="AL16" s="126" t="str">
        <f t="shared" ca="1" si="99"/>
        <v/>
      </c>
      <c r="AM16" s="127"/>
      <c r="AN16" s="127" t="str">
        <f t="shared" ca="1" si="100"/>
        <v/>
      </c>
      <c r="AO16" s="127"/>
      <c r="AP16" s="9"/>
      <c r="AQ16" s="164" t="str">
        <f t="shared" ca="1" si="19"/>
        <v/>
      </c>
      <c r="AR16" s="126" t="str">
        <f t="shared" ca="1" si="101"/>
        <v/>
      </c>
      <c r="AS16" s="127"/>
      <c r="AT16" s="126" t="str">
        <f t="shared" ca="1" si="102"/>
        <v/>
      </c>
      <c r="AU16" s="127"/>
      <c r="AV16" s="127" t="str">
        <f t="shared" ca="1" si="103"/>
        <v/>
      </c>
      <c r="AW16" s="127"/>
      <c r="AX16" s="9"/>
      <c r="AY16" s="164" t="str">
        <f t="shared" ca="1" si="21"/>
        <v/>
      </c>
      <c r="AZ16" s="126" t="str">
        <f t="shared" ca="1" si="42"/>
        <v/>
      </c>
      <c r="BA16" s="127"/>
      <c r="BB16" s="126" t="str">
        <f t="shared" ca="1" si="43"/>
        <v/>
      </c>
      <c r="BC16" s="127"/>
      <c r="BD16" s="127" t="str">
        <f t="shared" ca="1" si="44"/>
        <v/>
      </c>
      <c r="BE16" s="127"/>
      <c r="BF16" s="9"/>
      <c r="BG16" s="164" t="str">
        <f t="shared" ca="1" si="23"/>
        <v/>
      </c>
      <c r="BH16" s="126" t="str">
        <f t="shared" ca="1" si="66"/>
        <v/>
      </c>
      <c r="BI16" s="127"/>
      <c r="BJ16" s="126" t="str">
        <f t="shared" ca="1" si="67"/>
        <v/>
      </c>
      <c r="BK16" s="127"/>
      <c r="BL16" s="127" t="str">
        <f t="shared" ca="1" si="68"/>
        <v/>
      </c>
      <c r="BM16" s="127"/>
      <c r="BN16" s="9"/>
      <c r="BO16" s="164" t="str">
        <f t="shared" ca="1" si="25"/>
        <v/>
      </c>
      <c r="BP16" s="126" t="str">
        <f t="shared" ca="1" si="104"/>
        <v/>
      </c>
      <c r="BQ16" s="127"/>
      <c r="BR16" s="126" t="str">
        <f t="shared" ca="1" si="105"/>
        <v/>
      </c>
      <c r="BS16" s="127"/>
      <c r="BT16" s="127" t="str">
        <f t="shared" ca="1" si="106"/>
        <v/>
      </c>
      <c r="BU16" s="127"/>
      <c r="BV16" s="9"/>
      <c r="BW16" s="164" t="str">
        <f t="shared" ca="1" si="27"/>
        <v/>
      </c>
      <c r="BX16" s="126" t="str">
        <f t="shared" ca="1" si="50"/>
        <v/>
      </c>
      <c r="BY16" s="127"/>
      <c r="BZ16" s="126" t="str">
        <f t="shared" ca="1" si="51"/>
        <v/>
      </c>
      <c r="CA16" s="127"/>
      <c r="CB16" s="127" t="str">
        <f t="shared" ca="1" si="52"/>
        <v/>
      </c>
      <c r="CC16" s="127"/>
      <c r="CD16" s="9"/>
      <c r="CE16" s="164" t="str">
        <f t="shared" ca="1" si="29"/>
        <v/>
      </c>
      <c r="CF16" s="126" t="str">
        <f t="shared" ca="1" si="107"/>
        <v/>
      </c>
      <c r="CG16" s="127"/>
      <c r="CH16" s="126" t="str">
        <f t="shared" ca="1" si="108"/>
        <v/>
      </c>
      <c r="CI16" s="127"/>
      <c r="CJ16" s="127" t="str">
        <f t="shared" ca="1" si="109"/>
        <v/>
      </c>
      <c r="CK16" s="127"/>
      <c r="CL16" s="9"/>
      <c r="CM16" s="164" t="str">
        <f t="shared" ca="1" si="31"/>
        <v/>
      </c>
      <c r="CN16" s="126" t="str">
        <f t="shared" ca="1" si="110"/>
        <v/>
      </c>
      <c r="CO16" s="127"/>
      <c r="CP16" s="126" t="str">
        <f t="shared" ca="1" si="111"/>
        <v/>
      </c>
      <c r="CQ16" s="127"/>
      <c r="CR16" s="127" t="str">
        <f t="shared" ca="1" si="112"/>
        <v/>
      </c>
      <c r="CS16" s="141"/>
    </row>
    <row r="17" spans="1:97" s="2" customFormat="1" ht="15" customHeight="1" x14ac:dyDescent="0.2">
      <c r="A17" s="6" t="s">
        <v>25</v>
      </c>
      <c r="B17" s="8"/>
      <c r="C17" s="164" t="str">
        <f t="shared" ca="1" si="0"/>
        <v/>
      </c>
      <c r="D17" s="157" t="str">
        <f t="shared" ca="1" si="113"/>
        <v/>
      </c>
      <c r="E17" s="124"/>
      <c r="F17" s="121" t="str">
        <f t="shared" ca="1" si="114"/>
        <v/>
      </c>
      <c r="G17" s="124"/>
      <c r="H17" s="157" t="str">
        <f t="shared" ca="1" si="115"/>
        <v/>
      </c>
      <c r="I17" s="124"/>
      <c r="J17" s="6"/>
      <c r="K17" s="164" t="str">
        <f t="shared" ca="1" si="4"/>
        <v/>
      </c>
      <c r="L17" s="157" t="str">
        <f t="shared" ref="L17" ca="1" si="120">IF(J17&gt;0,IF(INDIRECT("Basistabelle!D" &amp; $A$1+J17+K$1)&gt;"",INDIRECT("Basistabelle!D" &amp; $A$1+J17+K$1),""),"")</f>
        <v/>
      </c>
      <c r="M17" s="124"/>
      <c r="N17" s="121" t="str">
        <f t="shared" ref="N17" ca="1" si="121">IF(J17&gt;0,IF(INDIRECT("Basistabelle!E" &amp; $A$1+J17+K$1)&gt;"",INDIRECT("Basistabelle!E" &amp; $A$1+J17+K$1),""),"")</f>
        <v/>
      </c>
      <c r="O17" s="124"/>
      <c r="P17" s="157" t="str">
        <f t="shared" ref="P17" ca="1" si="122">IF(J17&gt;0,IF(INDIRECT("Basistabelle!F" &amp; $A$1+J17+K$1)&gt;"",INDIRECT("Basistabelle!F" &amp; $A$1+J17+K$1),""),"")</f>
        <v/>
      </c>
      <c r="Q17" s="124"/>
      <c r="R17" s="18"/>
      <c r="S17" s="164" t="str">
        <f t="shared" ca="1" si="8"/>
        <v/>
      </c>
      <c r="T17" s="157" t="str">
        <f t="shared" ca="1" si="96"/>
        <v/>
      </c>
      <c r="U17" s="124"/>
      <c r="V17" s="121" t="str">
        <f t="shared" ca="1" si="97"/>
        <v/>
      </c>
      <c r="W17" s="124"/>
      <c r="X17" s="157" t="str">
        <f t="shared" ca="1" si="98"/>
        <v/>
      </c>
      <c r="Y17" s="124"/>
      <c r="Z17" s="18"/>
      <c r="AA17" s="164" t="str">
        <f t="shared" ca="1" si="12"/>
        <v/>
      </c>
      <c r="AB17" s="125" t="str">
        <f t="shared" ca="1" si="81"/>
        <v/>
      </c>
      <c r="AC17" s="124"/>
      <c r="AD17" s="121" t="str">
        <f t="shared" ca="1" si="82"/>
        <v/>
      </c>
      <c r="AE17" s="124"/>
      <c r="AF17" s="125" t="str">
        <f t="shared" ca="1" si="83"/>
        <v/>
      </c>
      <c r="AG17" s="137"/>
      <c r="AH17" s="18"/>
      <c r="AI17" s="164" t="str">
        <f t="shared" ca="1" si="65"/>
        <v/>
      </c>
      <c r="AJ17" s="157" t="str">
        <f ca="1">IF(AH17&gt;0,IF(INDIRECT("Basistabelle!D" &amp; $A$1+AH17+AI$1)&gt;"",INDIRECT("Basistabelle!D" &amp; $A$1+AH17+AI$1),""),"")</f>
        <v/>
      </c>
      <c r="AK17" s="124"/>
      <c r="AL17" s="121" t="str">
        <f t="shared" ref="AL17" ca="1" si="123">IF(AH17&gt;0,IF(INDIRECT("Basistabelle!E" &amp; $A$1+AH17+AI$1)&gt;"",INDIRECT("Basistabelle!E" &amp; $A$1+AH17+AI$1),""),"")</f>
        <v/>
      </c>
      <c r="AM17" s="124"/>
      <c r="AN17" s="157" t="str">
        <f t="shared" ref="AN17" ca="1" si="124">IF(AH17&gt;0,IF(INDIRECT("Basistabelle!F" &amp; $A$1+AH17+AI$1)&gt;"",INDIRECT("Basistabelle!F" &amp; $A$1+AH17+AI$1),""),"")</f>
        <v/>
      </c>
      <c r="AO17" s="124"/>
      <c r="AP17" s="18"/>
      <c r="AQ17" s="164" t="str">
        <f t="shared" ca="1" si="19"/>
        <v/>
      </c>
      <c r="AR17" s="157" t="str">
        <f t="shared" ca="1" si="101"/>
        <v/>
      </c>
      <c r="AS17" s="124"/>
      <c r="AT17" s="121" t="str">
        <f t="shared" ca="1" si="102"/>
        <v/>
      </c>
      <c r="AU17" s="124"/>
      <c r="AV17" s="157" t="str">
        <f t="shared" ca="1" si="103"/>
        <v/>
      </c>
      <c r="AW17" s="163"/>
      <c r="AX17" s="18"/>
      <c r="AY17" s="164" t="str">
        <f t="shared" ca="1" si="21"/>
        <v/>
      </c>
      <c r="AZ17" s="125" t="str">
        <f t="shared" ca="1" si="42"/>
        <v/>
      </c>
      <c r="BA17" s="124"/>
      <c r="BB17" s="121" t="str">
        <f t="shared" ca="1" si="43"/>
        <v/>
      </c>
      <c r="BC17" s="124"/>
      <c r="BD17" s="125" t="str">
        <f t="shared" ca="1" si="44"/>
        <v/>
      </c>
      <c r="BE17" s="137"/>
      <c r="BF17" s="21"/>
      <c r="BG17" s="164" t="str">
        <f t="shared" ca="1" si="23"/>
        <v/>
      </c>
      <c r="BH17" s="157" t="str">
        <f t="shared" ref="BH17" ca="1" si="125">IF(BF17&gt;0,IF(INDIRECT("Basistabelle!D" &amp; $A$1+BF17+BG$1)&gt;"",INDIRECT("Basistabelle!D" &amp; $A$1+BF17+BG$1),""),"")</f>
        <v/>
      </c>
      <c r="BI17" s="124"/>
      <c r="BJ17" s="121" t="str">
        <f t="shared" ref="BJ17" ca="1" si="126">IF(BF17&gt;0,IF(INDIRECT("Basistabelle!E" &amp; $A$1+BF17+BG$1)&gt;"",INDIRECT("Basistabelle!E" &amp; $A$1+BF17+BG$1),""),"")</f>
        <v/>
      </c>
      <c r="BK17" s="124"/>
      <c r="BL17" s="157" t="str">
        <f t="shared" ref="BL17" ca="1" si="127">IF(BF17&gt;0,IF(INDIRECT("Basistabelle!F" &amp; $A$1+BF17+BG$1)&gt;"",INDIRECT("Basistabelle!F" &amp; $A$1+BF17+BG$1),""),"")</f>
        <v/>
      </c>
      <c r="BM17" s="124"/>
      <c r="BN17" s="6"/>
      <c r="BO17" s="164" t="str">
        <f t="shared" ca="1" si="25"/>
        <v/>
      </c>
      <c r="BP17" s="157" t="str">
        <f t="shared" ca="1" si="104"/>
        <v/>
      </c>
      <c r="BQ17" s="124"/>
      <c r="BR17" s="121" t="str">
        <f t="shared" ca="1" si="105"/>
        <v/>
      </c>
      <c r="BS17" s="124"/>
      <c r="BT17" s="157" t="str">
        <f t="shared" ca="1" si="106"/>
        <v/>
      </c>
      <c r="BU17" s="124"/>
      <c r="BV17" s="6"/>
      <c r="BW17" s="164" t="str">
        <f t="shared" ca="1" si="27"/>
        <v/>
      </c>
      <c r="BX17" s="157" t="str">
        <f t="shared" ca="1" si="50"/>
        <v/>
      </c>
      <c r="BY17" s="124"/>
      <c r="BZ17" s="121" t="str">
        <f t="shared" ca="1" si="51"/>
        <v/>
      </c>
      <c r="CA17" s="124"/>
      <c r="CB17" s="157" t="str">
        <f t="shared" ca="1" si="52"/>
        <v/>
      </c>
      <c r="CC17" s="124"/>
      <c r="CD17" s="6"/>
      <c r="CE17" s="164" t="str">
        <f t="shared" ca="1" si="29"/>
        <v/>
      </c>
      <c r="CF17" s="157" t="str">
        <f t="shared" ref="CF17" ca="1" si="128">IF(CD17&gt;0,IF(INDIRECT("Basistabelle!D" &amp; $A$1+CD17+CE$1)&gt;"",INDIRECT("Basistabelle!D" &amp; $A$1+CD17+CE$1),""),"")</f>
        <v/>
      </c>
      <c r="CG17" s="124"/>
      <c r="CH17" s="121" t="str">
        <f t="shared" ref="CH17" ca="1" si="129">IF(CD17&gt;0,IF(INDIRECT("Basistabelle!E" &amp; $A$1+CD17+CE$1)&gt;"",INDIRECT("Basistabelle!E" &amp; $A$1+CD17+CE$1),""),"")</f>
        <v/>
      </c>
      <c r="CI17" s="124"/>
      <c r="CJ17" s="157" t="str">
        <f t="shared" ref="CJ17" ca="1" si="130">IF(CD17&gt;0,IF(INDIRECT("Basistabelle!F" &amp; $A$1+CD17+CE$1)&gt;"",INDIRECT("Basistabelle!F" &amp; $A$1+CD17+CE$1),""),"")</f>
        <v/>
      </c>
      <c r="CK17" s="124"/>
      <c r="CL17" s="6"/>
      <c r="CM17" s="164" t="str">
        <f t="shared" ca="1" si="31"/>
        <v/>
      </c>
      <c r="CN17" s="157" t="str">
        <f t="shared" ref="CN17" ca="1" si="131">IF(CL17&gt;0,IF(INDIRECT("Basistabelle!D" &amp; $A$1+CL17+CM$1)&gt;"",INDIRECT("Basistabelle!D" &amp; $A$1+CL17+CM$1),""),"")</f>
        <v/>
      </c>
      <c r="CO17" s="124"/>
      <c r="CP17" s="121" t="str">
        <f t="shared" ref="CP17" ca="1" si="132">IF(CL17&gt;0,IF(INDIRECT("Basistabelle!E" &amp; $A$1+CL17+CM$1)&gt;"",INDIRECT("Basistabelle!E" &amp; $A$1+CL17+CM$1),""),"")</f>
        <v/>
      </c>
      <c r="CQ17" s="124"/>
      <c r="CR17" s="157" t="str">
        <f t="shared" ref="CR17" ca="1" si="133">IF(CL17&gt;0,IF(INDIRECT("Basistabelle!F" &amp; $A$1+CL17+CM$1)&gt;"",INDIRECT("Basistabelle!F" &amp; $A$1+CL17+CM$1),""),"")</f>
        <v/>
      </c>
      <c r="CS17" s="139"/>
    </row>
    <row r="18" spans="1:97" s="2" customFormat="1" x14ac:dyDescent="0.2">
      <c r="A18" s="6" t="s">
        <v>6</v>
      </c>
      <c r="B18" s="8"/>
      <c r="C18" s="164" t="str">
        <f t="shared" ca="1" si="0"/>
        <v/>
      </c>
      <c r="D18" s="125" t="str">
        <f t="shared" ref="D18:D24" ca="1" si="134">IF(B18&gt;0,IF(INDIRECT("Basistabelle!D" &amp; $A$1+B18+C$1)&gt;"",INDIRECT("Basistabelle!D" &amp; $A$1+B18+C$1),""),"")</f>
        <v/>
      </c>
      <c r="E18" s="124"/>
      <c r="F18" s="121" t="str">
        <f t="shared" ref="F18:F24" ca="1" si="135">IF(B18&gt;0,IF(INDIRECT("Basistabelle!E" &amp; $A$1+B18+C$1)&gt;"",INDIRECT("Basistabelle!E" &amp; $A$1+B18+C$1),""),"")</f>
        <v/>
      </c>
      <c r="G18" s="124"/>
      <c r="H18" s="125" t="str">
        <f t="shared" ref="H18:H24" ca="1" si="136">IF(B18&gt;0,IF(INDIRECT("Basistabelle!F" &amp; $A$1+B18+C$1)&gt;"",INDIRECT("Basistabelle!F" &amp; $A$1+B18+C$1),""),"")</f>
        <v/>
      </c>
      <c r="I18" s="124"/>
      <c r="J18" s="6"/>
      <c r="K18" s="164" t="str">
        <f t="shared" ca="1" si="4"/>
        <v/>
      </c>
      <c r="L18" s="125" t="str">
        <f t="shared" ca="1" si="93"/>
        <v/>
      </c>
      <c r="M18" s="124"/>
      <c r="N18" s="121" t="str">
        <f t="shared" ca="1" si="94"/>
        <v/>
      </c>
      <c r="O18" s="124"/>
      <c r="P18" s="125" t="str">
        <f t="shared" ca="1" si="95"/>
        <v/>
      </c>
      <c r="Q18" s="124"/>
      <c r="R18" s="6"/>
      <c r="S18" s="164" t="str">
        <f t="shared" ca="1" si="8"/>
        <v/>
      </c>
      <c r="T18" s="125" t="str">
        <f t="shared" ref="T18:T24" ca="1" si="137">IF(R18&gt;0,IF(INDIRECT("Basistabelle!D" &amp; $A$1+R18+S$1)&gt;"",INDIRECT("Basistabelle!D" &amp; $A$1+R18+S$1),""),"")</f>
        <v/>
      </c>
      <c r="U18" s="124"/>
      <c r="V18" s="121" t="str">
        <f t="shared" ref="V18:V24" ca="1" si="138">IF(R18&gt;0,IF(INDIRECT("Basistabelle!E" &amp; $A$1+R18+S$1)&gt;"",INDIRECT("Basistabelle!E" &amp; $A$1+R18+S$1),""),"")</f>
        <v/>
      </c>
      <c r="W18" s="124"/>
      <c r="X18" s="125" t="str">
        <f t="shared" ref="X18:X24" ca="1" si="139">IF(R18&gt;0,IF(INDIRECT("Basistabelle!F" &amp; $A$1+R18+S$1)&gt;"",INDIRECT("Basistabelle!F" &amp; $A$1+R18+S$1),""),"")</f>
        <v/>
      </c>
      <c r="Y18" s="124"/>
      <c r="Z18" s="6"/>
      <c r="AA18" s="164" t="str">
        <f t="shared" ca="1" si="12"/>
        <v/>
      </c>
      <c r="AB18" s="125" t="str">
        <f t="shared" ca="1" si="81"/>
        <v/>
      </c>
      <c r="AC18" s="124"/>
      <c r="AD18" s="121" t="str">
        <f t="shared" ca="1" si="82"/>
        <v/>
      </c>
      <c r="AE18" s="124"/>
      <c r="AF18" s="125" t="str">
        <f t="shared" ca="1" si="83"/>
        <v/>
      </c>
      <c r="AG18" s="124"/>
      <c r="AH18" s="6"/>
      <c r="AI18" s="164" t="str">
        <f t="shared" ca="1" si="65"/>
        <v/>
      </c>
      <c r="AJ18" s="125">
        <f>Basistabelle!D136</f>
        <v>0</v>
      </c>
      <c r="AK18" s="124"/>
      <c r="AL18" s="121" t="str">
        <f t="shared" ca="1" si="99"/>
        <v/>
      </c>
      <c r="AM18" s="124"/>
      <c r="AN18" s="125" t="str">
        <f t="shared" ref="AN18:AN24" ca="1" si="140">IF(AH18&gt;0,IF(INDIRECT("Basistabelle!F" &amp; $A$1+AH18+AI$1)&gt;"",INDIRECT("Basistabelle!F" &amp; $A$1+AH18+AI$1),""),"")</f>
        <v/>
      </c>
      <c r="AO18" s="124"/>
      <c r="AP18" s="6"/>
      <c r="AQ18" s="164" t="str">
        <f t="shared" ca="1" si="19"/>
        <v/>
      </c>
      <c r="AR18" s="125" t="str">
        <f t="shared" ref="AR18:AR24" ca="1" si="141">IF(AP18&gt;0,IF(INDIRECT("Basistabelle!D" &amp; $A$1+AP18+AQ$1)&gt;"",INDIRECT("Basistabelle!D" &amp; $A$1+AP18+AQ$1),""),"")</f>
        <v/>
      </c>
      <c r="AS18" s="124"/>
      <c r="AT18" s="121" t="str">
        <f t="shared" ref="AT18:AT24" ca="1" si="142">IF(AP18&gt;0,IF(INDIRECT("Basistabelle!E" &amp; $A$1+AP18+AQ$1)&gt;"",INDIRECT("Basistabelle!E" &amp; $A$1+AP18+AQ$1),""),"")</f>
        <v/>
      </c>
      <c r="AU18" s="124"/>
      <c r="AV18" s="125" t="str">
        <f t="shared" ref="AV18:AV24" ca="1" si="143">IF(AP18&gt;0,IF(INDIRECT("Basistabelle!F" &amp; $A$1+AP18+AQ$1)&gt;"",INDIRECT("Basistabelle!F" &amp; $A$1+AP18+AQ$1),""),"")</f>
        <v/>
      </c>
      <c r="AW18" s="124"/>
      <c r="AX18" s="6"/>
      <c r="AY18" s="164" t="str">
        <f t="shared" ca="1" si="21"/>
        <v/>
      </c>
      <c r="AZ18" s="125" t="str">
        <f t="shared" ca="1" si="42"/>
        <v/>
      </c>
      <c r="BA18" s="124"/>
      <c r="BB18" s="121" t="str">
        <f t="shared" ca="1" si="43"/>
        <v/>
      </c>
      <c r="BC18" s="124"/>
      <c r="BD18" s="125" t="str">
        <f t="shared" ca="1" si="44"/>
        <v/>
      </c>
      <c r="BE18" s="124"/>
      <c r="BF18" s="21"/>
      <c r="BG18" s="164" t="str">
        <f t="shared" ca="1" si="23"/>
        <v/>
      </c>
      <c r="BH18" s="125" t="str">
        <f t="shared" ref="BH18:BH24" ca="1" si="144">IF(BF18&gt;0,IF(INDIRECT("Basistabelle!D" &amp; $A$1+BF18+BG$1)&gt;"",INDIRECT("Basistabelle!D" &amp; $A$1+BF18+BG$1),""),"")</f>
        <v/>
      </c>
      <c r="BI18" s="124"/>
      <c r="BJ18" s="121" t="str">
        <f t="shared" ref="BJ18:BJ24" ca="1" si="145">IF(BF18&gt;0,IF(INDIRECT("Basistabelle!E" &amp; $A$1+BF18+BG$1)&gt;"",INDIRECT("Basistabelle!E" &amp; $A$1+BF18+BG$1),""),"")</f>
        <v/>
      </c>
      <c r="BK18" s="124"/>
      <c r="BL18" s="125" t="str">
        <f t="shared" ref="BL18:BL24" ca="1" si="146">IF(BF18&gt;0,IF(INDIRECT("Basistabelle!F" &amp; $A$1+BF18+BG$1)&gt;"",INDIRECT("Basistabelle!F" &amp; $A$1+BF18+BG$1),""),"")</f>
        <v/>
      </c>
      <c r="BM18" s="124"/>
      <c r="BN18" s="6"/>
      <c r="BO18" s="164" t="str">
        <f t="shared" ca="1" si="25"/>
        <v/>
      </c>
      <c r="BP18" s="125" t="str">
        <f t="shared" ref="BP18:BP41" ca="1" si="147">IF(BN18&gt;0,IF(INDIRECT("Basistabelle!D" &amp; $A$1+BN18+BO$1)&gt;"",INDIRECT("Basistabelle!D" &amp; $A$1+BN18+BO$1),""),"")</f>
        <v/>
      </c>
      <c r="BQ18" s="124"/>
      <c r="BR18" s="121" t="str">
        <f t="shared" ref="BR18:BR41" ca="1" si="148">IF(BN18&gt;0,IF(INDIRECT("Basistabelle!E" &amp; $A$1+BN18+BO$1)&gt;"",INDIRECT("Basistabelle!E" &amp; $A$1+BN18+BO$1),""),"")</f>
        <v/>
      </c>
      <c r="BS18" s="124"/>
      <c r="BT18" s="125" t="str">
        <f t="shared" ref="BT18:BT41" ca="1" si="149">IF(BN18&gt;0,IF(INDIRECT("Basistabelle!F" &amp; $A$1+BN18+BO$1)&gt;"",INDIRECT("Basistabelle!F" &amp; $A$1+BN18+BO$1),""),"")</f>
        <v/>
      </c>
      <c r="BU18" s="124"/>
      <c r="BV18" s="6"/>
      <c r="BW18" s="164" t="str">
        <f t="shared" ca="1" si="27"/>
        <v/>
      </c>
      <c r="BX18" s="125" t="str">
        <f t="shared" ref="BX18:BX24" ca="1" si="150">IF(BV18&gt;0,IF(INDIRECT("Basistabelle!D" &amp; $A$1+BV18+BW$1)&gt;"",INDIRECT("Basistabelle!D" &amp; $A$1+BV18+BW$1),""),"")</f>
        <v/>
      </c>
      <c r="BY18" s="124"/>
      <c r="BZ18" s="121" t="str">
        <f t="shared" ref="BZ18:BZ24" ca="1" si="151">IF(BV18&gt;0,IF(INDIRECT("Basistabelle!E" &amp; $A$1+BV18+BW$1)&gt;"",INDIRECT("Basistabelle!E" &amp; $A$1+BV18+BW$1),""),"")</f>
        <v/>
      </c>
      <c r="CA18" s="124"/>
      <c r="CB18" s="125" t="str">
        <f t="shared" ref="CB18:CB24" ca="1" si="152">IF(BV18&gt;0,IF(INDIRECT("Basistabelle!F" &amp; $A$1+BV18+BW$1)&gt;"",INDIRECT("Basistabelle!F" &amp; $A$1+BV18+BW$1),""),"")</f>
        <v/>
      </c>
      <c r="CC18" s="124"/>
      <c r="CD18" s="6"/>
      <c r="CE18" s="164" t="str">
        <f t="shared" ca="1" si="29"/>
        <v/>
      </c>
      <c r="CF18" s="125" t="str">
        <f t="shared" ref="CF18:CF24" ca="1" si="153">IF(CD18&gt;0,IF(INDIRECT("Basistabelle!D" &amp; $A$1+CD18+CE$1)&gt;"",INDIRECT("Basistabelle!D" &amp; $A$1+CD18+CE$1),""),"")</f>
        <v/>
      </c>
      <c r="CG18" s="124"/>
      <c r="CH18" s="121" t="str">
        <f t="shared" ref="CH18:CH24" ca="1" si="154">IF(CD18&gt;0,IF(INDIRECT("Basistabelle!E" &amp; $A$1+CD18+CE$1)&gt;"",INDIRECT("Basistabelle!E" &amp; $A$1+CD18+CE$1),""),"")</f>
        <v/>
      </c>
      <c r="CI18" s="124"/>
      <c r="CJ18" s="125" t="str">
        <f t="shared" ref="CJ18:CJ24" ca="1" si="155">IF(CD18&gt;0,IF(INDIRECT("Basistabelle!F" &amp; $A$1+CD18+CE$1)&gt;"",INDIRECT("Basistabelle!F" &amp; $A$1+CD18+CE$1),""),"")</f>
        <v/>
      </c>
      <c r="CK18" s="124"/>
      <c r="CL18" s="6"/>
      <c r="CM18" s="164" t="str">
        <f t="shared" ca="1" si="31"/>
        <v/>
      </c>
      <c r="CN18" s="125" t="str">
        <f t="shared" ref="CN18:CN24" ca="1" si="156">IF(CL18&gt;0,IF(INDIRECT("Basistabelle!D" &amp; $A$1+CL18+CM$1)&gt;"",INDIRECT("Basistabelle!D" &amp; $A$1+CL18+CM$1),""),"")</f>
        <v/>
      </c>
      <c r="CO18" s="124"/>
      <c r="CP18" s="121" t="str">
        <f t="shared" ref="CP18:CP24" ca="1" si="157">IF(CL18&gt;0,IF(INDIRECT("Basistabelle!E" &amp; $A$1+CL18+CM$1)&gt;"",INDIRECT("Basistabelle!E" &amp; $A$1+CL18+CM$1),""),"")</f>
        <v/>
      </c>
      <c r="CQ18" s="124"/>
      <c r="CR18" s="125" t="str">
        <f t="shared" ref="CR18:CR24" ca="1" si="158">IF(CL18&gt;0,IF(INDIRECT("Basistabelle!F" &amp; $A$1+CL18+CM$1)&gt;"",INDIRECT("Basistabelle!F" &amp; $A$1+CL18+CM$1),""),"")</f>
        <v/>
      </c>
      <c r="CS18" s="139"/>
    </row>
    <row r="19" spans="1:97" s="2" customFormat="1" x14ac:dyDescent="0.2">
      <c r="A19" s="6" t="s">
        <v>7</v>
      </c>
      <c r="B19" s="8"/>
      <c r="C19" s="164" t="str">
        <f t="shared" ca="1" si="0"/>
        <v/>
      </c>
      <c r="D19" s="125" t="str">
        <f t="shared" ca="1" si="134"/>
        <v/>
      </c>
      <c r="E19" s="124"/>
      <c r="F19" s="121" t="str">
        <f t="shared" ca="1" si="135"/>
        <v/>
      </c>
      <c r="G19" s="124"/>
      <c r="H19" s="125" t="str">
        <f t="shared" ca="1" si="136"/>
        <v/>
      </c>
      <c r="I19" s="124"/>
      <c r="J19" s="6"/>
      <c r="K19" s="164" t="str">
        <f t="shared" ca="1" si="4"/>
        <v/>
      </c>
      <c r="L19" s="125" t="str">
        <f t="shared" ca="1" si="93"/>
        <v/>
      </c>
      <c r="M19" s="124"/>
      <c r="N19" s="121" t="str">
        <f t="shared" ca="1" si="94"/>
        <v/>
      </c>
      <c r="O19" s="124"/>
      <c r="P19" s="125" t="str">
        <f t="shared" ca="1" si="95"/>
        <v/>
      </c>
      <c r="Q19" s="124"/>
      <c r="R19" s="6"/>
      <c r="S19" s="164" t="str">
        <f t="shared" ca="1" si="8"/>
        <v/>
      </c>
      <c r="T19" s="125" t="str">
        <f t="shared" ca="1" si="137"/>
        <v/>
      </c>
      <c r="U19" s="124"/>
      <c r="V19" s="121" t="str">
        <f t="shared" ca="1" si="138"/>
        <v/>
      </c>
      <c r="W19" s="124"/>
      <c r="X19" s="125" t="str">
        <f t="shared" ca="1" si="139"/>
        <v/>
      </c>
      <c r="Y19" s="124"/>
      <c r="Z19" s="6"/>
      <c r="AA19" s="164" t="str">
        <f t="shared" ca="1" si="12"/>
        <v/>
      </c>
      <c r="AB19" s="125" t="str">
        <f t="shared" ca="1" si="81"/>
        <v/>
      </c>
      <c r="AC19" s="124"/>
      <c r="AD19" s="121" t="str">
        <f t="shared" ca="1" si="82"/>
        <v/>
      </c>
      <c r="AE19" s="124"/>
      <c r="AF19" s="125" t="str">
        <f t="shared" ca="1" si="83"/>
        <v/>
      </c>
      <c r="AG19" s="124"/>
      <c r="AH19" s="6"/>
      <c r="AI19" s="164" t="str">
        <f t="shared" ca="1" si="65"/>
        <v/>
      </c>
      <c r="AJ19" s="125">
        <f>Basistabelle!D137</f>
        <v>0</v>
      </c>
      <c r="AK19" s="124"/>
      <c r="AL19" s="121" t="str">
        <f t="shared" ca="1" si="99"/>
        <v/>
      </c>
      <c r="AM19" s="124"/>
      <c r="AN19" s="125" t="str">
        <f t="shared" ca="1" si="140"/>
        <v/>
      </c>
      <c r="AO19" s="124"/>
      <c r="AP19" s="6"/>
      <c r="AQ19" s="164" t="str">
        <f t="shared" ca="1" si="19"/>
        <v/>
      </c>
      <c r="AR19" s="125" t="str">
        <f t="shared" ca="1" si="141"/>
        <v/>
      </c>
      <c r="AS19" s="124"/>
      <c r="AT19" s="121" t="str">
        <f t="shared" ca="1" si="142"/>
        <v/>
      </c>
      <c r="AU19" s="124"/>
      <c r="AV19" s="125" t="str">
        <f t="shared" ca="1" si="143"/>
        <v/>
      </c>
      <c r="AW19" s="124"/>
      <c r="AX19" s="6"/>
      <c r="AY19" s="164" t="str">
        <f t="shared" ca="1" si="21"/>
        <v/>
      </c>
      <c r="AZ19" s="125" t="str">
        <f t="shared" ca="1" si="42"/>
        <v/>
      </c>
      <c r="BA19" s="124"/>
      <c r="BB19" s="121" t="str">
        <f t="shared" ca="1" si="43"/>
        <v/>
      </c>
      <c r="BC19" s="124"/>
      <c r="BD19" s="125" t="str">
        <f t="shared" ca="1" si="44"/>
        <v/>
      </c>
      <c r="BE19" s="124"/>
      <c r="BF19" s="21"/>
      <c r="BG19" s="164" t="str">
        <f t="shared" ca="1" si="23"/>
        <v/>
      </c>
      <c r="BH19" s="125" t="str">
        <f t="shared" ca="1" si="144"/>
        <v/>
      </c>
      <c r="BI19" s="124"/>
      <c r="BJ19" s="121" t="str">
        <f t="shared" ca="1" si="145"/>
        <v/>
      </c>
      <c r="BK19" s="124"/>
      <c r="BL19" s="125" t="str">
        <f t="shared" ca="1" si="146"/>
        <v/>
      </c>
      <c r="BM19" s="124"/>
      <c r="BN19" s="6"/>
      <c r="BO19" s="164" t="str">
        <f t="shared" ca="1" si="25"/>
        <v/>
      </c>
      <c r="BP19" s="125" t="str">
        <f t="shared" ca="1" si="147"/>
        <v/>
      </c>
      <c r="BQ19" s="124"/>
      <c r="BR19" s="121" t="str">
        <f t="shared" ca="1" si="148"/>
        <v/>
      </c>
      <c r="BS19" s="124"/>
      <c r="BT19" s="125" t="str">
        <f t="shared" ca="1" si="149"/>
        <v/>
      </c>
      <c r="BU19" s="124"/>
      <c r="BV19" s="6"/>
      <c r="BW19" s="164" t="str">
        <f t="shared" ca="1" si="27"/>
        <v/>
      </c>
      <c r="BX19" s="125" t="str">
        <f t="shared" ca="1" si="150"/>
        <v/>
      </c>
      <c r="BY19" s="124"/>
      <c r="BZ19" s="121" t="str">
        <f t="shared" ca="1" si="151"/>
        <v/>
      </c>
      <c r="CA19" s="124"/>
      <c r="CB19" s="125" t="str">
        <f t="shared" ca="1" si="152"/>
        <v/>
      </c>
      <c r="CC19" s="124"/>
      <c r="CD19" s="6"/>
      <c r="CE19" s="164" t="str">
        <f t="shared" ca="1" si="29"/>
        <v/>
      </c>
      <c r="CF19" s="125" t="str">
        <f t="shared" ca="1" si="153"/>
        <v/>
      </c>
      <c r="CG19" s="124"/>
      <c r="CH19" s="121" t="str">
        <f t="shared" ca="1" si="154"/>
        <v/>
      </c>
      <c r="CI19" s="124"/>
      <c r="CJ19" s="125" t="str">
        <f t="shared" ca="1" si="155"/>
        <v/>
      </c>
      <c r="CK19" s="124"/>
      <c r="CL19" s="6"/>
      <c r="CM19" s="164" t="str">
        <f t="shared" ca="1" si="31"/>
        <v/>
      </c>
      <c r="CN19" s="125" t="str">
        <f t="shared" ca="1" si="156"/>
        <v/>
      </c>
      <c r="CO19" s="124"/>
      <c r="CP19" s="121" t="str">
        <f t="shared" ca="1" si="157"/>
        <v/>
      </c>
      <c r="CQ19" s="124"/>
      <c r="CR19" s="125" t="str">
        <f t="shared" ca="1" si="158"/>
        <v/>
      </c>
      <c r="CS19" s="139"/>
    </row>
    <row r="20" spans="1:97" s="2" customFormat="1" ht="12.75" customHeight="1" x14ac:dyDescent="0.2">
      <c r="A20" s="6" t="s">
        <v>8</v>
      </c>
      <c r="B20" s="8"/>
      <c r="C20" s="164" t="str">
        <f t="shared" ca="1" si="0"/>
        <v/>
      </c>
      <c r="D20" s="125" t="str">
        <f t="shared" ca="1" si="134"/>
        <v/>
      </c>
      <c r="E20" s="124"/>
      <c r="F20" s="121" t="str">
        <f t="shared" ca="1" si="135"/>
        <v/>
      </c>
      <c r="G20" s="124"/>
      <c r="H20" s="125" t="str">
        <f t="shared" ca="1" si="136"/>
        <v/>
      </c>
      <c r="I20" s="124"/>
      <c r="J20" s="6"/>
      <c r="K20" s="164" t="str">
        <f t="shared" ca="1" si="4"/>
        <v/>
      </c>
      <c r="L20" s="125" t="str">
        <f t="shared" ca="1" si="93"/>
        <v/>
      </c>
      <c r="M20" s="124"/>
      <c r="N20" s="121" t="str">
        <f t="shared" ca="1" si="94"/>
        <v/>
      </c>
      <c r="O20" s="124"/>
      <c r="P20" s="125" t="str">
        <f t="shared" ca="1" si="95"/>
        <v/>
      </c>
      <c r="Q20" s="124"/>
      <c r="R20" s="6"/>
      <c r="S20" s="164" t="str">
        <f t="shared" ca="1" si="8"/>
        <v/>
      </c>
      <c r="T20" s="125" t="str">
        <f t="shared" ca="1" si="137"/>
        <v/>
      </c>
      <c r="U20" s="124"/>
      <c r="V20" s="121" t="str">
        <f t="shared" ca="1" si="138"/>
        <v/>
      </c>
      <c r="W20" s="124"/>
      <c r="X20" s="125" t="str">
        <f t="shared" ca="1" si="139"/>
        <v/>
      </c>
      <c r="Y20" s="124"/>
      <c r="Z20" s="6"/>
      <c r="AA20" s="164" t="str">
        <f t="shared" ca="1" si="12"/>
        <v/>
      </c>
      <c r="AB20" s="125" t="str">
        <f t="shared" ca="1" si="81"/>
        <v/>
      </c>
      <c r="AC20" s="124"/>
      <c r="AD20" s="121" t="str">
        <f t="shared" ca="1" si="82"/>
        <v/>
      </c>
      <c r="AE20" s="124"/>
      <c r="AF20" s="125" t="str">
        <f t="shared" ca="1" si="83"/>
        <v/>
      </c>
      <c r="AG20" s="124"/>
      <c r="AH20" s="6"/>
      <c r="AI20" s="164" t="str">
        <f t="shared" ca="1" si="65"/>
        <v/>
      </c>
      <c r="AJ20" s="125">
        <f>Basistabelle!D138</f>
        <v>0</v>
      </c>
      <c r="AK20" s="124"/>
      <c r="AL20" s="121" t="str">
        <f t="shared" ca="1" si="99"/>
        <v/>
      </c>
      <c r="AM20" s="124"/>
      <c r="AN20" s="125" t="str">
        <f t="shared" ca="1" si="140"/>
        <v/>
      </c>
      <c r="AO20" s="124"/>
      <c r="AP20" s="6"/>
      <c r="AQ20" s="164" t="str">
        <f t="shared" ca="1" si="19"/>
        <v/>
      </c>
      <c r="AR20" s="125" t="str">
        <f t="shared" ca="1" si="141"/>
        <v/>
      </c>
      <c r="AS20" s="124"/>
      <c r="AT20" s="121" t="str">
        <f t="shared" ca="1" si="142"/>
        <v/>
      </c>
      <c r="AU20" s="124"/>
      <c r="AV20" s="125" t="str">
        <f t="shared" ca="1" si="143"/>
        <v/>
      </c>
      <c r="AW20" s="124"/>
      <c r="AX20" s="6"/>
      <c r="AY20" s="164" t="str">
        <f t="shared" ca="1" si="21"/>
        <v/>
      </c>
      <c r="AZ20" s="125" t="str">
        <f t="shared" ca="1" si="42"/>
        <v/>
      </c>
      <c r="BA20" s="124"/>
      <c r="BB20" s="121" t="str">
        <f t="shared" ca="1" si="43"/>
        <v/>
      </c>
      <c r="BC20" s="124"/>
      <c r="BD20" s="125" t="str">
        <f t="shared" ca="1" si="44"/>
        <v/>
      </c>
      <c r="BE20" s="124"/>
      <c r="BF20" s="21"/>
      <c r="BG20" s="164" t="str">
        <f t="shared" ca="1" si="23"/>
        <v/>
      </c>
      <c r="BH20" s="125" t="str">
        <f t="shared" ca="1" si="144"/>
        <v/>
      </c>
      <c r="BI20" s="124"/>
      <c r="BJ20" s="121" t="str">
        <f t="shared" ca="1" si="145"/>
        <v/>
      </c>
      <c r="BK20" s="124"/>
      <c r="BL20" s="125" t="str">
        <f t="shared" ca="1" si="146"/>
        <v/>
      </c>
      <c r="BM20" s="124"/>
      <c r="BN20" s="6"/>
      <c r="BO20" s="164" t="str">
        <f t="shared" ca="1" si="25"/>
        <v/>
      </c>
      <c r="BP20" s="125" t="str">
        <f t="shared" ca="1" si="147"/>
        <v/>
      </c>
      <c r="BQ20" s="124"/>
      <c r="BR20" s="121" t="str">
        <f t="shared" ca="1" si="148"/>
        <v/>
      </c>
      <c r="BS20" s="124"/>
      <c r="BT20" s="125" t="str">
        <f t="shared" ca="1" si="149"/>
        <v/>
      </c>
      <c r="BU20" s="124"/>
      <c r="BV20" s="6"/>
      <c r="BW20" s="164" t="str">
        <f t="shared" ca="1" si="27"/>
        <v/>
      </c>
      <c r="BX20" s="125" t="str">
        <f t="shared" ca="1" si="150"/>
        <v/>
      </c>
      <c r="BY20" s="124"/>
      <c r="BZ20" s="121" t="str">
        <f t="shared" ca="1" si="151"/>
        <v/>
      </c>
      <c r="CA20" s="124"/>
      <c r="CB20" s="125" t="str">
        <f t="shared" ca="1" si="152"/>
        <v/>
      </c>
      <c r="CC20" s="124"/>
      <c r="CD20" s="6"/>
      <c r="CE20" s="164" t="str">
        <f t="shared" ca="1" si="29"/>
        <v/>
      </c>
      <c r="CF20" s="125" t="str">
        <f t="shared" ca="1" si="153"/>
        <v/>
      </c>
      <c r="CG20" s="124"/>
      <c r="CH20" s="121" t="str">
        <f t="shared" ca="1" si="154"/>
        <v/>
      </c>
      <c r="CI20" s="124"/>
      <c r="CJ20" s="125" t="str">
        <f t="shared" ca="1" si="155"/>
        <v/>
      </c>
      <c r="CK20" s="124"/>
      <c r="CL20" s="6"/>
      <c r="CM20" s="164" t="str">
        <f t="shared" ca="1" si="31"/>
        <v/>
      </c>
      <c r="CN20" s="125" t="str">
        <f t="shared" ca="1" si="156"/>
        <v/>
      </c>
      <c r="CO20" s="124"/>
      <c r="CP20" s="121" t="str">
        <f t="shared" ca="1" si="157"/>
        <v/>
      </c>
      <c r="CQ20" s="124"/>
      <c r="CR20" s="125" t="str">
        <f t="shared" ca="1" si="158"/>
        <v/>
      </c>
      <c r="CS20" s="139"/>
    </row>
    <row r="21" spans="1:97" s="2" customFormat="1" ht="12.75" customHeight="1" x14ac:dyDescent="0.2">
      <c r="A21" s="6" t="s">
        <v>3</v>
      </c>
      <c r="B21" s="8"/>
      <c r="C21" s="164" t="str">
        <f t="shared" ca="1" si="0"/>
        <v/>
      </c>
      <c r="D21" s="125" t="str">
        <f t="shared" ca="1" si="134"/>
        <v/>
      </c>
      <c r="E21" s="124"/>
      <c r="F21" s="121" t="str">
        <f t="shared" ca="1" si="135"/>
        <v/>
      </c>
      <c r="G21" s="124"/>
      <c r="H21" s="125" t="str">
        <f t="shared" ca="1" si="136"/>
        <v/>
      </c>
      <c r="I21" s="124"/>
      <c r="J21" s="6"/>
      <c r="K21" s="164" t="str">
        <f t="shared" ca="1" si="4"/>
        <v/>
      </c>
      <c r="L21" s="125" t="str">
        <f t="shared" ca="1" si="93"/>
        <v/>
      </c>
      <c r="M21" s="124"/>
      <c r="N21" s="121" t="str">
        <f t="shared" ca="1" si="94"/>
        <v/>
      </c>
      <c r="O21" s="124"/>
      <c r="P21" s="125" t="str">
        <f t="shared" ca="1" si="95"/>
        <v/>
      </c>
      <c r="Q21" s="124"/>
      <c r="R21" s="6"/>
      <c r="S21" s="164" t="str">
        <f t="shared" ca="1" si="8"/>
        <v/>
      </c>
      <c r="T21" s="125" t="str">
        <f t="shared" ca="1" si="137"/>
        <v/>
      </c>
      <c r="U21" s="124"/>
      <c r="V21" s="121" t="str">
        <f t="shared" ca="1" si="138"/>
        <v/>
      </c>
      <c r="W21" s="124"/>
      <c r="X21" s="125" t="str">
        <f t="shared" ca="1" si="139"/>
        <v/>
      </c>
      <c r="Y21" s="124"/>
      <c r="Z21" s="6"/>
      <c r="AA21" s="164" t="str">
        <f t="shared" ca="1" si="12"/>
        <v/>
      </c>
      <c r="AB21" s="125" t="str">
        <f t="shared" ca="1" si="81"/>
        <v/>
      </c>
      <c r="AC21" s="124"/>
      <c r="AD21" s="121" t="str">
        <f t="shared" ca="1" si="82"/>
        <v/>
      </c>
      <c r="AE21" s="124"/>
      <c r="AF21" s="125" t="str">
        <f t="shared" ca="1" si="83"/>
        <v/>
      </c>
      <c r="AG21" s="124"/>
      <c r="AH21" s="6"/>
      <c r="AI21" s="164" t="str">
        <f t="shared" ca="1" si="65"/>
        <v/>
      </c>
      <c r="AJ21" s="125">
        <f>Basistabelle!D139</f>
        <v>0</v>
      </c>
      <c r="AK21" s="124"/>
      <c r="AL21" s="121" t="str">
        <f t="shared" ca="1" si="99"/>
        <v/>
      </c>
      <c r="AM21" s="124"/>
      <c r="AN21" s="125" t="str">
        <f t="shared" ca="1" si="140"/>
        <v/>
      </c>
      <c r="AO21" s="124"/>
      <c r="AP21" s="6"/>
      <c r="AQ21" s="164" t="str">
        <f t="shared" ca="1" si="19"/>
        <v/>
      </c>
      <c r="AR21" s="125" t="str">
        <f t="shared" ca="1" si="141"/>
        <v/>
      </c>
      <c r="AS21" s="124"/>
      <c r="AT21" s="121" t="str">
        <f t="shared" ca="1" si="142"/>
        <v/>
      </c>
      <c r="AU21" s="124"/>
      <c r="AV21" s="125" t="str">
        <f t="shared" ca="1" si="143"/>
        <v/>
      </c>
      <c r="AW21" s="124"/>
      <c r="AX21" s="6"/>
      <c r="AY21" s="164" t="str">
        <f t="shared" ca="1" si="21"/>
        <v/>
      </c>
      <c r="AZ21" s="125" t="str">
        <f t="shared" ca="1" si="42"/>
        <v/>
      </c>
      <c r="BA21" s="124"/>
      <c r="BB21" s="121" t="str">
        <f t="shared" ca="1" si="43"/>
        <v/>
      </c>
      <c r="BC21" s="124"/>
      <c r="BD21" s="125" t="str">
        <f t="shared" ca="1" si="44"/>
        <v/>
      </c>
      <c r="BE21" s="124"/>
      <c r="BF21" s="21"/>
      <c r="BG21" s="164" t="str">
        <f t="shared" ca="1" si="23"/>
        <v/>
      </c>
      <c r="BH21" s="125" t="str">
        <f t="shared" ca="1" si="144"/>
        <v/>
      </c>
      <c r="BI21" s="124"/>
      <c r="BJ21" s="121" t="str">
        <f t="shared" ca="1" si="145"/>
        <v/>
      </c>
      <c r="BK21" s="124"/>
      <c r="BL21" s="125" t="str">
        <f t="shared" ca="1" si="146"/>
        <v/>
      </c>
      <c r="BM21" s="124"/>
      <c r="BN21" s="6"/>
      <c r="BO21" s="164" t="str">
        <f t="shared" ca="1" si="25"/>
        <v/>
      </c>
      <c r="BP21" s="125" t="str">
        <f t="shared" ca="1" si="147"/>
        <v/>
      </c>
      <c r="BQ21" s="124"/>
      <c r="BR21" s="121" t="str">
        <f t="shared" ca="1" si="148"/>
        <v/>
      </c>
      <c r="BS21" s="124"/>
      <c r="BT21" s="125" t="str">
        <f t="shared" ca="1" si="149"/>
        <v/>
      </c>
      <c r="BU21" s="124"/>
      <c r="BV21" s="6"/>
      <c r="BW21" s="164" t="str">
        <f t="shared" ca="1" si="27"/>
        <v/>
      </c>
      <c r="BX21" s="125" t="str">
        <f t="shared" ca="1" si="150"/>
        <v/>
      </c>
      <c r="BY21" s="124"/>
      <c r="BZ21" s="121" t="str">
        <f t="shared" ca="1" si="151"/>
        <v/>
      </c>
      <c r="CA21" s="124"/>
      <c r="CB21" s="125" t="str">
        <f t="shared" ca="1" si="152"/>
        <v/>
      </c>
      <c r="CC21" s="124"/>
      <c r="CD21" s="6"/>
      <c r="CE21" s="164" t="str">
        <f t="shared" ca="1" si="29"/>
        <v/>
      </c>
      <c r="CF21" s="125" t="str">
        <f t="shared" ca="1" si="153"/>
        <v/>
      </c>
      <c r="CG21" s="124"/>
      <c r="CH21" s="121" t="str">
        <f t="shared" ca="1" si="154"/>
        <v/>
      </c>
      <c r="CI21" s="124"/>
      <c r="CJ21" s="125" t="str">
        <f t="shared" ca="1" si="155"/>
        <v/>
      </c>
      <c r="CK21" s="124"/>
      <c r="CL21" s="6"/>
      <c r="CM21" s="164" t="str">
        <f t="shared" ca="1" si="31"/>
        <v/>
      </c>
      <c r="CN21" s="125" t="str">
        <f t="shared" ca="1" si="156"/>
        <v/>
      </c>
      <c r="CO21" s="124"/>
      <c r="CP21" s="121" t="str">
        <f t="shared" ca="1" si="157"/>
        <v/>
      </c>
      <c r="CQ21" s="124"/>
      <c r="CR21" s="125" t="str">
        <f t="shared" ca="1" si="158"/>
        <v/>
      </c>
      <c r="CS21" s="139"/>
    </row>
    <row r="22" spans="1:97" s="2" customFormat="1" ht="12.75" customHeight="1" x14ac:dyDescent="0.2">
      <c r="A22" s="9" t="s">
        <v>4</v>
      </c>
      <c r="B22" s="10"/>
      <c r="C22" s="164" t="str">
        <f t="shared" ca="1" si="0"/>
        <v/>
      </c>
      <c r="D22" s="126" t="str">
        <f t="shared" ca="1" si="134"/>
        <v/>
      </c>
      <c r="E22" s="126"/>
      <c r="F22" s="126" t="str">
        <f t="shared" ca="1" si="135"/>
        <v/>
      </c>
      <c r="G22" s="126"/>
      <c r="H22" s="126" t="str">
        <f t="shared" ca="1" si="136"/>
        <v/>
      </c>
      <c r="I22" s="126"/>
      <c r="J22" s="51"/>
      <c r="K22" s="164" t="str">
        <f t="shared" ca="1" si="4"/>
        <v/>
      </c>
      <c r="L22" s="126" t="str">
        <f t="shared" ca="1" si="93"/>
        <v/>
      </c>
      <c r="M22" s="126"/>
      <c r="N22" s="126" t="str">
        <f t="shared" ca="1" si="94"/>
        <v/>
      </c>
      <c r="O22" s="126"/>
      <c r="P22" s="126" t="str">
        <f t="shared" ca="1" si="95"/>
        <v/>
      </c>
      <c r="Q22" s="126"/>
      <c r="R22" s="9"/>
      <c r="S22" s="164" t="str">
        <f t="shared" ca="1" si="8"/>
        <v/>
      </c>
      <c r="T22" s="126" t="str">
        <f t="shared" ca="1" si="137"/>
        <v/>
      </c>
      <c r="U22" s="126"/>
      <c r="V22" s="126" t="str">
        <f t="shared" ca="1" si="138"/>
        <v/>
      </c>
      <c r="W22" s="126"/>
      <c r="X22" s="126" t="str">
        <f t="shared" ca="1" si="139"/>
        <v/>
      </c>
      <c r="Y22" s="126"/>
      <c r="Z22" s="9"/>
      <c r="AA22" s="164" t="str">
        <f t="shared" ca="1" si="12"/>
        <v/>
      </c>
      <c r="AB22" s="126" t="str">
        <f t="shared" ca="1" si="81"/>
        <v/>
      </c>
      <c r="AC22" s="126"/>
      <c r="AD22" s="126" t="str">
        <f t="shared" ca="1" si="82"/>
        <v/>
      </c>
      <c r="AE22" s="126"/>
      <c r="AF22" s="126" t="str">
        <f t="shared" ca="1" si="83"/>
        <v/>
      </c>
      <c r="AG22" s="126"/>
      <c r="AH22" s="9"/>
      <c r="AI22" s="164" t="str">
        <f t="shared" ca="1" si="65"/>
        <v/>
      </c>
      <c r="AJ22" s="126">
        <f>Basistabelle!D140</f>
        <v>0</v>
      </c>
      <c r="AK22" s="126"/>
      <c r="AL22" s="126" t="str">
        <f t="shared" ca="1" si="99"/>
        <v/>
      </c>
      <c r="AM22" s="126"/>
      <c r="AN22" s="126" t="str">
        <f t="shared" ca="1" si="140"/>
        <v/>
      </c>
      <c r="AO22" s="126"/>
      <c r="AP22" s="9"/>
      <c r="AQ22" s="164" t="str">
        <f t="shared" ca="1" si="19"/>
        <v/>
      </c>
      <c r="AR22" s="126" t="str">
        <f t="shared" ca="1" si="141"/>
        <v/>
      </c>
      <c r="AS22" s="126"/>
      <c r="AT22" s="126" t="str">
        <f t="shared" ca="1" si="142"/>
        <v/>
      </c>
      <c r="AU22" s="126"/>
      <c r="AV22" s="126" t="str">
        <f t="shared" ca="1" si="143"/>
        <v/>
      </c>
      <c r="AW22" s="126"/>
      <c r="AX22" s="9"/>
      <c r="AY22" s="164" t="str">
        <f t="shared" ca="1" si="21"/>
        <v/>
      </c>
      <c r="AZ22" s="126" t="str">
        <f t="shared" ca="1" si="42"/>
        <v/>
      </c>
      <c r="BA22" s="126"/>
      <c r="BB22" s="126" t="str">
        <f t="shared" ca="1" si="43"/>
        <v/>
      </c>
      <c r="BC22" s="126"/>
      <c r="BD22" s="126" t="str">
        <f t="shared" ca="1" si="44"/>
        <v/>
      </c>
      <c r="BE22" s="126"/>
      <c r="BF22" s="22"/>
      <c r="BG22" s="164" t="str">
        <f t="shared" ca="1" si="23"/>
        <v/>
      </c>
      <c r="BH22" s="126" t="str">
        <f t="shared" ca="1" si="144"/>
        <v/>
      </c>
      <c r="BI22" s="126"/>
      <c r="BJ22" s="126" t="str">
        <f t="shared" ca="1" si="145"/>
        <v/>
      </c>
      <c r="BK22" s="126"/>
      <c r="BL22" s="126" t="str">
        <f t="shared" ca="1" si="146"/>
        <v/>
      </c>
      <c r="BM22" s="126"/>
      <c r="BN22" s="9"/>
      <c r="BO22" s="164" t="str">
        <f t="shared" ca="1" si="25"/>
        <v/>
      </c>
      <c r="BP22" s="126" t="str">
        <f t="shared" ca="1" si="147"/>
        <v/>
      </c>
      <c r="BQ22" s="127"/>
      <c r="BR22" s="126" t="str">
        <f t="shared" ca="1" si="148"/>
        <v/>
      </c>
      <c r="BS22" s="127"/>
      <c r="BT22" s="127" t="str">
        <f t="shared" ca="1" si="149"/>
        <v/>
      </c>
      <c r="BU22" s="127"/>
      <c r="BV22" s="9"/>
      <c r="BW22" s="164" t="str">
        <f t="shared" ca="1" si="27"/>
        <v/>
      </c>
      <c r="BX22" s="126" t="str">
        <f t="shared" ca="1" si="150"/>
        <v/>
      </c>
      <c r="BY22" s="126"/>
      <c r="BZ22" s="126" t="str">
        <f t="shared" ca="1" si="151"/>
        <v/>
      </c>
      <c r="CA22" s="126"/>
      <c r="CB22" s="126" t="str">
        <f t="shared" ca="1" si="152"/>
        <v/>
      </c>
      <c r="CC22" s="126"/>
      <c r="CD22" s="9"/>
      <c r="CE22" s="164" t="str">
        <f t="shared" ca="1" si="29"/>
        <v/>
      </c>
      <c r="CF22" s="126" t="str">
        <f t="shared" ca="1" si="153"/>
        <v/>
      </c>
      <c r="CG22" s="126"/>
      <c r="CH22" s="126" t="str">
        <f t="shared" ca="1" si="154"/>
        <v/>
      </c>
      <c r="CI22" s="126"/>
      <c r="CJ22" s="126" t="str">
        <f t="shared" ca="1" si="155"/>
        <v/>
      </c>
      <c r="CK22" s="126"/>
      <c r="CL22" s="9"/>
      <c r="CM22" s="164" t="str">
        <f t="shared" ca="1" si="31"/>
        <v/>
      </c>
      <c r="CN22" s="126" t="str">
        <f t="shared" ca="1" si="156"/>
        <v/>
      </c>
      <c r="CO22" s="126"/>
      <c r="CP22" s="126" t="str">
        <f t="shared" ca="1" si="157"/>
        <v/>
      </c>
      <c r="CQ22" s="126"/>
      <c r="CR22" s="126" t="str">
        <f t="shared" ca="1" si="158"/>
        <v/>
      </c>
      <c r="CS22" s="140"/>
    </row>
    <row r="23" spans="1:97" s="2" customFormat="1" ht="12.75" customHeight="1" x14ac:dyDescent="0.2">
      <c r="A23" s="9" t="s">
        <v>5</v>
      </c>
      <c r="B23" s="10"/>
      <c r="C23" s="164" t="str">
        <f t="shared" ca="1" si="0"/>
        <v/>
      </c>
      <c r="D23" s="126" t="str">
        <f t="shared" ca="1" si="134"/>
        <v/>
      </c>
      <c r="E23" s="126"/>
      <c r="F23" s="126" t="str">
        <f t="shared" ca="1" si="135"/>
        <v/>
      </c>
      <c r="G23" s="126"/>
      <c r="H23" s="126" t="str">
        <f t="shared" ca="1" si="136"/>
        <v/>
      </c>
      <c r="I23" s="126"/>
      <c r="J23" s="51"/>
      <c r="K23" s="164" t="str">
        <f t="shared" ca="1" si="4"/>
        <v/>
      </c>
      <c r="L23" s="126" t="str">
        <f t="shared" ca="1" si="93"/>
        <v/>
      </c>
      <c r="M23" s="126"/>
      <c r="N23" s="126" t="str">
        <f t="shared" ca="1" si="94"/>
        <v/>
      </c>
      <c r="O23" s="126"/>
      <c r="P23" s="126" t="str">
        <f t="shared" ca="1" si="95"/>
        <v/>
      </c>
      <c r="Q23" s="126"/>
      <c r="R23" s="9"/>
      <c r="S23" s="164" t="str">
        <f t="shared" ca="1" si="8"/>
        <v/>
      </c>
      <c r="T23" s="126" t="str">
        <f t="shared" ca="1" si="137"/>
        <v/>
      </c>
      <c r="U23" s="126"/>
      <c r="V23" s="126" t="str">
        <f t="shared" ca="1" si="138"/>
        <v/>
      </c>
      <c r="W23" s="126"/>
      <c r="X23" s="126" t="str">
        <f t="shared" ca="1" si="139"/>
        <v/>
      </c>
      <c r="Y23" s="126"/>
      <c r="Z23" s="9"/>
      <c r="AA23" s="164" t="str">
        <f t="shared" ca="1" si="12"/>
        <v/>
      </c>
      <c r="AB23" s="126" t="str">
        <f t="shared" ca="1" si="81"/>
        <v/>
      </c>
      <c r="AC23" s="126"/>
      <c r="AD23" s="126" t="str">
        <f t="shared" ca="1" si="82"/>
        <v/>
      </c>
      <c r="AE23" s="126"/>
      <c r="AF23" s="126" t="str">
        <f t="shared" ca="1" si="83"/>
        <v/>
      </c>
      <c r="AG23" s="126"/>
      <c r="AH23" s="9"/>
      <c r="AI23" s="164" t="str">
        <f t="shared" ca="1" si="65"/>
        <v/>
      </c>
      <c r="AJ23" s="126">
        <f>Basistabelle!D141</f>
        <v>0</v>
      </c>
      <c r="AK23" s="126"/>
      <c r="AL23" s="126" t="str">
        <f t="shared" ca="1" si="99"/>
        <v/>
      </c>
      <c r="AM23" s="126"/>
      <c r="AN23" s="126" t="str">
        <f t="shared" ca="1" si="140"/>
        <v/>
      </c>
      <c r="AO23" s="126"/>
      <c r="AP23" s="9"/>
      <c r="AQ23" s="164" t="str">
        <f t="shared" ca="1" si="19"/>
        <v/>
      </c>
      <c r="AR23" s="126" t="str">
        <f t="shared" ca="1" si="141"/>
        <v/>
      </c>
      <c r="AS23" s="126"/>
      <c r="AT23" s="126" t="str">
        <f t="shared" ca="1" si="142"/>
        <v/>
      </c>
      <c r="AU23" s="126"/>
      <c r="AV23" s="126" t="str">
        <f t="shared" ca="1" si="143"/>
        <v/>
      </c>
      <c r="AW23" s="126"/>
      <c r="AX23" s="9"/>
      <c r="AY23" s="164" t="str">
        <f t="shared" ca="1" si="21"/>
        <v/>
      </c>
      <c r="AZ23" s="126" t="str">
        <f t="shared" ca="1" si="42"/>
        <v/>
      </c>
      <c r="BA23" s="126"/>
      <c r="BB23" s="126" t="str">
        <f t="shared" ca="1" si="43"/>
        <v/>
      </c>
      <c r="BC23" s="126"/>
      <c r="BD23" s="126" t="str">
        <f t="shared" ca="1" si="44"/>
        <v/>
      </c>
      <c r="BE23" s="126"/>
      <c r="BF23" s="9"/>
      <c r="BG23" s="164" t="str">
        <f t="shared" ca="1" si="23"/>
        <v/>
      </c>
      <c r="BH23" s="126" t="str">
        <f t="shared" ca="1" si="144"/>
        <v/>
      </c>
      <c r="BI23" s="126"/>
      <c r="BJ23" s="126" t="str">
        <f t="shared" ca="1" si="145"/>
        <v/>
      </c>
      <c r="BK23" s="126"/>
      <c r="BL23" s="126" t="str">
        <f t="shared" ca="1" si="146"/>
        <v/>
      </c>
      <c r="BM23" s="126"/>
      <c r="BN23" s="9"/>
      <c r="BO23" s="164" t="str">
        <f t="shared" ca="1" si="25"/>
        <v/>
      </c>
      <c r="BP23" s="126" t="str">
        <f t="shared" ca="1" si="147"/>
        <v/>
      </c>
      <c r="BQ23" s="127"/>
      <c r="BR23" s="126" t="str">
        <f t="shared" ca="1" si="148"/>
        <v/>
      </c>
      <c r="BS23" s="127"/>
      <c r="BT23" s="127" t="str">
        <f t="shared" ca="1" si="149"/>
        <v/>
      </c>
      <c r="BU23" s="127"/>
      <c r="BV23" s="9"/>
      <c r="BW23" s="164" t="str">
        <f t="shared" ca="1" si="27"/>
        <v/>
      </c>
      <c r="BX23" s="126" t="str">
        <f t="shared" ca="1" si="150"/>
        <v/>
      </c>
      <c r="BY23" s="126"/>
      <c r="BZ23" s="126" t="str">
        <f t="shared" ca="1" si="151"/>
        <v/>
      </c>
      <c r="CA23" s="126"/>
      <c r="CB23" s="126" t="str">
        <f t="shared" ca="1" si="152"/>
        <v/>
      </c>
      <c r="CC23" s="126"/>
      <c r="CD23" s="9"/>
      <c r="CE23" s="164" t="str">
        <f t="shared" ca="1" si="29"/>
        <v/>
      </c>
      <c r="CF23" s="126" t="str">
        <f t="shared" ca="1" si="153"/>
        <v/>
      </c>
      <c r="CG23" s="126"/>
      <c r="CH23" s="126" t="str">
        <f t="shared" ca="1" si="154"/>
        <v/>
      </c>
      <c r="CI23" s="126"/>
      <c r="CJ23" s="126" t="str">
        <f t="shared" ca="1" si="155"/>
        <v/>
      </c>
      <c r="CK23" s="126"/>
      <c r="CL23" s="9"/>
      <c r="CM23" s="164" t="str">
        <f t="shared" ca="1" si="31"/>
        <v/>
      </c>
      <c r="CN23" s="126" t="str">
        <f t="shared" ca="1" si="156"/>
        <v/>
      </c>
      <c r="CO23" s="126"/>
      <c r="CP23" s="126" t="str">
        <f t="shared" ca="1" si="157"/>
        <v/>
      </c>
      <c r="CQ23" s="126"/>
      <c r="CR23" s="126" t="str">
        <f t="shared" ca="1" si="158"/>
        <v/>
      </c>
      <c r="CS23" s="140"/>
    </row>
    <row r="24" spans="1:97" s="2" customFormat="1" ht="15" customHeight="1" x14ac:dyDescent="0.2">
      <c r="A24" s="6" t="s">
        <v>25</v>
      </c>
      <c r="B24" s="8"/>
      <c r="C24" s="164" t="str">
        <f t="shared" ca="1" si="0"/>
        <v/>
      </c>
      <c r="D24" s="157" t="str">
        <f t="shared" ca="1" si="134"/>
        <v/>
      </c>
      <c r="E24" s="124"/>
      <c r="F24" s="121" t="str">
        <f t="shared" ca="1" si="135"/>
        <v/>
      </c>
      <c r="G24" s="124"/>
      <c r="H24" s="157" t="str">
        <f t="shared" ca="1" si="136"/>
        <v/>
      </c>
      <c r="I24" s="124"/>
      <c r="J24" s="6"/>
      <c r="K24" s="164" t="str">
        <f t="shared" ca="1" si="4"/>
        <v/>
      </c>
      <c r="L24" s="157" t="str">
        <f t="shared" ref="L24" ca="1" si="159">IF(J24&gt;0,IF(INDIRECT("Basistabelle!D" &amp; $A$1+J24+K$1)&gt;"",INDIRECT("Basistabelle!D" &amp; $A$1+J24+K$1),""),"")</f>
        <v/>
      </c>
      <c r="M24" s="124"/>
      <c r="N24" s="121" t="str">
        <f t="shared" ref="N24" ca="1" si="160">IF(J24&gt;0,IF(INDIRECT("Basistabelle!E" &amp; $A$1+J24+K$1)&gt;"",INDIRECT("Basistabelle!E" &amp; $A$1+J24+K$1),""),"")</f>
        <v/>
      </c>
      <c r="O24" s="124"/>
      <c r="P24" s="157" t="str">
        <f t="shared" ref="P24" ca="1" si="161">IF(J24&gt;0,IF(INDIRECT("Basistabelle!F" &amp; $A$1+J24+K$1)&gt;"",INDIRECT("Basistabelle!F" &amp; $A$1+J24+K$1),""),"")</f>
        <v/>
      </c>
      <c r="Q24" s="124"/>
      <c r="R24" s="18"/>
      <c r="S24" s="164" t="str">
        <f t="shared" ca="1" si="8"/>
        <v/>
      </c>
      <c r="T24" s="157" t="str">
        <f t="shared" ca="1" si="137"/>
        <v/>
      </c>
      <c r="U24" s="124"/>
      <c r="V24" s="121" t="str">
        <f t="shared" ca="1" si="138"/>
        <v/>
      </c>
      <c r="W24" s="124"/>
      <c r="X24" s="157" t="str">
        <f t="shared" ca="1" si="139"/>
        <v/>
      </c>
      <c r="Y24" s="124"/>
      <c r="Z24" s="18"/>
      <c r="AA24" s="164" t="str">
        <f t="shared" ca="1" si="12"/>
        <v/>
      </c>
      <c r="AB24" s="155" t="str">
        <f t="shared" ca="1" si="81"/>
        <v/>
      </c>
      <c r="AC24" s="124"/>
      <c r="AD24" s="121" t="str">
        <f t="shared" ca="1" si="82"/>
        <v/>
      </c>
      <c r="AE24" s="124"/>
      <c r="AF24" s="155" t="str">
        <f t="shared" ca="1" si="83"/>
        <v/>
      </c>
      <c r="AG24" s="124"/>
      <c r="AH24" s="18"/>
      <c r="AI24" s="164" t="str">
        <f t="shared" ca="1" si="65"/>
        <v/>
      </c>
      <c r="AJ24" s="157" t="str">
        <f ca="1">IF(AH24&gt;0,IF(INDIRECT("Basistabelle!D" &amp; $A$1+AH24+AI$1)&gt;"",INDIRECT("Basistabelle!D" &amp; $A$1+AH24+AI$1),""),"")</f>
        <v/>
      </c>
      <c r="AK24" s="124"/>
      <c r="AL24" s="121" t="str">
        <f t="shared" ref="AL24" ca="1" si="162">IF(AH24&gt;0,IF(INDIRECT("Basistabelle!E" &amp; $A$1+AH24+AI$1)&gt;"",INDIRECT("Basistabelle!E" &amp; $A$1+AH24+AI$1),""),"")</f>
        <v/>
      </c>
      <c r="AM24" s="124"/>
      <c r="AN24" s="157" t="str">
        <f t="shared" ca="1" si="140"/>
        <v/>
      </c>
      <c r="AO24" s="124"/>
      <c r="AP24" s="18"/>
      <c r="AQ24" s="164" t="str">
        <f t="shared" ca="1" si="19"/>
        <v/>
      </c>
      <c r="AR24" s="157" t="str">
        <f t="shared" ca="1" si="141"/>
        <v/>
      </c>
      <c r="AS24" s="124"/>
      <c r="AT24" s="121" t="str">
        <f t="shared" ca="1" si="142"/>
        <v/>
      </c>
      <c r="AU24" s="124"/>
      <c r="AV24" s="157" t="str">
        <f t="shared" ca="1" si="143"/>
        <v/>
      </c>
      <c r="AW24" s="163"/>
      <c r="AX24" s="18"/>
      <c r="AY24" s="164" t="str">
        <f t="shared" ca="1" si="21"/>
        <v/>
      </c>
      <c r="AZ24" s="125" t="str">
        <f t="shared" ca="1" si="42"/>
        <v/>
      </c>
      <c r="BA24" s="124"/>
      <c r="BB24" s="121" t="str">
        <f t="shared" ca="1" si="43"/>
        <v/>
      </c>
      <c r="BC24" s="124"/>
      <c r="BD24" s="125" t="str">
        <f t="shared" ca="1" si="44"/>
        <v/>
      </c>
      <c r="BE24" s="137"/>
      <c r="BF24" s="21"/>
      <c r="BG24" s="164" t="str">
        <f t="shared" ca="1" si="23"/>
        <v/>
      </c>
      <c r="BH24" s="157" t="str">
        <f t="shared" ca="1" si="144"/>
        <v/>
      </c>
      <c r="BI24" s="124"/>
      <c r="BJ24" s="121" t="str">
        <f t="shared" ca="1" si="145"/>
        <v/>
      </c>
      <c r="BK24" s="124"/>
      <c r="BL24" s="157" t="str">
        <f t="shared" ca="1" si="146"/>
        <v/>
      </c>
      <c r="BM24" s="163"/>
      <c r="BN24" s="18"/>
      <c r="BO24" s="164" t="str">
        <f t="shared" ca="1" si="25"/>
        <v/>
      </c>
      <c r="BP24" s="157" t="str">
        <f t="shared" ca="1" si="147"/>
        <v/>
      </c>
      <c r="BQ24" s="124"/>
      <c r="BR24" s="121" t="str">
        <f t="shared" ca="1" si="148"/>
        <v/>
      </c>
      <c r="BS24" s="124"/>
      <c r="BT24" s="157" t="str">
        <f t="shared" ca="1" si="149"/>
        <v/>
      </c>
      <c r="BU24" s="124"/>
      <c r="BV24" s="6"/>
      <c r="BW24" s="164" t="str">
        <f t="shared" ca="1" si="27"/>
        <v/>
      </c>
      <c r="BX24" s="157" t="str">
        <f t="shared" ca="1" si="150"/>
        <v/>
      </c>
      <c r="BY24" s="124"/>
      <c r="BZ24" s="121" t="str">
        <f t="shared" ca="1" si="151"/>
        <v/>
      </c>
      <c r="CA24" s="124"/>
      <c r="CB24" s="157" t="str">
        <f t="shared" ca="1" si="152"/>
        <v/>
      </c>
      <c r="CC24" s="163"/>
      <c r="CD24" s="18"/>
      <c r="CE24" s="164" t="str">
        <f t="shared" ca="1" si="29"/>
        <v/>
      </c>
      <c r="CF24" s="157" t="str">
        <f t="shared" ca="1" si="153"/>
        <v/>
      </c>
      <c r="CG24" s="124"/>
      <c r="CH24" s="121" t="str">
        <f t="shared" ca="1" si="154"/>
        <v/>
      </c>
      <c r="CI24" s="124"/>
      <c r="CJ24" s="157" t="str">
        <f t="shared" ca="1" si="155"/>
        <v/>
      </c>
      <c r="CK24" s="124"/>
      <c r="CL24" s="6"/>
      <c r="CM24" s="164" t="str">
        <f t="shared" ca="1" si="31"/>
        <v/>
      </c>
      <c r="CN24" s="157" t="str">
        <f t="shared" ca="1" si="156"/>
        <v/>
      </c>
      <c r="CO24" s="124"/>
      <c r="CP24" s="121" t="str">
        <f t="shared" ca="1" si="157"/>
        <v/>
      </c>
      <c r="CQ24" s="124"/>
      <c r="CR24" s="157" t="str">
        <f t="shared" ca="1" si="158"/>
        <v/>
      </c>
      <c r="CS24" s="139"/>
    </row>
    <row r="25" spans="1:97" s="2" customFormat="1" x14ac:dyDescent="0.2">
      <c r="A25" s="6" t="s">
        <v>6</v>
      </c>
      <c r="B25" s="8"/>
      <c r="C25" s="164" t="str">
        <f t="shared" ca="1" si="0"/>
        <v/>
      </c>
      <c r="D25" s="125" t="str">
        <f t="shared" ref="D25:D31" ca="1" si="163">IF(B25&gt;0,IF(INDIRECT("Basistabelle!D" &amp; $A$1+B25+C$1)&gt;"",INDIRECT("Basistabelle!D" &amp; $A$1+B25+C$1),""),"")</f>
        <v/>
      </c>
      <c r="E25" s="124"/>
      <c r="F25" s="121" t="str">
        <f t="shared" ref="F25:F31" ca="1" si="164">IF(B25&gt;0,IF(INDIRECT("Basistabelle!E" &amp; $A$1+B25+C$1)&gt;"",INDIRECT("Basistabelle!E" &amp; $A$1+B25+C$1),""),"")</f>
        <v/>
      </c>
      <c r="G25" s="124"/>
      <c r="H25" s="125" t="str">
        <f t="shared" ref="H25:H31" ca="1" si="165">IF(B25&gt;0,IF(INDIRECT("Basistabelle!F" &amp; $A$1+B25+C$1)&gt;"",INDIRECT("Basistabelle!F" &amp; $A$1+B25+C$1),""),"")</f>
        <v/>
      </c>
      <c r="I25" s="124"/>
      <c r="J25" s="6"/>
      <c r="K25" s="164" t="str">
        <f t="shared" ca="1" si="4"/>
        <v/>
      </c>
      <c r="L25" s="125" t="str">
        <f t="shared" ca="1" si="93"/>
        <v/>
      </c>
      <c r="M25" s="124"/>
      <c r="N25" s="121" t="str">
        <f t="shared" ca="1" si="94"/>
        <v/>
      </c>
      <c r="O25" s="124"/>
      <c r="P25" s="125" t="str">
        <f t="shared" ca="1" si="95"/>
        <v/>
      </c>
      <c r="Q25" s="124"/>
      <c r="R25" s="6"/>
      <c r="S25" s="164" t="str">
        <f t="shared" ca="1" si="8"/>
        <v/>
      </c>
      <c r="T25" s="125" t="str">
        <f t="shared" ref="T25:T31" ca="1" si="166">IF(R25&gt;0,IF(INDIRECT("Basistabelle!D" &amp; $A$1+R25+S$1)&gt;"",INDIRECT("Basistabelle!D" &amp; $A$1+R25+S$1),""),"")</f>
        <v/>
      </c>
      <c r="U25" s="124"/>
      <c r="V25" s="121" t="str">
        <f t="shared" ref="V25:V31" ca="1" si="167">IF(R25&gt;0,IF(INDIRECT("Basistabelle!E" &amp; $A$1+R25+S$1)&gt;"",INDIRECT("Basistabelle!E" &amp; $A$1+R25+S$1),""),"")</f>
        <v/>
      </c>
      <c r="W25" s="124"/>
      <c r="X25" s="125" t="str">
        <f t="shared" ref="X25:X31" ca="1" si="168">IF(R25&gt;0,IF(INDIRECT("Basistabelle!F" &amp; $A$1+R25+S$1)&gt;"",INDIRECT("Basistabelle!F" &amp; $A$1+R25+S$1),""),"")</f>
        <v/>
      </c>
      <c r="Y25" s="124"/>
      <c r="Z25" s="6"/>
      <c r="AA25" s="164" t="str">
        <f t="shared" ca="1" si="12"/>
        <v/>
      </c>
      <c r="AB25" s="125" t="str">
        <f t="shared" ca="1" si="81"/>
        <v/>
      </c>
      <c r="AC25" s="124"/>
      <c r="AD25" s="121" t="str">
        <f t="shared" ca="1" si="82"/>
        <v/>
      </c>
      <c r="AE25" s="124"/>
      <c r="AF25" s="125" t="str">
        <f t="shared" ca="1" si="83"/>
        <v/>
      </c>
      <c r="AG25" s="124"/>
      <c r="AH25" s="6"/>
      <c r="AI25" s="164" t="str">
        <f t="shared" ca="1" si="65"/>
        <v/>
      </c>
      <c r="AJ25" s="125">
        <f>Basistabelle!D143</f>
        <v>0</v>
      </c>
      <c r="AK25" s="124"/>
      <c r="AL25" s="121" t="str">
        <f t="shared" ca="1" si="99"/>
        <v/>
      </c>
      <c r="AM25" s="124"/>
      <c r="AN25" s="125" t="str">
        <f t="shared" ref="AN25:AN31" ca="1" si="169">IF(AH25&gt;0,IF(INDIRECT("Basistabelle!F" &amp; $A$1+AH25+AI$1)&gt;"",INDIRECT("Basistabelle!F" &amp; $A$1+AH25+AI$1),""),"")</f>
        <v/>
      </c>
      <c r="AO25" s="124"/>
      <c r="AP25" s="6"/>
      <c r="AQ25" s="164" t="str">
        <f t="shared" ca="1" si="19"/>
        <v/>
      </c>
      <c r="AR25" s="125" t="str">
        <f t="shared" ref="AR25:AR31" ca="1" si="170">IF(AP25&gt;0,IF(INDIRECT("Basistabelle!D" &amp; $A$1+AP25+AQ$1)&gt;"",INDIRECT("Basistabelle!D" &amp; $A$1+AP25+AQ$1),""),"")</f>
        <v/>
      </c>
      <c r="AS25" s="124"/>
      <c r="AT25" s="121" t="str">
        <f t="shared" ref="AT25:AT31" ca="1" si="171">IF(AP25&gt;0,IF(INDIRECT("Basistabelle!E" &amp; $A$1+AP25+AQ$1)&gt;"",INDIRECT("Basistabelle!E" &amp; $A$1+AP25+AQ$1),""),"")</f>
        <v/>
      </c>
      <c r="AU25" s="124"/>
      <c r="AV25" s="125" t="str">
        <f t="shared" ref="AV25:AV31" ca="1" si="172">IF(AP25&gt;0,IF(INDIRECT("Basistabelle!F" &amp; $A$1+AP25+AQ$1)&gt;"",INDIRECT("Basistabelle!F" &amp; $A$1+AP25+AQ$1),""),"")</f>
        <v/>
      </c>
      <c r="AW25" s="124"/>
      <c r="AX25" s="6"/>
      <c r="AY25" s="164" t="str">
        <f t="shared" ca="1" si="21"/>
        <v/>
      </c>
      <c r="AZ25" s="125" t="str">
        <f t="shared" ca="1" si="42"/>
        <v/>
      </c>
      <c r="BA25" s="124"/>
      <c r="BB25" s="121" t="str">
        <f t="shared" ca="1" si="43"/>
        <v/>
      </c>
      <c r="BC25" s="124"/>
      <c r="BD25" s="125" t="str">
        <f t="shared" ca="1" si="44"/>
        <v/>
      </c>
      <c r="BE25" s="124"/>
      <c r="BF25" s="21"/>
      <c r="BG25" s="164" t="str">
        <f t="shared" ca="1" si="23"/>
        <v/>
      </c>
      <c r="BH25" s="125" t="str">
        <f t="shared" ref="BH25:BH29" ca="1" si="173">IF(BF25&gt;0,IF(INDIRECT("Basistabelle!D" &amp; $A$1+BF25+BG$1)&gt;"",INDIRECT("Basistabelle!D" &amp; $A$1+BF25+BG$1),""),"")</f>
        <v/>
      </c>
      <c r="BI25" s="124"/>
      <c r="BJ25" s="121" t="str">
        <f t="shared" ref="BJ25:BJ31" ca="1" si="174">IF(BF25&gt;0,IF(INDIRECT("Basistabelle!E" &amp; $A$1+BF25+BG$1)&gt;"",INDIRECT("Basistabelle!E" &amp; $A$1+BF25+BG$1),""),"")</f>
        <v/>
      </c>
      <c r="BK25" s="124"/>
      <c r="BL25" s="125" t="str">
        <f t="shared" ref="BL25:BL31" ca="1" si="175">IF(BF25&gt;0,IF(INDIRECT("Basistabelle!F" &amp; $A$1+BF25+BG$1)&gt;"",INDIRECT("Basistabelle!F" &amp; $A$1+BF25+BG$1),""),"")</f>
        <v/>
      </c>
      <c r="BM25" s="124"/>
      <c r="BN25" s="6"/>
      <c r="BO25" s="164" t="str">
        <f t="shared" ca="1" si="25"/>
        <v/>
      </c>
      <c r="BP25" s="125" t="str">
        <f t="shared" ca="1" si="147"/>
        <v/>
      </c>
      <c r="BQ25" s="124"/>
      <c r="BR25" s="121" t="str">
        <f t="shared" ca="1" si="148"/>
        <v/>
      </c>
      <c r="BS25" s="124"/>
      <c r="BT25" s="125" t="str">
        <f t="shared" ca="1" si="149"/>
        <v/>
      </c>
      <c r="BU25" s="124"/>
      <c r="BV25" s="6"/>
      <c r="BW25" s="164" t="str">
        <f t="shared" ca="1" si="27"/>
        <v/>
      </c>
      <c r="BX25" s="125" t="str">
        <f t="shared" ref="BX25:BX31" ca="1" si="176">IF(BV25&gt;0,IF(INDIRECT("Basistabelle!D" &amp; $A$1+BV25+BW$1)&gt;"",INDIRECT("Basistabelle!D" &amp; $A$1+BV25+BW$1),""),"")</f>
        <v/>
      </c>
      <c r="BY25" s="124"/>
      <c r="BZ25" s="121" t="str">
        <f t="shared" ref="BZ25:BZ31" ca="1" si="177">IF(BV25&gt;0,IF(INDIRECT("Basistabelle!E" &amp; $A$1+BV25+BW$1)&gt;"",INDIRECT("Basistabelle!E" &amp; $A$1+BV25+BW$1),""),"")</f>
        <v/>
      </c>
      <c r="CA25" s="124"/>
      <c r="CB25" s="125" t="str">
        <f t="shared" ref="CB25:CB31" ca="1" si="178">IF(BV25&gt;0,IF(INDIRECT("Basistabelle!F" &amp; $A$1+BV25+BW$1)&gt;"",INDIRECT("Basistabelle!F" &amp; $A$1+BV25+BW$1),""),"")</f>
        <v/>
      </c>
      <c r="CC25" s="124"/>
      <c r="CD25" s="6"/>
      <c r="CE25" s="164" t="str">
        <f t="shared" ca="1" si="29"/>
        <v/>
      </c>
      <c r="CF25" s="125" t="str">
        <f t="shared" ref="CF25:CF31" ca="1" si="179">IF(CD25&gt;0,IF(INDIRECT("Basistabelle!D" &amp; $A$1+CD25+CE$1)&gt;"",INDIRECT("Basistabelle!D" &amp; $A$1+CD25+CE$1),""),"")</f>
        <v/>
      </c>
      <c r="CG25" s="124"/>
      <c r="CH25" s="121" t="str">
        <f t="shared" ref="CH25:CH31" ca="1" si="180">IF(CD25&gt;0,IF(INDIRECT("Basistabelle!E" &amp; $A$1+CD25+CE$1)&gt;"",INDIRECT("Basistabelle!E" &amp; $A$1+CD25+CE$1),""),"")</f>
        <v/>
      </c>
      <c r="CI25" s="124"/>
      <c r="CJ25" s="125" t="str">
        <f t="shared" ref="CJ25:CJ31" ca="1" si="181">IF(CD25&gt;0,IF(INDIRECT("Basistabelle!F" &amp; $A$1+CD25+CE$1)&gt;"",INDIRECT("Basistabelle!F" &amp; $A$1+CD25+CE$1),""),"")</f>
        <v/>
      </c>
      <c r="CK25" s="124"/>
      <c r="CL25" s="6"/>
      <c r="CM25" s="164" t="str">
        <f t="shared" ca="1" si="31"/>
        <v/>
      </c>
      <c r="CN25" s="125" t="str">
        <f t="shared" ref="CN25:CN41" ca="1" si="182">IF(CL25&gt;0,IF(INDIRECT("Basistabelle!D" &amp; $A$1+CL25+CM$1)&gt;"",INDIRECT("Basistabelle!D" &amp; $A$1+CL25+CM$1),""),"")</f>
        <v/>
      </c>
      <c r="CO25" s="124"/>
      <c r="CP25" s="121" t="str">
        <f t="shared" ref="CP25:CP41" ca="1" si="183">IF(CL25&gt;0,IF(INDIRECT("Basistabelle!E" &amp; $A$1+CL25+CM$1)&gt;"",INDIRECT("Basistabelle!E" &amp; $A$1+CL25+CM$1),""),"")</f>
        <v/>
      </c>
      <c r="CQ25" s="124"/>
      <c r="CR25" s="125" t="str">
        <f t="shared" ref="CR25:CR41" ca="1" si="184">IF(CL25&gt;0,IF(INDIRECT("Basistabelle!F" &amp; $A$1+CL25+CM$1)&gt;"",INDIRECT("Basistabelle!F" &amp; $A$1+CL25+CM$1),""),"")</f>
        <v/>
      </c>
      <c r="CS25" s="139"/>
    </row>
    <row r="26" spans="1:97" s="2" customFormat="1" x14ac:dyDescent="0.2">
      <c r="A26" s="6" t="s">
        <v>7</v>
      </c>
      <c r="B26" s="8"/>
      <c r="C26" s="164" t="str">
        <f t="shared" ca="1" si="0"/>
        <v/>
      </c>
      <c r="D26" s="125" t="str">
        <f t="shared" ca="1" si="163"/>
        <v/>
      </c>
      <c r="E26" s="124"/>
      <c r="F26" s="121" t="str">
        <f t="shared" ca="1" si="164"/>
        <v/>
      </c>
      <c r="G26" s="124"/>
      <c r="H26" s="125" t="str">
        <f t="shared" ca="1" si="165"/>
        <v/>
      </c>
      <c r="I26" s="124"/>
      <c r="J26" s="6"/>
      <c r="K26" s="164" t="str">
        <f t="shared" ca="1" si="4"/>
        <v/>
      </c>
      <c r="L26" s="125" t="str">
        <f t="shared" ca="1" si="93"/>
        <v/>
      </c>
      <c r="M26" s="124"/>
      <c r="N26" s="121" t="str">
        <f t="shared" ca="1" si="94"/>
        <v/>
      </c>
      <c r="O26" s="124"/>
      <c r="P26" s="125" t="str">
        <f t="shared" ca="1" si="95"/>
        <v/>
      </c>
      <c r="Q26" s="124"/>
      <c r="R26" s="6"/>
      <c r="S26" s="164" t="str">
        <f t="shared" ca="1" si="8"/>
        <v/>
      </c>
      <c r="T26" s="125" t="str">
        <f t="shared" ca="1" si="166"/>
        <v/>
      </c>
      <c r="U26" s="124"/>
      <c r="V26" s="121" t="str">
        <f t="shared" ca="1" si="167"/>
        <v/>
      </c>
      <c r="W26" s="124"/>
      <c r="X26" s="125" t="str">
        <f t="shared" ca="1" si="168"/>
        <v/>
      </c>
      <c r="Y26" s="124"/>
      <c r="Z26" s="6"/>
      <c r="AA26" s="164" t="str">
        <f t="shared" ca="1" si="12"/>
        <v/>
      </c>
      <c r="AB26" s="125" t="str">
        <f t="shared" ca="1" si="81"/>
        <v/>
      </c>
      <c r="AC26" s="124"/>
      <c r="AD26" s="121" t="str">
        <f t="shared" ca="1" si="82"/>
        <v/>
      </c>
      <c r="AE26" s="124"/>
      <c r="AF26" s="125" t="str">
        <f t="shared" ca="1" si="83"/>
        <v/>
      </c>
      <c r="AG26" s="124"/>
      <c r="AH26" s="6"/>
      <c r="AI26" s="164" t="str">
        <f t="shared" ca="1" si="65"/>
        <v/>
      </c>
      <c r="AJ26" s="125">
        <f>Basistabelle!D144</f>
        <v>0</v>
      </c>
      <c r="AK26" s="124"/>
      <c r="AL26" s="121" t="str">
        <f t="shared" ca="1" si="99"/>
        <v/>
      </c>
      <c r="AM26" s="124"/>
      <c r="AN26" s="125" t="str">
        <f t="shared" ca="1" si="169"/>
        <v/>
      </c>
      <c r="AO26" s="124"/>
      <c r="AP26" s="6"/>
      <c r="AQ26" s="164" t="str">
        <f t="shared" ca="1" si="19"/>
        <v/>
      </c>
      <c r="AR26" s="125" t="str">
        <f t="shared" ca="1" si="170"/>
        <v/>
      </c>
      <c r="AS26" s="124"/>
      <c r="AT26" s="121" t="str">
        <f t="shared" ca="1" si="171"/>
        <v/>
      </c>
      <c r="AU26" s="124"/>
      <c r="AV26" s="125" t="str">
        <f t="shared" ca="1" si="172"/>
        <v/>
      </c>
      <c r="AW26" s="124"/>
      <c r="AX26" s="6"/>
      <c r="AY26" s="164" t="str">
        <f t="shared" ca="1" si="21"/>
        <v/>
      </c>
      <c r="AZ26" s="125" t="str">
        <f t="shared" ca="1" si="42"/>
        <v/>
      </c>
      <c r="BA26" s="124"/>
      <c r="BB26" s="121" t="str">
        <f t="shared" ca="1" si="43"/>
        <v/>
      </c>
      <c r="BC26" s="124"/>
      <c r="BD26" s="125" t="str">
        <f t="shared" ca="1" si="44"/>
        <v/>
      </c>
      <c r="BE26" s="124"/>
      <c r="BF26" s="21"/>
      <c r="BG26" s="164" t="str">
        <f t="shared" ca="1" si="23"/>
        <v/>
      </c>
      <c r="BH26" s="125" t="str">
        <f t="shared" ca="1" si="173"/>
        <v/>
      </c>
      <c r="BI26" s="124"/>
      <c r="BJ26" s="121" t="str">
        <f t="shared" ca="1" si="174"/>
        <v/>
      </c>
      <c r="BK26" s="124"/>
      <c r="BL26" s="125" t="str">
        <f t="shared" ca="1" si="175"/>
        <v/>
      </c>
      <c r="BM26" s="124"/>
      <c r="BN26" s="6"/>
      <c r="BO26" s="164" t="str">
        <f t="shared" ca="1" si="25"/>
        <v/>
      </c>
      <c r="BP26" s="125" t="str">
        <f t="shared" ca="1" si="147"/>
        <v/>
      </c>
      <c r="BQ26" s="124"/>
      <c r="BR26" s="121" t="str">
        <f t="shared" ca="1" si="148"/>
        <v/>
      </c>
      <c r="BS26" s="124"/>
      <c r="BT26" s="125" t="str">
        <f t="shared" ca="1" si="149"/>
        <v/>
      </c>
      <c r="BU26" s="124"/>
      <c r="BV26" s="6"/>
      <c r="BW26" s="164" t="str">
        <f t="shared" ca="1" si="27"/>
        <v/>
      </c>
      <c r="BX26" s="125" t="str">
        <f t="shared" ca="1" si="176"/>
        <v/>
      </c>
      <c r="BY26" s="124"/>
      <c r="BZ26" s="121" t="str">
        <f t="shared" ca="1" si="177"/>
        <v/>
      </c>
      <c r="CA26" s="124"/>
      <c r="CB26" s="125" t="str">
        <f t="shared" ca="1" si="178"/>
        <v/>
      </c>
      <c r="CC26" s="124"/>
      <c r="CD26" s="6"/>
      <c r="CE26" s="164" t="str">
        <f t="shared" ca="1" si="29"/>
        <v/>
      </c>
      <c r="CF26" s="125" t="str">
        <f t="shared" ca="1" si="179"/>
        <v/>
      </c>
      <c r="CG26" s="124"/>
      <c r="CH26" s="121" t="str">
        <f t="shared" ca="1" si="180"/>
        <v/>
      </c>
      <c r="CI26" s="124"/>
      <c r="CJ26" s="125" t="str">
        <f t="shared" ca="1" si="181"/>
        <v/>
      </c>
      <c r="CK26" s="124"/>
      <c r="CL26" s="6"/>
      <c r="CM26" s="164" t="str">
        <f t="shared" ca="1" si="31"/>
        <v/>
      </c>
      <c r="CN26" s="125" t="str">
        <f t="shared" ca="1" si="182"/>
        <v/>
      </c>
      <c r="CO26" s="124"/>
      <c r="CP26" s="121" t="str">
        <f t="shared" ca="1" si="183"/>
        <v/>
      </c>
      <c r="CQ26" s="124"/>
      <c r="CR26" s="125" t="str">
        <f t="shared" ca="1" si="184"/>
        <v/>
      </c>
      <c r="CS26" s="139"/>
    </row>
    <row r="27" spans="1:97" s="2" customFormat="1" x14ac:dyDescent="0.2">
      <c r="A27" s="6" t="s">
        <v>8</v>
      </c>
      <c r="B27" s="8"/>
      <c r="C27" s="164" t="str">
        <f t="shared" ca="1" si="0"/>
        <v/>
      </c>
      <c r="D27" s="125" t="str">
        <f t="shared" ca="1" si="163"/>
        <v/>
      </c>
      <c r="E27" s="124"/>
      <c r="F27" s="121" t="str">
        <f t="shared" ca="1" si="164"/>
        <v/>
      </c>
      <c r="G27" s="124"/>
      <c r="H27" s="125" t="str">
        <f t="shared" ca="1" si="165"/>
        <v/>
      </c>
      <c r="I27" s="124"/>
      <c r="J27" s="6"/>
      <c r="K27" s="164" t="str">
        <f t="shared" ca="1" si="4"/>
        <v/>
      </c>
      <c r="L27" s="125" t="str">
        <f t="shared" ca="1" si="93"/>
        <v/>
      </c>
      <c r="M27" s="124"/>
      <c r="N27" s="121" t="str">
        <f t="shared" ca="1" si="94"/>
        <v/>
      </c>
      <c r="O27" s="124"/>
      <c r="P27" s="125" t="str">
        <f t="shared" ca="1" si="95"/>
        <v/>
      </c>
      <c r="Q27" s="124"/>
      <c r="R27" s="6"/>
      <c r="S27" s="164" t="str">
        <f t="shared" ca="1" si="8"/>
        <v/>
      </c>
      <c r="T27" s="125" t="str">
        <f t="shared" ca="1" si="166"/>
        <v/>
      </c>
      <c r="U27" s="124"/>
      <c r="V27" s="121" t="str">
        <f t="shared" ca="1" si="167"/>
        <v/>
      </c>
      <c r="W27" s="124"/>
      <c r="X27" s="125" t="str">
        <f t="shared" ca="1" si="168"/>
        <v/>
      </c>
      <c r="Y27" s="124"/>
      <c r="Z27" s="6"/>
      <c r="AA27" s="164" t="str">
        <f t="shared" ca="1" si="12"/>
        <v/>
      </c>
      <c r="AB27" s="125" t="str">
        <f t="shared" ca="1" si="81"/>
        <v/>
      </c>
      <c r="AC27" s="124"/>
      <c r="AD27" s="121" t="str">
        <f t="shared" ca="1" si="82"/>
        <v/>
      </c>
      <c r="AE27" s="124"/>
      <c r="AF27" s="125" t="str">
        <f t="shared" ca="1" si="83"/>
        <v/>
      </c>
      <c r="AG27" s="124"/>
      <c r="AH27" s="6"/>
      <c r="AI27" s="164" t="str">
        <f t="shared" ca="1" si="65"/>
        <v/>
      </c>
      <c r="AJ27" s="125">
        <f>Basistabelle!D145</f>
        <v>0</v>
      </c>
      <c r="AK27" s="124"/>
      <c r="AL27" s="121" t="str">
        <f t="shared" ca="1" si="99"/>
        <v/>
      </c>
      <c r="AM27" s="124"/>
      <c r="AN27" s="125" t="str">
        <f t="shared" ca="1" si="169"/>
        <v/>
      </c>
      <c r="AO27" s="124"/>
      <c r="AP27" s="6"/>
      <c r="AQ27" s="164" t="str">
        <f t="shared" ca="1" si="19"/>
        <v/>
      </c>
      <c r="AR27" s="125" t="str">
        <f t="shared" ca="1" si="170"/>
        <v/>
      </c>
      <c r="AS27" s="124"/>
      <c r="AT27" s="121" t="str">
        <f t="shared" ca="1" si="171"/>
        <v/>
      </c>
      <c r="AU27" s="124"/>
      <c r="AV27" s="125" t="str">
        <f t="shared" ca="1" si="172"/>
        <v/>
      </c>
      <c r="AW27" s="124"/>
      <c r="AX27" s="6"/>
      <c r="AY27" s="164" t="str">
        <f t="shared" ca="1" si="21"/>
        <v/>
      </c>
      <c r="AZ27" s="125" t="str">
        <f t="shared" ca="1" si="42"/>
        <v/>
      </c>
      <c r="BA27" s="124"/>
      <c r="BB27" s="121" t="str">
        <f t="shared" ca="1" si="43"/>
        <v/>
      </c>
      <c r="BC27" s="124"/>
      <c r="BD27" s="125" t="str">
        <f t="shared" ca="1" si="44"/>
        <v/>
      </c>
      <c r="BE27" s="124"/>
      <c r="BF27" s="21"/>
      <c r="BG27" s="164" t="str">
        <f t="shared" ca="1" si="23"/>
        <v/>
      </c>
      <c r="BH27" s="125" t="str">
        <f t="shared" ca="1" si="173"/>
        <v/>
      </c>
      <c r="BI27" s="124"/>
      <c r="BJ27" s="121" t="str">
        <f t="shared" ca="1" si="174"/>
        <v/>
      </c>
      <c r="BK27" s="124"/>
      <c r="BL27" s="125" t="str">
        <f t="shared" ca="1" si="175"/>
        <v/>
      </c>
      <c r="BM27" s="124"/>
      <c r="BN27" s="6"/>
      <c r="BO27" s="164" t="str">
        <f t="shared" ca="1" si="25"/>
        <v/>
      </c>
      <c r="BP27" s="125" t="str">
        <f t="shared" ca="1" si="147"/>
        <v/>
      </c>
      <c r="BQ27" s="124"/>
      <c r="BR27" s="121" t="str">
        <f t="shared" ca="1" si="148"/>
        <v/>
      </c>
      <c r="BS27" s="124"/>
      <c r="BT27" s="125" t="str">
        <f t="shared" ca="1" si="149"/>
        <v/>
      </c>
      <c r="BU27" s="124"/>
      <c r="BV27" s="6"/>
      <c r="BW27" s="164" t="str">
        <f t="shared" ca="1" si="27"/>
        <v/>
      </c>
      <c r="BX27" s="125" t="str">
        <f t="shared" ca="1" si="176"/>
        <v/>
      </c>
      <c r="BY27" s="124"/>
      <c r="BZ27" s="121" t="str">
        <f t="shared" ca="1" si="177"/>
        <v/>
      </c>
      <c r="CA27" s="124"/>
      <c r="CB27" s="125" t="str">
        <f t="shared" ca="1" si="178"/>
        <v/>
      </c>
      <c r="CC27" s="124"/>
      <c r="CD27" s="6"/>
      <c r="CE27" s="164" t="str">
        <f t="shared" ca="1" si="29"/>
        <v/>
      </c>
      <c r="CF27" s="125" t="str">
        <f t="shared" ca="1" si="179"/>
        <v/>
      </c>
      <c r="CG27" s="124"/>
      <c r="CH27" s="121" t="str">
        <f t="shared" ca="1" si="180"/>
        <v/>
      </c>
      <c r="CI27" s="124"/>
      <c r="CJ27" s="125" t="str">
        <f t="shared" ca="1" si="181"/>
        <v/>
      </c>
      <c r="CK27" s="124"/>
      <c r="CL27" s="6"/>
      <c r="CM27" s="164" t="str">
        <f t="shared" ca="1" si="31"/>
        <v/>
      </c>
      <c r="CN27" s="125" t="str">
        <f t="shared" ca="1" si="182"/>
        <v/>
      </c>
      <c r="CO27" s="124"/>
      <c r="CP27" s="121" t="str">
        <f t="shared" ca="1" si="183"/>
        <v/>
      </c>
      <c r="CQ27" s="124"/>
      <c r="CR27" s="125" t="str">
        <f t="shared" ca="1" si="184"/>
        <v/>
      </c>
      <c r="CS27" s="139"/>
    </row>
    <row r="28" spans="1:97" s="2" customFormat="1" ht="14.25" customHeight="1" x14ac:dyDescent="0.2">
      <c r="A28" s="6" t="s">
        <v>3</v>
      </c>
      <c r="B28" s="8"/>
      <c r="C28" s="164" t="str">
        <f t="shared" ca="1" si="0"/>
        <v/>
      </c>
      <c r="D28" s="125" t="str">
        <f t="shared" ca="1" si="163"/>
        <v/>
      </c>
      <c r="E28" s="124"/>
      <c r="F28" s="121" t="str">
        <f t="shared" ca="1" si="164"/>
        <v/>
      </c>
      <c r="G28" s="124"/>
      <c r="H28" s="125" t="str">
        <f t="shared" ca="1" si="165"/>
        <v/>
      </c>
      <c r="I28" s="124"/>
      <c r="J28" s="6"/>
      <c r="K28" s="164" t="str">
        <f t="shared" ca="1" si="4"/>
        <v/>
      </c>
      <c r="L28" s="125" t="str">
        <f t="shared" ca="1" si="93"/>
        <v/>
      </c>
      <c r="M28" s="124"/>
      <c r="N28" s="121" t="str">
        <f t="shared" ca="1" si="94"/>
        <v/>
      </c>
      <c r="O28" s="124"/>
      <c r="P28" s="125" t="str">
        <f t="shared" ca="1" si="95"/>
        <v/>
      </c>
      <c r="Q28" s="124"/>
      <c r="R28" s="6"/>
      <c r="S28" s="164" t="str">
        <f t="shared" ca="1" si="8"/>
        <v/>
      </c>
      <c r="T28" s="154" t="str">
        <f t="shared" ca="1" si="166"/>
        <v/>
      </c>
      <c r="U28" s="124"/>
      <c r="V28" s="121" t="str">
        <f t="shared" ca="1" si="167"/>
        <v/>
      </c>
      <c r="W28" s="124"/>
      <c r="X28" s="154" t="str">
        <f t="shared" ca="1" si="168"/>
        <v/>
      </c>
      <c r="Y28" s="124"/>
      <c r="Z28" s="6"/>
      <c r="AA28" s="164" t="str">
        <f t="shared" ca="1" si="12"/>
        <v/>
      </c>
      <c r="AB28" s="125" t="str">
        <f t="shared" ca="1" si="81"/>
        <v/>
      </c>
      <c r="AC28" s="124"/>
      <c r="AD28" s="121" t="str">
        <f t="shared" ca="1" si="82"/>
        <v/>
      </c>
      <c r="AE28" s="124"/>
      <c r="AF28" s="125" t="str">
        <f t="shared" ca="1" si="83"/>
        <v/>
      </c>
      <c r="AG28" s="124"/>
      <c r="AH28" s="6"/>
      <c r="AI28" s="164" t="str">
        <f t="shared" ca="1" si="65"/>
        <v/>
      </c>
      <c r="AJ28" s="125">
        <f>Basistabelle!D146</f>
        <v>0</v>
      </c>
      <c r="AK28" s="124"/>
      <c r="AL28" s="121" t="str">
        <f t="shared" ca="1" si="99"/>
        <v/>
      </c>
      <c r="AM28" s="124"/>
      <c r="AN28" s="125" t="str">
        <f t="shared" ca="1" si="169"/>
        <v/>
      </c>
      <c r="AO28" s="124"/>
      <c r="AP28" s="6"/>
      <c r="AQ28" s="164" t="str">
        <f t="shared" ca="1" si="19"/>
        <v/>
      </c>
      <c r="AR28" s="125" t="str">
        <f t="shared" ca="1" si="170"/>
        <v/>
      </c>
      <c r="AS28" s="124"/>
      <c r="AT28" s="121" t="str">
        <f t="shared" ca="1" si="171"/>
        <v/>
      </c>
      <c r="AU28" s="124"/>
      <c r="AV28" s="125" t="str">
        <f t="shared" ca="1" si="172"/>
        <v/>
      </c>
      <c r="AW28" s="124"/>
      <c r="AX28" s="6"/>
      <c r="AY28" s="164" t="str">
        <f t="shared" ca="1" si="21"/>
        <v/>
      </c>
      <c r="AZ28" s="125" t="str">
        <f t="shared" ca="1" si="42"/>
        <v/>
      </c>
      <c r="BA28" s="124"/>
      <c r="BB28" s="121" t="str">
        <f t="shared" ca="1" si="43"/>
        <v/>
      </c>
      <c r="BC28" s="124"/>
      <c r="BD28" s="125" t="str">
        <f t="shared" ca="1" si="44"/>
        <v/>
      </c>
      <c r="BE28" s="124"/>
      <c r="BF28" s="21"/>
      <c r="BG28" s="164" t="str">
        <f t="shared" ca="1" si="23"/>
        <v/>
      </c>
      <c r="BH28" s="125" t="str">
        <f t="shared" ca="1" si="173"/>
        <v/>
      </c>
      <c r="BI28" s="124"/>
      <c r="BJ28" s="121" t="str">
        <f t="shared" ca="1" si="174"/>
        <v/>
      </c>
      <c r="BK28" s="124"/>
      <c r="BL28" s="125" t="str">
        <f t="shared" ca="1" si="175"/>
        <v/>
      </c>
      <c r="BM28" s="124"/>
      <c r="BN28" s="6"/>
      <c r="BO28" s="164" t="str">
        <f t="shared" ca="1" si="25"/>
        <v/>
      </c>
      <c r="BP28" s="125" t="str">
        <f t="shared" ca="1" si="147"/>
        <v/>
      </c>
      <c r="BQ28" s="124"/>
      <c r="BR28" s="121" t="str">
        <f t="shared" ca="1" si="148"/>
        <v/>
      </c>
      <c r="BS28" s="124"/>
      <c r="BT28" s="125" t="str">
        <f t="shared" ca="1" si="149"/>
        <v/>
      </c>
      <c r="BU28" s="124"/>
      <c r="BV28" s="6"/>
      <c r="BW28" s="164" t="str">
        <f t="shared" ca="1" si="27"/>
        <v/>
      </c>
      <c r="BX28" s="125" t="str">
        <f t="shared" ca="1" si="176"/>
        <v/>
      </c>
      <c r="BY28" s="124"/>
      <c r="BZ28" s="121" t="str">
        <f t="shared" ca="1" si="177"/>
        <v/>
      </c>
      <c r="CA28" s="124"/>
      <c r="CB28" s="125" t="str">
        <f t="shared" ca="1" si="178"/>
        <v/>
      </c>
      <c r="CC28" s="124"/>
      <c r="CD28" s="6"/>
      <c r="CE28" s="164" t="str">
        <f t="shared" ca="1" si="29"/>
        <v/>
      </c>
      <c r="CF28" s="157" t="str">
        <f t="shared" ca="1" si="179"/>
        <v/>
      </c>
      <c r="CG28" s="124"/>
      <c r="CH28" s="121" t="str">
        <f t="shared" ca="1" si="180"/>
        <v/>
      </c>
      <c r="CI28" s="124"/>
      <c r="CJ28" s="157" t="str">
        <f t="shared" ca="1" si="181"/>
        <v/>
      </c>
      <c r="CK28" s="124"/>
      <c r="CL28" s="6"/>
      <c r="CM28" s="164" t="str">
        <f t="shared" ca="1" si="31"/>
        <v/>
      </c>
      <c r="CN28" s="125" t="str">
        <f t="shared" ca="1" si="182"/>
        <v/>
      </c>
      <c r="CO28" s="124"/>
      <c r="CP28" s="121" t="str">
        <f t="shared" ca="1" si="183"/>
        <v/>
      </c>
      <c r="CQ28" s="124"/>
      <c r="CR28" s="125" t="str">
        <f t="shared" ca="1" si="184"/>
        <v/>
      </c>
      <c r="CS28" s="139"/>
    </row>
    <row r="29" spans="1:97" s="2" customFormat="1" ht="12.75" customHeight="1" x14ac:dyDescent="0.2">
      <c r="A29" s="9" t="s">
        <v>4</v>
      </c>
      <c r="B29" s="10"/>
      <c r="C29" s="164" t="str">
        <f t="shared" ca="1" si="0"/>
        <v/>
      </c>
      <c r="D29" s="126" t="str">
        <f t="shared" ca="1" si="163"/>
        <v/>
      </c>
      <c r="E29" s="126"/>
      <c r="F29" s="126" t="str">
        <f t="shared" ca="1" si="164"/>
        <v/>
      </c>
      <c r="G29" s="126"/>
      <c r="H29" s="126" t="str">
        <f t="shared" ca="1" si="165"/>
        <v/>
      </c>
      <c r="I29" s="126"/>
      <c r="J29" s="51"/>
      <c r="K29" s="164" t="str">
        <f t="shared" ca="1" si="4"/>
        <v/>
      </c>
      <c r="L29" s="126" t="str">
        <f t="shared" ca="1" si="93"/>
        <v/>
      </c>
      <c r="M29" s="126"/>
      <c r="N29" s="126" t="str">
        <f t="shared" ca="1" si="94"/>
        <v/>
      </c>
      <c r="O29" s="126"/>
      <c r="P29" s="126" t="str">
        <f t="shared" ca="1" si="95"/>
        <v/>
      </c>
      <c r="Q29" s="126"/>
      <c r="R29" s="9"/>
      <c r="S29" s="164" t="str">
        <f t="shared" ca="1" si="8"/>
        <v/>
      </c>
      <c r="T29" s="126" t="str">
        <f t="shared" ref="T29" ca="1" si="185">IF(R29&gt;0,IF(INDIRECT("Basistabelle!D" &amp; $A$1+R29+S$1)&gt;"",INDIRECT("Basistabelle!D" &amp; $A$1+R29+S$1),""),"")</f>
        <v/>
      </c>
      <c r="U29" s="126"/>
      <c r="V29" s="126" t="str">
        <f t="shared" ref="V29" ca="1" si="186">IF(R29&gt;0,IF(INDIRECT("Basistabelle!E" &amp; $A$1+R29+S$1)&gt;"",INDIRECT("Basistabelle!E" &amp; $A$1+R29+S$1),""),"")</f>
        <v/>
      </c>
      <c r="W29" s="126"/>
      <c r="X29" s="126" t="str">
        <f t="shared" ref="X29" ca="1" si="187">IF(R29&gt;0,IF(INDIRECT("Basistabelle!F" &amp; $A$1+R29+S$1)&gt;"",INDIRECT("Basistabelle!F" &amp; $A$1+R29+S$1),""),"")</f>
        <v/>
      </c>
      <c r="Y29" s="126"/>
      <c r="Z29" s="9"/>
      <c r="AA29" s="164" t="str">
        <f t="shared" ca="1" si="12"/>
        <v/>
      </c>
      <c r="AB29" s="126" t="str">
        <f t="shared" ca="1" si="81"/>
        <v/>
      </c>
      <c r="AC29" s="126"/>
      <c r="AD29" s="126" t="str">
        <f t="shared" ca="1" si="82"/>
        <v/>
      </c>
      <c r="AE29" s="126"/>
      <c r="AF29" s="126" t="str">
        <f t="shared" ca="1" si="83"/>
        <v/>
      </c>
      <c r="AG29" s="126"/>
      <c r="AH29" s="9"/>
      <c r="AI29" s="164" t="str">
        <f t="shared" ca="1" si="65"/>
        <v/>
      </c>
      <c r="AJ29" s="126">
        <f>Basistabelle!D147</f>
        <v>0</v>
      </c>
      <c r="AK29" s="126"/>
      <c r="AL29" s="126" t="str">
        <f t="shared" ca="1" si="99"/>
        <v/>
      </c>
      <c r="AM29" s="126"/>
      <c r="AN29" s="126" t="str">
        <f t="shared" ca="1" si="169"/>
        <v/>
      </c>
      <c r="AO29" s="126"/>
      <c r="AP29" s="9"/>
      <c r="AQ29" s="164" t="str">
        <f t="shared" ca="1" si="19"/>
        <v/>
      </c>
      <c r="AR29" s="126" t="str">
        <f t="shared" ca="1" si="170"/>
        <v/>
      </c>
      <c r="AS29" s="126"/>
      <c r="AT29" s="126" t="str">
        <f t="shared" ca="1" si="171"/>
        <v/>
      </c>
      <c r="AU29" s="126"/>
      <c r="AV29" s="126" t="str">
        <f t="shared" ca="1" si="172"/>
        <v/>
      </c>
      <c r="AW29" s="126"/>
      <c r="AX29" s="9"/>
      <c r="AY29" s="164" t="str">
        <f t="shared" ca="1" si="21"/>
        <v/>
      </c>
      <c r="AZ29" s="126" t="str">
        <f t="shared" ca="1" si="42"/>
        <v/>
      </c>
      <c r="BA29" s="126"/>
      <c r="BB29" s="126" t="str">
        <f t="shared" ca="1" si="43"/>
        <v/>
      </c>
      <c r="BC29" s="126"/>
      <c r="BD29" s="126" t="str">
        <f t="shared" ca="1" si="44"/>
        <v/>
      </c>
      <c r="BE29" s="126"/>
      <c r="BF29" s="22"/>
      <c r="BG29" s="164" t="str">
        <f t="shared" ca="1" si="23"/>
        <v/>
      </c>
      <c r="BH29" s="126" t="str">
        <f t="shared" ca="1" si="173"/>
        <v/>
      </c>
      <c r="BI29" s="126"/>
      <c r="BJ29" s="126" t="str">
        <f t="shared" ca="1" si="174"/>
        <v/>
      </c>
      <c r="BK29" s="126"/>
      <c r="BL29" s="126" t="str">
        <f t="shared" ca="1" si="175"/>
        <v/>
      </c>
      <c r="BM29" s="126"/>
      <c r="BN29" s="9"/>
      <c r="BO29" s="164" t="str">
        <f t="shared" ca="1" si="25"/>
        <v/>
      </c>
      <c r="BP29" s="126" t="str">
        <f t="shared" ca="1" si="147"/>
        <v/>
      </c>
      <c r="BQ29" s="126"/>
      <c r="BR29" s="126" t="str">
        <f t="shared" ca="1" si="148"/>
        <v/>
      </c>
      <c r="BS29" s="126"/>
      <c r="BT29" s="126" t="str">
        <f t="shared" ca="1" si="149"/>
        <v/>
      </c>
      <c r="BU29" s="126"/>
      <c r="BV29" s="9"/>
      <c r="BW29" s="164" t="str">
        <f t="shared" ca="1" si="27"/>
        <v/>
      </c>
      <c r="BX29" s="126" t="str">
        <f t="shared" ca="1" si="176"/>
        <v/>
      </c>
      <c r="BY29" s="126"/>
      <c r="BZ29" s="126" t="str">
        <f t="shared" ca="1" si="177"/>
        <v/>
      </c>
      <c r="CA29" s="126"/>
      <c r="CB29" s="126" t="str">
        <f t="shared" ca="1" si="178"/>
        <v/>
      </c>
      <c r="CC29" s="126"/>
      <c r="CD29" s="9"/>
      <c r="CE29" s="164" t="str">
        <f t="shared" ca="1" si="29"/>
        <v/>
      </c>
      <c r="CF29" s="126" t="str">
        <f t="shared" ca="1" si="179"/>
        <v/>
      </c>
      <c r="CG29" s="126"/>
      <c r="CH29" s="126" t="str">
        <f t="shared" ca="1" si="180"/>
        <v/>
      </c>
      <c r="CI29" s="126"/>
      <c r="CJ29" s="126" t="str">
        <f t="shared" ca="1" si="181"/>
        <v/>
      </c>
      <c r="CK29" s="126"/>
      <c r="CL29" s="9"/>
      <c r="CM29" s="164" t="str">
        <f t="shared" ca="1" si="31"/>
        <v/>
      </c>
      <c r="CN29" s="126" t="str">
        <f t="shared" ca="1" si="182"/>
        <v/>
      </c>
      <c r="CO29" s="126"/>
      <c r="CP29" s="126" t="str">
        <f t="shared" ca="1" si="183"/>
        <v/>
      </c>
      <c r="CQ29" s="126"/>
      <c r="CR29" s="126" t="str">
        <f t="shared" ca="1" si="184"/>
        <v/>
      </c>
      <c r="CS29" s="140"/>
    </row>
    <row r="30" spans="1:97" s="2" customFormat="1" ht="14.5" customHeight="1" x14ac:dyDescent="0.2">
      <c r="A30" s="9" t="s">
        <v>5</v>
      </c>
      <c r="B30" s="10"/>
      <c r="C30" s="164" t="str">
        <f t="shared" ca="1" si="0"/>
        <v/>
      </c>
      <c r="D30" s="126" t="str">
        <f t="shared" ca="1" si="163"/>
        <v/>
      </c>
      <c r="E30" s="126"/>
      <c r="F30" s="126" t="str">
        <f t="shared" ca="1" si="164"/>
        <v/>
      </c>
      <c r="G30" s="126"/>
      <c r="H30" s="126" t="str">
        <f t="shared" ca="1" si="165"/>
        <v/>
      </c>
      <c r="I30" s="126"/>
      <c r="J30" s="51"/>
      <c r="K30" s="164" t="str">
        <f t="shared" ca="1" si="4"/>
        <v/>
      </c>
      <c r="L30" s="126" t="str">
        <f t="shared" ca="1" si="93"/>
        <v/>
      </c>
      <c r="M30" s="126"/>
      <c r="N30" s="126" t="str">
        <f t="shared" ca="1" si="94"/>
        <v/>
      </c>
      <c r="O30" s="126"/>
      <c r="P30" s="126" t="str">
        <f t="shared" ca="1" si="95"/>
        <v/>
      </c>
      <c r="Q30" s="126"/>
      <c r="R30" s="9"/>
      <c r="S30" s="164" t="str">
        <f t="shared" ca="1" si="8"/>
        <v/>
      </c>
      <c r="T30" s="126" t="str">
        <f t="shared" ca="1" si="166"/>
        <v/>
      </c>
      <c r="U30" s="126"/>
      <c r="V30" s="126" t="str">
        <f t="shared" ca="1" si="167"/>
        <v/>
      </c>
      <c r="W30" s="126"/>
      <c r="X30" s="126" t="str">
        <f t="shared" ca="1" si="168"/>
        <v/>
      </c>
      <c r="Y30" s="126"/>
      <c r="Z30" s="9"/>
      <c r="AA30" s="164" t="str">
        <f t="shared" ca="1" si="12"/>
        <v/>
      </c>
      <c r="AB30" s="126" t="str">
        <f t="shared" ca="1" si="81"/>
        <v/>
      </c>
      <c r="AC30" s="126"/>
      <c r="AD30" s="126" t="str">
        <f t="shared" ca="1" si="82"/>
        <v/>
      </c>
      <c r="AE30" s="126"/>
      <c r="AF30" s="126" t="str">
        <f t="shared" ca="1" si="83"/>
        <v/>
      </c>
      <c r="AG30" s="126"/>
      <c r="AH30" s="9"/>
      <c r="AI30" s="164" t="str">
        <f t="shared" ca="1" si="65"/>
        <v/>
      </c>
      <c r="AJ30" s="126">
        <f>Basistabelle!D148</f>
        <v>0</v>
      </c>
      <c r="AK30" s="126"/>
      <c r="AL30" s="126" t="str">
        <f t="shared" ca="1" si="99"/>
        <v/>
      </c>
      <c r="AM30" s="126"/>
      <c r="AN30" s="126" t="str">
        <f t="shared" ca="1" si="169"/>
        <v/>
      </c>
      <c r="AO30" s="126"/>
      <c r="AP30" s="9"/>
      <c r="AQ30" s="164" t="str">
        <f t="shared" ca="1" si="19"/>
        <v/>
      </c>
      <c r="AR30" s="126" t="str">
        <f t="shared" ca="1" si="170"/>
        <v/>
      </c>
      <c r="AS30" s="126"/>
      <c r="AT30" s="126" t="str">
        <f t="shared" ca="1" si="171"/>
        <v/>
      </c>
      <c r="AU30" s="126"/>
      <c r="AV30" s="126" t="str">
        <f t="shared" ca="1" si="172"/>
        <v/>
      </c>
      <c r="AW30" s="126"/>
      <c r="AX30" s="9"/>
      <c r="AY30" s="164" t="str">
        <f t="shared" ca="1" si="21"/>
        <v/>
      </c>
      <c r="AZ30" s="126" t="str">
        <f t="shared" ca="1" si="42"/>
        <v/>
      </c>
      <c r="BA30" s="126"/>
      <c r="BB30" s="126" t="str">
        <f t="shared" ca="1" si="43"/>
        <v/>
      </c>
      <c r="BC30" s="126"/>
      <c r="BD30" s="126" t="str">
        <f t="shared" ca="1" si="44"/>
        <v/>
      </c>
      <c r="BE30" s="126"/>
      <c r="BF30" s="9"/>
      <c r="BG30" s="164" t="str">
        <f t="shared" ca="1" si="23"/>
        <v/>
      </c>
      <c r="BH30" s="126" t="str">
        <f ca="1">IF(BF30&gt;0,IF(INDIRECT("Basistabelle!D" &amp; $A$1+BF30+BG$1)&gt;"",INDIRECT("Basistabelle!D" &amp; $A$1+BF30+BG$1),""),"")</f>
        <v/>
      </c>
      <c r="BI30" s="126"/>
      <c r="BJ30" s="126" t="str">
        <f t="shared" ca="1" si="174"/>
        <v/>
      </c>
      <c r="BK30" s="126"/>
      <c r="BL30" s="126" t="str">
        <f t="shared" ca="1" si="175"/>
        <v/>
      </c>
      <c r="BM30" s="126"/>
      <c r="BN30" s="9"/>
      <c r="BO30" s="164" t="str">
        <f t="shared" ca="1" si="25"/>
        <v/>
      </c>
      <c r="BP30" s="126" t="str">
        <f t="shared" ca="1" si="147"/>
        <v/>
      </c>
      <c r="BQ30" s="126"/>
      <c r="BR30" s="126" t="str">
        <f t="shared" ca="1" si="148"/>
        <v/>
      </c>
      <c r="BS30" s="126"/>
      <c r="BT30" s="126" t="str">
        <f t="shared" ca="1" si="149"/>
        <v/>
      </c>
      <c r="BU30" s="126"/>
      <c r="BV30" s="9"/>
      <c r="BW30" s="164" t="str">
        <f t="shared" ca="1" si="27"/>
        <v/>
      </c>
      <c r="BX30" s="126" t="str">
        <f t="shared" ca="1" si="176"/>
        <v/>
      </c>
      <c r="BY30" s="126"/>
      <c r="BZ30" s="126" t="str">
        <f t="shared" ca="1" si="177"/>
        <v/>
      </c>
      <c r="CA30" s="126"/>
      <c r="CB30" s="126" t="str">
        <f t="shared" ca="1" si="178"/>
        <v/>
      </c>
      <c r="CC30" s="126"/>
      <c r="CD30" s="9"/>
      <c r="CE30" s="164" t="str">
        <f t="shared" ca="1" si="29"/>
        <v/>
      </c>
      <c r="CF30" s="126" t="str">
        <f t="shared" ca="1" si="179"/>
        <v/>
      </c>
      <c r="CG30" s="126"/>
      <c r="CH30" s="126" t="str">
        <f t="shared" ca="1" si="180"/>
        <v/>
      </c>
      <c r="CI30" s="126"/>
      <c r="CJ30" s="126" t="str">
        <f t="shared" ca="1" si="181"/>
        <v/>
      </c>
      <c r="CK30" s="126"/>
      <c r="CL30" s="9"/>
      <c r="CM30" s="164" t="str">
        <f t="shared" ca="1" si="31"/>
        <v/>
      </c>
      <c r="CN30" s="126" t="str">
        <f t="shared" ca="1" si="182"/>
        <v/>
      </c>
      <c r="CO30" s="126"/>
      <c r="CP30" s="126" t="str">
        <f t="shared" ca="1" si="183"/>
        <v/>
      </c>
      <c r="CQ30" s="126"/>
      <c r="CR30" s="126" t="str">
        <f t="shared" ca="1" si="184"/>
        <v/>
      </c>
      <c r="CS30" s="140"/>
    </row>
    <row r="31" spans="1:97" s="2" customFormat="1" ht="15" customHeight="1" x14ac:dyDescent="0.2">
      <c r="A31" s="6" t="s">
        <v>25</v>
      </c>
      <c r="B31" s="8"/>
      <c r="C31" s="164" t="str">
        <f t="shared" ca="1" si="0"/>
        <v/>
      </c>
      <c r="D31" s="157" t="str">
        <f t="shared" ca="1" si="163"/>
        <v/>
      </c>
      <c r="E31" s="124"/>
      <c r="F31" s="121" t="str">
        <f t="shared" ca="1" si="164"/>
        <v/>
      </c>
      <c r="G31" s="124"/>
      <c r="H31" s="157" t="str">
        <f t="shared" ca="1" si="165"/>
        <v/>
      </c>
      <c r="I31" s="124"/>
      <c r="J31" s="18"/>
      <c r="K31" s="164" t="str">
        <f t="shared" ca="1" si="4"/>
        <v/>
      </c>
      <c r="L31" s="157" t="str">
        <f t="shared" ref="L31" ca="1" si="188">IF(J31&gt;0,IF(INDIRECT("Basistabelle!D" &amp; $A$1+J31+K$1)&gt;"",INDIRECT("Basistabelle!D" &amp; $A$1+J31+K$1),""),"")</f>
        <v/>
      </c>
      <c r="M31" s="124"/>
      <c r="N31" s="121" t="str">
        <f t="shared" ref="N31" ca="1" si="189">IF(J31&gt;0,IF(INDIRECT("Basistabelle!E" &amp; $A$1+J31+K$1)&gt;"",INDIRECT("Basistabelle!E" &amp; $A$1+J31+K$1),""),"")</f>
        <v/>
      </c>
      <c r="O31" s="124"/>
      <c r="P31" s="157" t="str">
        <f t="shared" ref="P31" ca="1" si="190">IF(J31&gt;0,IF(INDIRECT("Basistabelle!F" &amp; $A$1+J31+K$1)&gt;"",INDIRECT("Basistabelle!F" &amp; $A$1+J31+K$1),""),"")</f>
        <v/>
      </c>
      <c r="Q31" s="124"/>
      <c r="R31" s="18"/>
      <c r="S31" s="164" t="str">
        <f t="shared" ca="1" si="8"/>
        <v/>
      </c>
      <c r="T31" s="157" t="str">
        <f t="shared" ca="1" si="166"/>
        <v/>
      </c>
      <c r="U31" s="124"/>
      <c r="V31" s="121" t="str">
        <f t="shared" ca="1" si="167"/>
        <v/>
      </c>
      <c r="W31" s="124"/>
      <c r="X31" s="157" t="str">
        <f t="shared" ca="1" si="168"/>
        <v/>
      </c>
      <c r="Y31" s="124"/>
      <c r="Z31" s="18"/>
      <c r="AA31" s="164" t="str">
        <f t="shared" ca="1" si="12"/>
        <v/>
      </c>
      <c r="AB31" s="125" t="str">
        <f t="shared" ca="1" si="81"/>
        <v/>
      </c>
      <c r="AC31" s="124"/>
      <c r="AD31" s="121" t="str">
        <f t="shared" ref="AD31" ca="1" si="191">IF(Z31&gt;0,IF(INDIRECT("Basistabelle!E" &amp; $A$1+Z31+AA$1)&gt;"",INDIRECT("Basistabelle!E" &amp; $A$1+Z31+AA$1),""),"")</f>
        <v/>
      </c>
      <c r="AE31" s="124"/>
      <c r="AF31" s="157" t="str">
        <f t="shared" ref="AF31" ca="1" si="192">IF(Z31&gt;0,IF(INDIRECT("Basistabelle!F" &amp; $A$1+Z31+AA$1)&gt;"",INDIRECT("Basistabelle!F" &amp; $A$1+Z31+AA$1),""),"")</f>
        <v/>
      </c>
      <c r="AG31" s="124"/>
      <c r="AH31" s="18"/>
      <c r="AI31" s="164" t="str">
        <f t="shared" ca="1" si="65"/>
        <v/>
      </c>
      <c r="AJ31" s="157" t="str">
        <f ca="1">IF(AH31&gt;0,IF(INDIRECT("Basistabelle!D" &amp; $A$1+AH31+AI$1)&gt;"",INDIRECT("Basistabelle!D" &amp; $A$1+AH31+AI$1),""),"")</f>
        <v/>
      </c>
      <c r="AK31" s="124"/>
      <c r="AL31" s="121" t="str">
        <f t="shared" ref="AL31" ca="1" si="193">IF(AH31&gt;0,IF(INDIRECT("Basistabelle!E" &amp; $A$1+AH31+AI$1)&gt;"",INDIRECT("Basistabelle!E" &amp; $A$1+AH31+AI$1),""),"")</f>
        <v/>
      </c>
      <c r="AM31" s="124"/>
      <c r="AN31" s="157" t="str">
        <f t="shared" ca="1" si="169"/>
        <v/>
      </c>
      <c r="AO31" s="124"/>
      <c r="AP31" s="18"/>
      <c r="AQ31" s="164" t="str">
        <f t="shared" ca="1" si="19"/>
        <v/>
      </c>
      <c r="AR31" s="157" t="str">
        <f t="shared" ca="1" si="170"/>
        <v/>
      </c>
      <c r="AS31" s="124"/>
      <c r="AT31" s="121" t="str">
        <f t="shared" ca="1" si="171"/>
        <v/>
      </c>
      <c r="AU31" s="124"/>
      <c r="AV31" s="157" t="str">
        <f t="shared" ca="1" si="172"/>
        <v/>
      </c>
      <c r="AW31" s="163"/>
      <c r="AX31" s="18"/>
      <c r="AY31" s="164" t="str">
        <f t="shared" ca="1" si="21"/>
        <v/>
      </c>
      <c r="AZ31" s="125" t="str">
        <f t="shared" ca="1" si="42"/>
        <v/>
      </c>
      <c r="BA31" s="124"/>
      <c r="BB31" s="121" t="str">
        <f t="shared" ca="1" si="43"/>
        <v/>
      </c>
      <c r="BC31" s="124"/>
      <c r="BD31" s="125" t="str">
        <f t="shared" ca="1" si="44"/>
        <v/>
      </c>
      <c r="BE31" s="137"/>
      <c r="BF31" s="21"/>
      <c r="BG31" s="164" t="str">
        <f t="shared" ca="1" si="23"/>
        <v/>
      </c>
      <c r="BH31" s="157" t="str">
        <f t="shared" ref="BH31" ca="1" si="194">IF(BF31&gt;0,IF(INDIRECT("Basistabelle!D" &amp; $A$1+BF31+BG$1)&gt;"",INDIRECT("Basistabelle!D" &amp; $A$1+BF31+BG$1),""),"")</f>
        <v/>
      </c>
      <c r="BI31" s="124"/>
      <c r="BJ31" s="121" t="str">
        <f t="shared" ca="1" si="174"/>
        <v/>
      </c>
      <c r="BK31" s="124"/>
      <c r="BL31" s="157" t="str">
        <f t="shared" ca="1" si="175"/>
        <v/>
      </c>
      <c r="BM31" s="163"/>
      <c r="BN31" s="18"/>
      <c r="BO31" s="164" t="str">
        <f t="shared" ca="1" si="25"/>
        <v/>
      </c>
      <c r="BP31" s="125" t="str">
        <f t="shared" ca="1" si="147"/>
        <v/>
      </c>
      <c r="BQ31" s="124"/>
      <c r="BR31" s="121" t="str">
        <f t="shared" ca="1" si="148"/>
        <v/>
      </c>
      <c r="BS31" s="124"/>
      <c r="BT31" s="125" t="str">
        <f t="shared" ca="1" si="149"/>
        <v/>
      </c>
      <c r="BU31" s="137"/>
      <c r="BV31" s="18"/>
      <c r="BW31" s="164" t="str">
        <f t="shared" ca="1" si="27"/>
        <v/>
      </c>
      <c r="BX31" s="157" t="str">
        <f t="shared" ca="1" si="176"/>
        <v/>
      </c>
      <c r="BY31" s="124"/>
      <c r="BZ31" s="121" t="str">
        <f t="shared" ca="1" si="177"/>
        <v/>
      </c>
      <c r="CA31" s="124"/>
      <c r="CB31" s="157" t="str">
        <f t="shared" ca="1" si="178"/>
        <v/>
      </c>
      <c r="CC31" s="124"/>
      <c r="CD31" s="6"/>
      <c r="CE31" s="164" t="str">
        <f t="shared" ca="1" si="29"/>
        <v/>
      </c>
      <c r="CF31" s="157" t="str">
        <f t="shared" ca="1" si="179"/>
        <v/>
      </c>
      <c r="CG31" s="124"/>
      <c r="CH31" s="121" t="str">
        <f t="shared" ca="1" si="180"/>
        <v/>
      </c>
      <c r="CI31" s="124"/>
      <c r="CJ31" s="157" t="str">
        <f t="shared" ca="1" si="181"/>
        <v/>
      </c>
      <c r="CK31" s="124"/>
      <c r="CL31" s="6"/>
      <c r="CM31" s="164" t="str">
        <f t="shared" ca="1" si="31"/>
        <v/>
      </c>
      <c r="CN31" s="125" t="str">
        <f t="shared" ca="1" si="182"/>
        <v/>
      </c>
      <c r="CO31" s="124"/>
      <c r="CP31" s="121" t="str">
        <f t="shared" ca="1" si="183"/>
        <v/>
      </c>
      <c r="CQ31" s="124"/>
      <c r="CR31" s="125" t="str">
        <f t="shared" ca="1" si="184"/>
        <v/>
      </c>
      <c r="CS31" s="137"/>
    </row>
    <row r="32" spans="1:97" s="2" customFormat="1" x14ac:dyDescent="0.2">
      <c r="A32" s="6" t="s">
        <v>6</v>
      </c>
      <c r="B32" s="8"/>
      <c r="C32" s="164" t="str">
        <f t="shared" ca="1" si="0"/>
        <v/>
      </c>
      <c r="D32" s="125" t="str">
        <f t="shared" ref="D32:D36" ca="1" si="195">IF(B32&gt;0,IF(INDIRECT("Basistabelle!D" &amp; $A$1+B32+C$1)&gt;"",INDIRECT("Basistabelle!D" &amp; $A$1+B32+C$1),""),"")</f>
        <v/>
      </c>
      <c r="E32" s="124"/>
      <c r="F32" s="121" t="str">
        <f t="shared" ref="F32:F36" ca="1" si="196">IF(B32&gt;0,IF(INDIRECT("Basistabelle!E" &amp; $A$1+B32+C$1)&gt;"",INDIRECT("Basistabelle!E" &amp; $A$1+B32+C$1),""),"")</f>
        <v/>
      </c>
      <c r="G32" s="124"/>
      <c r="H32" s="125" t="str">
        <f t="shared" ref="H32:H36" ca="1" si="197">IF(B32&gt;0,IF(INDIRECT("Basistabelle!F" &amp; $A$1+B32+C$1)&gt;"",INDIRECT("Basistabelle!F" &amp; $A$1+B32+C$1),""),"")</f>
        <v/>
      </c>
      <c r="I32" s="124"/>
      <c r="J32" s="6"/>
      <c r="K32" s="164" t="str">
        <f t="shared" ca="1" si="4"/>
        <v/>
      </c>
      <c r="L32" s="125" t="str">
        <f t="shared" ca="1" si="93"/>
        <v/>
      </c>
      <c r="M32" s="124"/>
      <c r="N32" s="121" t="str">
        <f t="shared" ca="1" si="94"/>
        <v/>
      </c>
      <c r="O32" s="124"/>
      <c r="P32" s="125" t="str">
        <f t="shared" ca="1" si="95"/>
        <v/>
      </c>
      <c r="Q32" s="124"/>
      <c r="R32" s="6"/>
      <c r="S32" s="164" t="str">
        <f t="shared" ca="1" si="8"/>
        <v/>
      </c>
      <c r="T32" s="125" t="str">
        <f t="shared" ref="T32:T41" ca="1" si="198">IF(R32&gt;0,IF(INDIRECT("Basistabelle!D" &amp; $A$1+R32+S$1)&gt;"",INDIRECT("Basistabelle!D" &amp; $A$1+R32+S$1),""),"")</f>
        <v/>
      </c>
      <c r="U32" s="124"/>
      <c r="V32" s="121" t="str">
        <f t="shared" ref="V32:V41" ca="1" si="199">IF(R32&gt;0,IF(INDIRECT("Basistabelle!E" &amp; $A$1+R32+S$1)&gt;"",INDIRECT("Basistabelle!E" &amp; $A$1+R32+S$1),""),"")</f>
        <v/>
      </c>
      <c r="W32" s="124"/>
      <c r="X32" s="125" t="str">
        <f t="shared" ref="X32:X41" ca="1" si="200">IF(R32&gt;0,IF(INDIRECT("Basistabelle!F" &amp; $A$1+R32+S$1)&gt;"",INDIRECT("Basistabelle!F" &amp; $A$1+R32+S$1),""),"")</f>
        <v/>
      </c>
      <c r="Y32" s="124"/>
      <c r="Z32" s="6"/>
      <c r="AA32" s="164" t="str">
        <f t="shared" ca="1" si="12"/>
        <v/>
      </c>
      <c r="AB32" s="125" t="str">
        <f t="shared" ca="1" si="81"/>
        <v/>
      </c>
      <c r="AC32" s="124"/>
      <c r="AD32" s="121" t="str">
        <f t="shared" ca="1" si="82"/>
        <v/>
      </c>
      <c r="AE32" s="124"/>
      <c r="AF32" s="125" t="str">
        <f t="shared" ca="1" si="83"/>
        <v/>
      </c>
      <c r="AG32" s="124"/>
      <c r="AH32" s="6"/>
      <c r="AI32" s="164" t="str">
        <f t="shared" ca="1" si="65"/>
        <v/>
      </c>
      <c r="AJ32" s="125">
        <f>Basistabelle!D150</f>
        <v>0</v>
      </c>
      <c r="AK32" s="124"/>
      <c r="AL32" s="121" t="str">
        <f t="shared" ca="1" si="99"/>
        <v/>
      </c>
      <c r="AM32" s="124"/>
      <c r="AN32" s="125" t="str">
        <f t="shared" ref="AN32:AN38" ca="1" si="201">IF(AH32&gt;0,IF(INDIRECT("Basistabelle!F" &amp; $A$1+AH32+AI$1)&gt;"",INDIRECT("Basistabelle!F" &amp; $A$1+AH32+AI$1),""),"")</f>
        <v/>
      </c>
      <c r="AO32" s="124"/>
      <c r="AP32" s="6"/>
      <c r="AQ32" s="164" t="str">
        <f t="shared" ca="1" si="19"/>
        <v/>
      </c>
      <c r="AR32" s="125" t="str">
        <f t="shared" ref="AR32:AR41" ca="1" si="202">IF(AP32&gt;0,IF(INDIRECT("Basistabelle!D" &amp; $A$1+AP32+AQ$1)&gt;"",INDIRECT("Basistabelle!D" &amp; $A$1+AP32+AQ$1),""),"")</f>
        <v/>
      </c>
      <c r="AS32" s="124"/>
      <c r="AT32" s="121" t="str">
        <f t="shared" ref="AT32:AT41" ca="1" si="203">IF(AP32&gt;0,IF(INDIRECT("Basistabelle!E" &amp; $A$1+AP32+AQ$1)&gt;"",INDIRECT("Basistabelle!E" &amp; $A$1+AP32+AQ$1),""),"")</f>
        <v/>
      </c>
      <c r="AU32" s="124"/>
      <c r="AV32" s="125" t="str">
        <f t="shared" ref="AV32:AV41" ca="1" si="204">IF(AP32&gt;0,IF(INDIRECT("Basistabelle!F" &amp; $A$1+AP32+AQ$1)&gt;"",INDIRECT("Basistabelle!F" &amp; $A$1+AP32+AQ$1),""),"")</f>
        <v/>
      </c>
      <c r="AW32" s="124"/>
      <c r="AX32" s="6"/>
      <c r="AY32" s="164" t="str">
        <f t="shared" ca="1" si="21"/>
        <v/>
      </c>
      <c r="AZ32" s="125" t="str">
        <f t="shared" ca="1" si="42"/>
        <v/>
      </c>
      <c r="BA32" s="124"/>
      <c r="BB32" s="121" t="str">
        <f t="shared" ca="1" si="43"/>
        <v/>
      </c>
      <c r="BC32" s="124"/>
      <c r="BD32" s="125" t="str">
        <f t="shared" ca="1" si="44"/>
        <v/>
      </c>
      <c r="BE32" s="124"/>
      <c r="BF32" s="21"/>
      <c r="BG32" s="164" t="str">
        <f t="shared" ca="1" si="23"/>
        <v/>
      </c>
      <c r="BH32" s="125" t="str">
        <f t="shared" ref="BH32:BH34" ca="1" si="205">IF(BF32&gt;0,IF(INDIRECT("Basistabelle!D" &amp; $A$1+BF32+BG$1)&gt;"",INDIRECT("Basistabelle!D" &amp; $A$1+BF32+BG$1),""),"")</f>
        <v/>
      </c>
      <c r="BI32" s="124"/>
      <c r="BJ32" s="121" t="str">
        <f t="shared" ref="BJ32:BJ34" ca="1" si="206">IF(BF32&gt;0,IF(INDIRECT("Basistabelle!E" &amp; $A$1+BF32+BG$1)&gt;"",INDIRECT("Basistabelle!E" &amp; $A$1+BF32+BG$1),""),"")</f>
        <v/>
      </c>
      <c r="BK32" s="124"/>
      <c r="BL32" s="125" t="str">
        <f t="shared" ref="BL32:BL34" ca="1" si="207">IF(BF32&gt;0,IF(INDIRECT("Basistabelle!F" &amp; $A$1+BF32+BG$1)&gt;"",INDIRECT("Basistabelle!F" &amp; $A$1+BF32+BG$1),""),"")</f>
        <v/>
      </c>
      <c r="BM32" s="124"/>
      <c r="BN32" s="6"/>
      <c r="BO32" s="164" t="str">
        <f t="shared" ca="1" si="25"/>
        <v/>
      </c>
      <c r="BP32" s="125" t="str">
        <f t="shared" ca="1" si="147"/>
        <v/>
      </c>
      <c r="BQ32" s="124"/>
      <c r="BR32" s="121" t="str">
        <f t="shared" ca="1" si="148"/>
        <v/>
      </c>
      <c r="BS32" s="124"/>
      <c r="BT32" s="125" t="str">
        <f t="shared" ca="1" si="149"/>
        <v/>
      </c>
      <c r="BU32" s="124"/>
      <c r="BV32" s="6"/>
      <c r="BW32" s="164" t="str">
        <f t="shared" ca="1" si="27"/>
        <v/>
      </c>
      <c r="BX32" s="125" t="str">
        <f t="shared" ref="BX32:BX41" ca="1" si="208">IF(BV32&gt;0,IF(INDIRECT("Basistabelle!D" &amp; $A$1+BV32+BW$1)&gt;"",INDIRECT("Basistabelle!D" &amp; $A$1+BV32+BW$1),""),"")</f>
        <v/>
      </c>
      <c r="BY32" s="124"/>
      <c r="BZ32" s="121" t="str">
        <f t="shared" ref="BZ32:BZ41" ca="1" si="209">IF(BV32&gt;0,IF(INDIRECT("Basistabelle!E" &amp; $A$1+BV32+BW$1)&gt;"",INDIRECT("Basistabelle!E" &amp; $A$1+BV32+BW$1),""),"")</f>
        <v/>
      </c>
      <c r="CA32" s="124"/>
      <c r="CB32" s="125" t="str">
        <f t="shared" ref="CB32:CB41" ca="1" si="210">IF(BV32&gt;0,IF(INDIRECT("Basistabelle!F" &amp; $A$1+BV32+BW$1)&gt;"",INDIRECT("Basistabelle!F" &amp; $A$1+BV32+BW$1),""),"")</f>
        <v/>
      </c>
      <c r="CC32" s="124"/>
      <c r="CD32" s="6"/>
      <c r="CE32" s="164" t="str">
        <f t="shared" ca="1" si="29"/>
        <v/>
      </c>
      <c r="CF32" s="125" t="str">
        <f t="shared" ref="CF32:CF38" ca="1" si="211">IF(CD32&gt;0,IF(INDIRECT("Basistabelle!D" &amp; $A$1+CD32+CE$1)&gt;"",INDIRECT("Basistabelle!D" &amp; $A$1+CD32+CE$1),""),"")</f>
        <v/>
      </c>
      <c r="CG32" s="124"/>
      <c r="CH32" s="121" t="str">
        <f t="shared" ref="CH32:CH38" ca="1" si="212">IF(CD32&gt;0,IF(INDIRECT("Basistabelle!E" &amp; $A$1+CD32+CE$1)&gt;"",INDIRECT("Basistabelle!E" &amp; $A$1+CD32+CE$1),""),"")</f>
        <v/>
      </c>
      <c r="CI32" s="124"/>
      <c r="CJ32" s="125" t="str">
        <f t="shared" ref="CJ32:CJ38" ca="1" si="213">IF(CD32&gt;0,IF(INDIRECT("Basistabelle!F" &amp; $A$1+CD32+CE$1)&gt;"",INDIRECT("Basistabelle!F" &amp; $A$1+CD32+CE$1),""),"")</f>
        <v/>
      </c>
      <c r="CK32" s="124"/>
      <c r="CL32" s="6"/>
      <c r="CM32" s="164" t="str">
        <f t="shared" ca="1" si="31"/>
        <v/>
      </c>
      <c r="CN32" s="125" t="str">
        <f t="shared" ca="1" si="182"/>
        <v/>
      </c>
      <c r="CO32" s="124"/>
      <c r="CP32" s="121" t="str">
        <f t="shared" ca="1" si="183"/>
        <v/>
      </c>
      <c r="CQ32" s="124"/>
      <c r="CR32" s="125" t="str">
        <f t="shared" ca="1" si="184"/>
        <v/>
      </c>
      <c r="CS32" s="139"/>
    </row>
    <row r="33" spans="1:97" s="2" customFormat="1" x14ac:dyDescent="0.2">
      <c r="A33" s="6" t="s">
        <v>7</v>
      </c>
      <c r="B33" s="8"/>
      <c r="C33" s="164" t="str">
        <f t="shared" ca="1" si="0"/>
        <v/>
      </c>
      <c r="D33" s="125" t="str">
        <f t="shared" ca="1" si="195"/>
        <v/>
      </c>
      <c r="E33" s="124"/>
      <c r="F33" s="121" t="str">
        <f t="shared" ca="1" si="196"/>
        <v/>
      </c>
      <c r="G33" s="124"/>
      <c r="H33" s="125" t="str">
        <f t="shared" ca="1" si="197"/>
        <v/>
      </c>
      <c r="I33" s="124"/>
      <c r="J33" s="6"/>
      <c r="K33" s="164" t="str">
        <f t="shared" ca="1" si="4"/>
        <v/>
      </c>
      <c r="L33" s="125" t="str">
        <f t="shared" ca="1" si="93"/>
        <v/>
      </c>
      <c r="M33" s="124"/>
      <c r="N33" s="121" t="str">
        <f t="shared" ca="1" si="94"/>
        <v/>
      </c>
      <c r="O33" s="124"/>
      <c r="P33" s="125" t="str">
        <f t="shared" ca="1" si="95"/>
        <v/>
      </c>
      <c r="Q33" s="124"/>
      <c r="R33" s="6"/>
      <c r="S33" s="164" t="str">
        <f t="shared" ca="1" si="8"/>
        <v/>
      </c>
      <c r="T33" s="125" t="str">
        <f t="shared" ca="1" si="198"/>
        <v/>
      </c>
      <c r="U33" s="124"/>
      <c r="V33" s="121" t="str">
        <f t="shared" ca="1" si="199"/>
        <v/>
      </c>
      <c r="W33" s="124"/>
      <c r="X33" s="125" t="str">
        <f t="shared" ca="1" si="200"/>
        <v/>
      </c>
      <c r="Y33" s="124"/>
      <c r="Z33" s="6"/>
      <c r="AA33" s="164" t="str">
        <f t="shared" ca="1" si="12"/>
        <v/>
      </c>
      <c r="AB33" s="125" t="str">
        <f t="shared" ca="1" si="81"/>
        <v/>
      </c>
      <c r="AC33" s="124"/>
      <c r="AD33" s="121" t="str">
        <f t="shared" ca="1" si="82"/>
        <v/>
      </c>
      <c r="AE33" s="124"/>
      <c r="AF33" s="125" t="str">
        <f t="shared" ca="1" si="83"/>
        <v/>
      </c>
      <c r="AG33" s="124"/>
      <c r="AH33" s="6"/>
      <c r="AI33" s="164" t="str">
        <f t="shared" ca="1" si="65"/>
        <v/>
      </c>
      <c r="AJ33" s="125">
        <f>Basistabelle!D151</f>
        <v>0</v>
      </c>
      <c r="AK33" s="124"/>
      <c r="AL33" s="121" t="str">
        <f t="shared" ca="1" si="99"/>
        <v/>
      </c>
      <c r="AM33" s="124"/>
      <c r="AN33" s="125" t="str">
        <f t="shared" ca="1" si="201"/>
        <v/>
      </c>
      <c r="AO33" s="124"/>
      <c r="AP33" s="6"/>
      <c r="AQ33" s="164" t="str">
        <f t="shared" ca="1" si="19"/>
        <v/>
      </c>
      <c r="AR33" s="125" t="str">
        <f t="shared" ca="1" si="202"/>
        <v/>
      </c>
      <c r="AS33" s="124"/>
      <c r="AT33" s="121" t="str">
        <f t="shared" ca="1" si="203"/>
        <v/>
      </c>
      <c r="AU33" s="124"/>
      <c r="AV33" s="125" t="str">
        <f t="shared" ca="1" si="204"/>
        <v/>
      </c>
      <c r="AW33" s="124"/>
      <c r="AX33" s="6"/>
      <c r="AY33" s="164" t="str">
        <f t="shared" ca="1" si="21"/>
        <v/>
      </c>
      <c r="AZ33" s="125" t="str">
        <f t="shared" ca="1" si="42"/>
        <v/>
      </c>
      <c r="BA33" s="124"/>
      <c r="BB33" s="121" t="str">
        <f t="shared" ca="1" si="43"/>
        <v/>
      </c>
      <c r="BC33" s="124"/>
      <c r="BD33" s="125" t="str">
        <f t="shared" ca="1" si="44"/>
        <v/>
      </c>
      <c r="BE33" s="124"/>
      <c r="BF33" s="21"/>
      <c r="BG33" s="164" t="str">
        <f t="shared" ca="1" si="23"/>
        <v/>
      </c>
      <c r="BH33" s="125" t="str">
        <f t="shared" ca="1" si="205"/>
        <v/>
      </c>
      <c r="BI33" s="124"/>
      <c r="BJ33" s="121" t="str">
        <f t="shared" ca="1" si="206"/>
        <v/>
      </c>
      <c r="BK33" s="124"/>
      <c r="BL33" s="125" t="str">
        <f t="shared" ca="1" si="207"/>
        <v/>
      </c>
      <c r="BM33" s="124"/>
      <c r="BN33" s="6"/>
      <c r="BO33" s="164" t="str">
        <f t="shared" ca="1" si="25"/>
        <v/>
      </c>
      <c r="BP33" s="125" t="str">
        <f t="shared" ca="1" si="147"/>
        <v/>
      </c>
      <c r="BQ33" s="124"/>
      <c r="BR33" s="121" t="str">
        <f t="shared" ca="1" si="148"/>
        <v/>
      </c>
      <c r="BS33" s="124"/>
      <c r="BT33" s="125" t="str">
        <f t="shared" ca="1" si="149"/>
        <v/>
      </c>
      <c r="BU33" s="124"/>
      <c r="BV33" s="6"/>
      <c r="BW33" s="164" t="str">
        <f t="shared" ca="1" si="27"/>
        <v/>
      </c>
      <c r="BX33" s="125" t="str">
        <f t="shared" ca="1" si="208"/>
        <v/>
      </c>
      <c r="BY33" s="124"/>
      <c r="BZ33" s="121" t="str">
        <f t="shared" ca="1" si="209"/>
        <v/>
      </c>
      <c r="CA33" s="124"/>
      <c r="CB33" s="125" t="str">
        <f t="shared" ca="1" si="210"/>
        <v/>
      </c>
      <c r="CC33" s="124"/>
      <c r="CD33" s="6"/>
      <c r="CE33" s="164" t="str">
        <f t="shared" ca="1" si="29"/>
        <v/>
      </c>
      <c r="CF33" s="125" t="str">
        <f t="shared" ca="1" si="211"/>
        <v/>
      </c>
      <c r="CG33" s="124"/>
      <c r="CH33" s="121" t="str">
        <f t="shared" ca="1" si="212"/>
        <v/>
      </c>
      <c r="CI33" s="124"/>
      <c r="CJ33" s="125" t="str">
        <f t="shared" ca="1" si="213"/>
        <v/>
      </c>
      <c r="CK33" s="124"/>
      <c r="CL33" s="6"/>
      <c r="CM33" s="164" t="str">
        <f t="shared" ca="1" si="31"/>
        <v/>
      </c>
      <c r="CN33" s="125" t="str">
        <f t="shared" ca="1" si="182"/>
        <v/>
      </c>
      <c r="CO33" s="124"/>
      <c r="CP33" s="121" t="str">
        <f t="shared" ca="1" si="183"/>
        <v/>
      </c>
      <c r="CQ33" s="124"/>
      <c r="CR33" s="125" t="str">
        <f t="shared" ca="1" si="184"/>
        <v/>
      </c>
      <c r="CS33" s="139"/>
    </row>
    <row r="34" spans="1:97" s="2" customFormat="1" x14ac:dyDescent="0.2">
      <c r="A34" s="6" t="s">
        <v>8</v>
      </c>
      <c r="B34" s="8"/>
      <c r="C34" s="164" t="str">
        <f t="shared" ca="1" si="0"/>
        <v/>
      </c>
      <c r="D34" s="125" t="str">
        <f t="shared" ca="1" si="195"/>
        <v/>
      </c>
      <c r="E34" s="124"/>
      <c r="F34" s="121" t="str">
        <f t="shared" ca="1" si="196"/>
        <v/>
      </c>
      <c r="G34" s="124"/>
      <c r="H34" s="125" t="str">
        <f t="shared" ca="1" si="197"/>
        <v/>
      </c>
      <c r="I34" s="124"/>
      <c r="J34" s="6"/>
      <c r="K34" s="164" t="str">
        <f t="shared" ca="1" si="4"/>
        <v/>
      </c>
      <c r="L34" s="157" t="str">
        <f t="shared" ref="L34:L35" ca="1" si="214">IF(J34&gt;0,IF(INDIRECT("Basistabelle!D" &amp; $A$1+J34+K$1)&gt;"",INDIRECT("Basistabelle!D" &amp; $A$1+J34+K$1),""),"")</f>
        <v/>
      </c>
      <c r="M34" s="124"/>
      <c r="N34" s="121" t="str">
        <f t="shared" ref="N34:N35" ca="1" si="215">IF(J34&gt;0,IF(INDIRECT("Basistabelle!E" &amp; $A$1+J34+K$1)&gt;"",INDIRECT("Basistabelle!E" &amp; $A$1+J34+K$1),""),"")</f>
        <v/>
      </c>
      <c r="O34" s="124"/>
      <c r="P34" s="157" t="str">
        <f t="shared" ref="P34:P35" ca="1" si="216">IF(J34&gt;0,IF(INDIRECT("Basistabelle!F" &amp; $A$1+J34+K$1)&gt;"",INDIRECT("Basistabelle!F" &amp; $A$1+J34+K$1),""),"")</f>
        <v/>
      </c>
      <c r="Q34" s="124"/>
      <c r="R34" s="6"/>
      <c r="S34" s="164" t="str">
        <f t="shared" ca="1" si="8"/>
        <v/>
      </c>
      <c r="T34" s="125" t="str">
        <f t="shared" ca="1" si="198"/>
        <v/>
      </c>
      <c r="U34" s="124"/>
      <c r="V34" s="121" t="str">
        <f t="shared" ca="1" si="199"/>
        <v/>
      </c>
      <c r="W34" s="124"/>
      <c r="X34" s="125" t="str">
        <f t="shared" ca="1" si="200"/>
        <v/>
      </c>
      <c r="Y34" s="124"/>
      <c r="Z34" s="6"/>
      <c r="AA34" s="164" t="str">
        <f t="shared" ca="1" si="12"/>
        <v/>
      </c>
      <c r="AB34" s="125" t="str">
        <f t="shared" ca="1" si="81"/>
        <v/>
      </c>
      <c r="AC34" s="124"/>
      <c r="AD34" s="121" t="str">
        <f t="shared" ca="1" si="82"/>
        <v/>
      </c>
      <c r="AE34" s="124"/>
      <c r="AF34" s="125" t="str">
        <f t="shared" ca="1" si="83"/>
        <v/>
      </c>
      <c r="AG34" s="124"/>
      <c r="AH34" s="6"/>
      <c r="AI34" s="164" t="str">
        <f t="shared" ca="1" si="65"/>
        <v/>
      </c>
      <c r="AJ34" s="125">
        <f>Basistabelle!D152</f>
        <v>0</v>
      </c>
      <c r="AK34" s="124"/>
      <c r="AL34" s="121" t="str">
        <f t="shared" ca="1" si="99"/>
        <v/>
      </c>
      <c r="AM34" s="124"/>
      <c r="AN34" s="125" t="str">
        <f t="shared" ca="1" si="201"/>
        <v/>
      </c>
      <c r="AO34" s="124"/>
      <c r="AP34" s="6"/>
      <c r="AQ34" s="164" t="str">
        <f t="shared" ca="1" si="19"/>
        <v/>
      </c>
      <c r="AR34" s="125" t="str">
        <f t="shared" ca="1" si="202"/>
        <v/>
      </c>
      <c r="AS34" s="124"/>
      <c r="AT34" s="121" t="str">
        <f t="shared" ca="1" si="203"/>
        <v/>
      </c>
      <c r="AU34" s="124"/>
      <c r="AV34" s="125" t="str">
        <f t="shared" ca="1" si="204"/>
        <v/>
      </c>
      <c r="AW34" s="124"/>
      <c r="AX34" s="6"/>
      <c r="AY34" s="164" t="str">
        <f t="shared" ca="1" si="21"/>
        <v/>
      </c>
      <c r="AZ34" s="125" t="str">
        <f t="shared" ca="1" si="42"/>
        <v/>
      </c>
      <c r="BA34" s="124"/>
      <c r="BB34" s="121" t="str">
        <f t="shared" ca="1" si="43"/>
        <v/>
      </c>
      <c r="BC34" s="124"/>
      <c r="BD34" s="125" t="str">
        <f t="shared" ca="1" si="44"/>
        <v/>
      </c>
      <c r="BE34" s="124"/>
      <c r="BF34" s="21"/>
      <c r="BG34" s="164" t="str">
        <f t="shared" ca="1" si="23"/>
        <v/>
      </c>
      <c r="BH34" s="125" t="str">
        <f t="shared" ca="1" si="205"/>
        <v/>
      </c>
      <c r="BI34" s="124"/>
      <c r="BJ34" s="121" t="str">
        <f t="shared" ca="1" si="206"/>
        <v/>
      </c>
      <c r="BK34" s="124"/>
      <c r="BL34" s="125" t="str">
        <f t="shared" ca="1" si="207"/>
        <v/>
      </c>
      <c r="BM34" s="124"/>
      <c r="BN34" s="6"/>
      <c r="BO34" s="164" t="str">
        <f t="shared" ca="1" si="25"/>
        <v/>
      </c>
      <c r="BP34" s="125" t="str">
        <f t="shared" ca="1" si="147"/>
        <v/>
      </c>
      <c r="BQ34" s="124"/>
      <c r="BR34" s="121" t="str">
        <f t="shared" ca="1" si="148"/>
        <v/>
      </c>
      <c r="BS34" s="124"/>
      <c r="BT34" s="125" t="str">
        <f t="shared" ca="1" si="149"/>
        <v/>
      </c>
      <c r="BU34" s="124"/>
      <c r="BV34" s="6"/>
      <c r="BW34" s="164" t="str">
        <f t="shared" ca="1" si="27"/>
        <v/>
      </c>
      <c r="BX34" s="125" t="str">
        <f t="shared" ca="1" si="208"/>
        <v/>
      </c>
      <c r="BY34" s="124"/>
      <c r="BZ34" s="121" t="str">
        <f t="shared" ca="1" si="209"/>
        <v/>
      </c>
      <c r="CA34" s="124"/>
      <c r="CB34" s="125" t="str">
        <f t="shared" ca="1" si="210"/>
        <v/>
      </c>
      <c r="CC34" s="124"/>
      <c r="CD34" s="6"/>
      <c r="CE34" s="164" t="str">
        <f t="shared" ca="1" si="29"/>
        <v/>
      </c>
      <c r="CF34" s="125" t="str">
        <f t="shared" ca="1" si="211"/>
        <v/>
      </c>
      <c r="CG34" s="124"/>
      <c r="CH34" s="121" t="str">
        <f t="shared" ca="1" si="212"/>
        <v/>
      </c>
      <c r="CI34" s="124"/>
      <c r="CJ34" s="125" t="str">
        <f t="shared" ca="1" si="213"/>
        <v/>
      </c>
      <c r="CK34" s="124"/>
      <c r="CL34" s="6"/>
      <c r="CM34" s="164" t="str">
        <f t="shared" ca="1" si="31"/>
        <v/>
      </c>
      <c r="CN34" s="125" t="str">
        <f t="shared" ca="1" si="182"/>
        <v/>
      </c>
      <c r="CO34" s="124"/>
      <c r="CP34" s="121" t="str">
        <f t="shared" ca="1" si="183"/>
        <v/>
      </c>
      <c r="CQ34" s="124"/>
      <c r="CR34" s="125" t="str">
        <f t="shared" ca="1" si="184"/>
        <v/>
      </c>
      <c r="CS34" s="139"/>
    </row>
    <row r="35" spans="1:97" s="2" customFormat="1" x14ac:dyDescent="0.2">
      <c r="A35" s="6" t="s">
        <v>3</v>
      </c>
      <c r="B35" s="8"/>
      <c r="C35" s="164" t="str">
        <f t="shared" ca="1" si="0"/>
        <v/>
      </c>
      <c r="D35" s="125" t="str">
        <f t="shared" ca="1" si="195"/>
        <v/>
      </c>
      <c r="E35" s="124"/>
      <c r="F35" s="121" t="str">
        <f t="shared" ca="1" si="196"/>
        <v/>
      </c>
      <c r="G35" s="124"/>
      <c r="H35" s="125" t="str">
        <f t="shared" ca="1" si="197"/>
        <v/>
      </c>
      <c r="I35" s="124"/>
      <c r="J35" s="6"/>
      <c r="K35" s="164" t="str">
        <f t="shared" ca="1" si="4"/>
        <v/>
      </c>
      <c r="L35" s="157" t="str">
        <f t="shared" ca="1" si="214"/>
        <v/>
      </c>
      <c r="M35" s="124"/>
      <c r="N35" s="121" t="str">
        <f t="shared" ca="1" si="215"/>
        <v/>
      </c>
      <c r="O35" s="124"/>
      <c r="P35" s="157" t="str">
        <f t="shared" ca="1" si="216"/>
        <v/>
      </c>
      <c r="Q35" s="124"/>
      <c r="R35" s="6"/>
      <c r="S35" s="164" t="str">
        <f t="shared" ca="1" si="8"/>
        <v/>
      </c>
      <c r="T35" s="154" t="str">
        <f t="shared" ca="1" si="198"/>
        <v/>
      </c>
      <c r="U35" s="124"/>
      <c r="V35" s="121" t="str">
        <f t="shared" ca="1" si="199"/>
        <v/>
      </c>
      <c r="W35" s="124"/>
      <c r="X35" s="154" t="str">
        <f t="shared" ca="1" si="200"/>
        <v/>
      </c>
      <c r="Y35" s="124"/>
      <c r="Z35" s="6"/>
      <c r="AA35" s="164" t="str">
        <f t="shared" ca="1" si="12"/>
        <v/>
      </c>
      <c r="AB35" s="125" t="str">
        <f t="shared" ca="1" si="81"/>
        <v/>
      </c>
      <c r="AC35" s="124"/>
      <c r="AD35" s="121" t="str">
        <f t="shared" ca="1" si="82"/>
        <v/>
      </c>
      <c r="AE35" s="124"/>
      <c r="AF35" s="125" t="str">
        <f t="shared" ca="1" si="83"/>
        <v/>
      </c>
      <c r="AG35" s="124"/>
      <c r="AH35" s="6"/>
      <c r="AI35" s="164" t="str">
        <f t="shared" ca="1" si="65"/>
        <v/>
      </c>
      <c r="AJ35" s="125">
        <f>Basistabelle!D153</f>
        <v>0</v>
      </c>
      <c r="AK35" s="124"/>
      <c r="AL35" s="121" t="str">
        <f t="shared" ca="1" si="99"/>
        <v/>
      </c>
      <c r="AM35" s="124"/>
      <c r="AN35" s="125" t="str">
        <f t="shared" ca="1" si="201"/>
        <v/>
      </c>
      <c r="AO35" s="124"/>
      <c r="AP35" s="6"/>
      <c r="AQ35" s="164" t="str">
        <f t="shared" ca="1" si="19"/>
        <v/>
      </c>
      <c r="AR35" s="125" t="str">
        <f t="shared" ca="1" si="202"/>
        <v/>
      </c>
      <c r="AS35" s="124"/>
      <c r="AT35" s="121" t="str">
        <f t="shared" ca="1" si="203"/>
        <v/>
      </c>
      <c r="AU35" s="124"/>
      <c r="AV35" s="125" t="str">
        <f t="shared" ca="1" si="204"/>
        <v/>
      </c>
      <c r="AW35" s="124"/>
      <c r="AX35" s="6"/>
      <c r="AY35" s="164" t="str">
        <f t="shared" ca="1" si="21"/>
        <v/>
      </c>
      <c r="AZ35" s="125" t="str">
        <f t="shared" ca="1" si="42"/>
        <v/>
      </c>
      <c r="BA35" s="124"/>
      <c r="BB35" s="121" t="str">
        <f t="shared" ca="1" si="43"/>
        <v/>
      </c>
      <c r="BC35" s="124"/>
      <c r="BD35" s="125" t="str">
        <f t="shared" ca="1" si="44"/>
        <v/>
      </c>
      <c r="BE35" s="124"/>
      <c r="BF35" s="21"/>
      <c r="BG35" s="164" t="str">
        <f t="shared" ca="1" si="23"/>
        <v/>
      </c>
      <c r="BH35" s="157" t="str">
        <f t="shared" ref="BH35:BH38" ca="1" si="217">IF(BF35&gt;0,IF(INDIRECT("Basistabelle!D" &amp; $A$1+BF35+BG$1)&gt;"",INDIRECT("Basistabelle!D" &amp; $A$1+BF35+BG$1),""),"")</f>
        <v/>
      </c>
      <c r="BI35" s="124"/>
      <c r="BJ35" s="121" t="str">
        <f t="shared" ref="BJ35:BJ38" ca="1" si="218">IF(BF35&gt;0,IF(INDIRECT("Basistabelle!E" &amp; $A$1+BF35+BG$1)&gt;"",INDIRECT("Basistabelle!E" &amp; $A$1+BF35+BG$1),""),"")</f>
        <v/>
      </c>
      <c r="BK35" s="124"/>
      <c r="BL35" s="157" t="str">
        <f t="shared" ref="BL35:BL38" ca="1" si="219">IF(BF35&gt;0,IF(INDIRECT("Basistabelle!F" &amp; $A$1+BF35+BG$1)&gt;"",INDIRECT("Basistabelle!F" &amp; $A$1+BF35+BG$1),""),"")</f>
        <v/>
      </c>
      <c r="BM35" s="124"/>
      <c r="BN35" s="6"/>
      <c r="BO35" s="164" t="str">
        <f t="shared" ca="1" si="25"/>
        <v/>
      </c>
      <c r="BP35" s="125" t="str">
        <f t="shared" ca="1" si="147"/>
        <v/>
      </c>
      <c r="BQ35" s="124"/>
      <c r="BR35" s="121" t="str">
        <f t="shared" ca="1" si="148"/>
        <v/>
      </c>
      <c r="BS35" s="124"/>
      <c r="BT35" s="125" t="str">
        <f t="shared" ca="1" si="149"/>
        <v/>
      </c>
      <c r="BU35" s="124"/>
      <c r="BV35" s="6"/>
      <c r="BW35" s="164" t="str">
        <f t="shared" ca="1" si="27"/>
        <v/>
      </c>
      <c r="BX35" s="125" t="str">
        <f t="shared" ca="1" si="208"/>
        <v/>
      </c>
      <c r="BY35" s="124"/>
      <c r="BZ35" s="121" t="str">
        <f t="shared" ca="1" si="209"/>
        <v/>
      </c>
      <c r="CA35" s="124"/>
      <c r="CB35" s="125" t="str">
        <f t="shared" ca="1" si="210"/>
        <v/>
      </c>
      <c r="CC35" s="124"/>
      <c r="CD35" s="6"/>
      <c r="CE35" s="164" t="str">
        <f t="shared" ca="1" si="29"/>
        <v/>
      </c>
      <c r="CF35" s="125" t="str">
        <f t="shared" ca="1" si="211"/>
        <v/>
      </c>
      <c r="CG35" s="124"/>
      <c r="CH35" s="121" t="str">
        <f t="shared" ca="1" si="212"/>
        <v/>
      </c>
      <c r="CI35" s="124"/>
      <c r="CJ35" s="125" t="str">
        <f t="shared" ca="1" si="213"/>
        <v/>
      </c>
      <c r="CK35" s="124"/>
      <c r="CL35" s="6"/>
      <c r="CM35" s="164" t="str">
        <f t="shared" ca="1" si="31"/>
        <v/>
      </c>
      <c r="CN35" s="125" t="str">
        <f t="shared" ca="1" si="182"/>
        <v/>
      </c>
      <c r="CO35" s="124"/>
      <c r="CP35" s="121" t="str">
        <f t="shared" ca="1" si="183"/>
        <v/>
      </c>
      <c r="CQ35" s="124"/>
      <c r="CR35" s="125" t="str">
        <f t="shared" ca="1" si="184"/>
        <v/>
      </c>
      <c r="CS35" s="139"/>
    </row>
    <row r="36" spans="1:97" s="2" customFormat="1" ht="12.75" customHeight="1" x14ac:dyDescent="0.2">
      <c r="A36" s="9" t="s">
        <v>4</v>
      </c>
      <c r="B36" s="10"/>
      <c r="C36" s="164" t="str">
        <f t="shared" ca="1" si="0"/>
        <v/>
      </c>
      <c r="D36" s="126" t="str">
        <f t="shared" ca="1" si="195"/>
        <v/>
      </c>
      <c r="E36" s="126"/>
      <c r="F36" s="126" t="str">
        <f t="shared" ca="1" si="196"/>
        <v/>
      </c>
      <c r="G36" s="126"/>
      <c r="H36" s="126" t="str">
        <f t="shared" ca="1" si="197"/>
        <v/>
      </c>
      <c r="I36" s="126"/>
      <c r="J36" s="51"/>
      <c r="K36" s="164" t="str">
        <f t="shared" ca="1" si="4"/>
        <v/>
      </c>
      <c r="L36" s="126" t="str">
        <f t="shared" ref="L36:L38" ca="1" si="220">IF(J36&gt;0,IF(INDIRECT("Basistabelle!D" &amp; $A$1+J36+K$1)&gt;"",INDIRECT("Basistabelle!D" &amp; $A$1+J36+K$1),""),"")</f>
        <v/>
      </c>
      <c r="M36" s="126"/>
      <c r="N36" s="126" t="str">
        <f t="shared" ref="N36:N38" ca="1" si="221">IF(J36&gt;0,IF(INDIRECT("Basistabelle!E" &amp; $A$1+J36+K$1)&gt;"",INDIRECT("Basistabelle!E" &amp; $A$1+J36+K$1),""),"")</f>
        <v/>
      </c>
      <c r="O36" s="126"/>
      <c r="P36" s="126" t="str">
        <f t="shared" ref="P36:P38" ca="1" si="222">IF(J36&gt;0,IF(INDIRECT("Basistabelle!F" &amp; $A$1+J36+K$1)&gt;"",INDIRECT("Basistabelle!F" &amp; $A$1+J36+K$1),""),"")</f>
        <v/>
      </c>
      <c r="Q36" s="126"/>
      <c r="R36" s="9"/>
      <c r="S36" s="164" t="str">
        <f t="shared" ca="1" si="8"/>
        <v/>
      </c>
      <c r="T36" s="126" t="str">
        <f t="shared" ca="1" si="198"/>
        <v/>
      </c>
      <c r="U36" s="126"/>
      <c r="V36" s="126" t="str">
        <f t="shared" ca="1" si="199"/>
        <v/>
      </c>
      <c r="W36" s="126"/>
      <c r="X36" s="126" t="str">
        <f t="shared" ca="1" si="200"/>
        <v/>
      </c>
      <c r="Y36" s="126"/>
      <c r="Z36" s="9"/>
      <c r="AA36" s="164" t="str">
        <f t="shared" ca="1" si="12"/>
        <v/>
      </c>
      <c r="AB36" s="126" t="str">
        <f t="shared" ref="AB36" ca="1" si="223">IF(Z36&gt;0,IF(INDIRECT("Basistabelle!D" &amp; $A$1+Z36+AA$1)&gt;"",INDIRECT("Basistabelle!D" &amp; $A$1+Z36+AA$1),""),"")</f>
        <v/>
      </c>
      <c r="AC36" s="126"/>
      <c r="AD36" s="126" t="str">
        <f t="shared" ref="AD36" ca="1" si="224">IF(Z36&gt;0,IF(INDIRECT("Basistabelle!E" &amp; $A$1+Z36+AA$1)&gt;"",INDIRECT("Basistabelle!E" &amp; $A$1+Z36+AA$1),""),"")</f>
        <v/>
      </c>
      <c r="AE36" s="126"/>
      <c r="AF36" s="126" t="str">
        <f t="shared" ref="AF36" ca="1" si="225">IF(Z36&gt;0,IF(INDIRECT("Basistabelle!F" &amp; $A$1+Z36+AA$1)&gt;"",INDIRECT("Basistabelle!F" &amp; $A$1+Z36+AA$1),""),"")</f>
        <v/>
      </c>
      <c r="AG36" s="126"/>
      <c r="AH36" s="9"/>
      <c r="AI36" s="164" t="str">
        <f t="shared" ca="1" si="65"/>
        <v/>
      </c>
      <c r="AJ36" s="126">
        <f>Basistabelle!D154</f>
        <v>0</v>
      </c>
      <c r="AK36" s="126"/>
      <c r="AL36" s="126" t="str">
        <f t="shared" ca="1" si="99"/>
        <v/>
      </c>
      <c r="AM36" s="126"/>
      <c r="AN36" s="126" t="str">
        <f t="shared" ca="1" si="201"/>
        <v/>
      </c>
      <c r="AO36" s="126"/>
      <c r="AP36" s="9"/>
      <c r="AQ36" s="164" t="str">
        <f t="shared" ca="1" si="19"/>
        <v/>
      </c>
      <c r="AR36" s="126" t="str">
        <f t="shared" ca="1" si="202"/>
        <v/>
      </c>
      <c r="AS36" s="126"/>
      <c r="AT36" s="126" t="str">
        <f t="shared" ca="1" si="203"/>
        <v/>
      </c>
      <c r="AU36" s="126"/>
      <c r="AV36" s="126" t="str">
        <f t="shared" ca="1" si="204"/>
        <v/>
      </c>
      <c r="AW36" s="126"/>
      <c r="AX36" s="9"/>
      <c r="AY36" s="164" t="str">
        <f t="shared" ca="1" si="21"/>
        <v/>
      </c>
      <c r="AZ36" s="126" t="str">
        <f t="shared" ref="AZ36" ca="1" si="226">IF(AX36&gt;0,IF(INDIRECT("Basistabelle!D" &amp; $A$1+AX36+AY$1)&gt;"",INDIRECT("Basistabelle!D" &amp; $A$1+AX36+AY$1),""),"")</f>
        <v/>
      </c>
      <c r="BA36" s="126"/>
      <c r="BB36" s="126" t="str">
        <f t="shared" ref="BB36" ca="1" si="227">IF(AX36&gt;0,IF(INDIRECT("Basistabelle!E" &amp; $A$1+AX36+AY$1)&gt;"",INDIRECT("Basistabelle!E" &amp; $A$1+AX36+AY$1),""),"")</f>
        <v/>
      </c>
      <c r="BC36" s="126"/>
      <c r="BD36" s="126" t="str">
        <f t="shared" ref="BD36" ca="1" si="228">IF(AX36&gt;0,IF(INDIRECT("Basistabelle!F" &amp; $A$1+AX36+AY$1)&gt;"",INDIRECT("Basistabelle!F" &amp; $A$1+AX36+AY$1),""),"")</f>
        <v/>
      </c>
      <c r="BE36" s="126"/>
      <c r="BF36" s="9"/>
      <c r="BG36" s="164" t="str">
        <f t="shared" ca="1" si="23"/>
        <v/>
      </c>
      <c r="BH36" s="126" t="str">
        <f t="shared" ca="1" si="217"/>
        <v/>
      </c>
      <c r="BI36" s="127"/>
      <c r="BJ36" s="126" t="str">
        <f t="shared" ca="1" si="218"/>
        <v/>
      </c>
      <c r="BK36" s="127"/>
      <c r="BL36" s="127" t="str">
        <f t="shared" ca="1" si="219"/>
        <v/>
      </c>
      <c r="BM36" s="127"/>
      <c r="BN36" s="9"/>
      <c r="BO36" s="164" t="str">
        <f t="shared" ca="1" si="25"/>
        <v/>
      </c>
      <c r="BP36" s="126" t="str">
        <f t="shared" ca="1" si="147"/>
        <v/>
      </c>
      <c r="BQ36" s="126"/>
      <c r="BR36" s="126" t="str">
        <f t="shared" ca="1" si="148"/>
        <v/>
      </c>
      <c r="BS36" s="126"/>
      <c r="BT36" s="126" t="str">
        <f t="shared" ca="1" si="149"/>
        <v/>
      </c>
      <c r="BU36" s="126"/>
      <c r="BV36" s="9"/>
      <c r="BW36" s="164" t="str">
        <f t="shared" ca="1" si="27"/>
        <v/>
      </c>
      <c r="BX36" s="126" t="str">
        <f t="shared" ca="1" si="208"/>
        <v/>
      </c>
      <c r="BY36" s="126"/>
      <c r="BZ36" s="126" t="str">
        <f t="shared" ca="1" si="209"/>
        <v/>
      </c>
      <c r="CA36" s="126"/>
      <c r="CB36" s="126" t="str">
        <f t="shared" ca="1" si="210"/>
        <v/>
      </c>
      <c r="CC36" s="126"/>
      <c r="CD36" s="9"/>
      <c r="CE36" s="164" t="str">
        <f t="shared" ca="1" si="29"/>
        <v/>
      </c>
      <c r="CF36" s="126" t="str">
        <f t="shared" ca="1" si="211"/>
        <v/>
      </c>
      <c r="CG36" s="127"/>
      <c r="CH36" s="126" t="str">
        <f t="shared" ca="1" si="212"/>
        <v/>
      </c>
      <c r="CI36" s="127"/>
      <c r="CJ36" s="127" t="str">
        <f t="shared" ca="1" si="213"/>
        <v/>
      </c>
      <c r="CK36" s="127"/>
      <c r="CL36" s="9"/>
      <c r="CM36" s="164" t="str">
        <f t="shared" ca="1" si="31"/>
        <v/>
      </c>
      <c r="CN36" s="126" t="str">
        <f t="shared" ca="1" si="182"/>
        <v/>
      </c>
      <c r="CO36" s="126"/>
      <c r="CP36" s="126" t="str">
        <f t="shared" ca="1" si="183"/>
        <v/>
      </c>
      <c r="CQ36" s="126"/>
      <c r="CR36" s="126" t="str">
        <f t="shared" ca="1" si="184"/>
        <v/>
      </c>
      <c r="CS36" s="140"/>
    </row>
    <row r="37" spans="1:97" s="2" customFormat="1" x14ac:dyDescent="0.2">
      <c r="A37" s="9" t="s">
        <v>5</v>
      </c>
      <c r="B37" s="10"/>
      <c r="C37" s="164" t="str">
        <f t="shared" ca="1" si="0"/>
        <v/>
      </c>
      <c r="D37" s="126" t="str">
        <f t="shared" ref="D37:D38" ca="1" si="229">IF(B37&gt;0,IF(INDIRECT("Basistabelle!D" &amp; $A$1+B37+C$1)&gt;"",INDIRECT("Basistabelle!D" &amp; $A$1+B37+C$1),""),"")</f>
        <v/>
      </c>
      <c r="E37" s="126"/>
      <c r="F37" s="126" t="str">
        <f t="shared" ref="F37:F38" ca="1" si="230">IF(B37&gt;0,IF(INDIRECT("Basistabelle!E" &amp; $A$1+B37+C$1)&gt;"",INDIRECT("Basistabelle!E" &amp; $A$1+B37+C$1),""),"")</f>
        <v/>
      </c>
      <c r="G37" s="126"/>
      <c r="H37" s="126" t="str">
        <f t="shared" ref="H37:H38" ca="1" si="231">IF(B37&gt;0,IF(INDIRECT("Basistabelle!F" &amp; $A$1+B37+C$1)&gt;"",INDIRECT("Basistabelle!F" &amp; $A$1+B37+C$1),""),"")</f>
        <v/>
      </c>
      <c r="I37" s="126"/>
      <c r="J37" s="51"/>
      <c r="K37" s="164" t="str">
        <f t="shared" ca="1" si="4"/>
        <v/>
      </c>
      <c r="L37" s="126" t="str">
        <f t="shared" ca="1" si="220"/>
        <v/>
      </c>
      <c r="M37" s="126"/>
      <c r="N37" s="126" t="str">
        <f t="shared" ca="1" si="221"/>
        <v/>
      </c>
      <c r="O37" s="126"/>
      <c r="P37" s="126" t="str">
        <f t="shared" ca="1" si="222"/>
        <v/>
      </c>
      <c r="Q37" s="126"/>
      <c r="R37" s="9"/>
      <c r="S37" s="164" t="str">
        <f t="shared" ca="1" si="8"/>
        <v/>
      </c>
      <c r="T37" s="126" t="str">
        <f t="shared" ca="1" si="198"/>
        <v/>
      </c>
      <c r="U37" s="126"/>
      <c r="V37" s="126" t="str">
        <f t="shared" ca="1" si="199"/>
        <v/>
      </c>
      <c r="W37" s="126"/>
      <c r="X37" s="126" t="str">
        <f t="shared" ca="1" si="200"/>
        <v/>
      </c>
      <c r="Y37" s="126"/>
      <c r="Z37" s="9"/>
      <c r="AA37" s="164" t="str">
        <f t="shared" ca="1" si="12"/>
        <v/>
      </c>
      <c r="AB37" s="126" t="str">
        <f t="shared" ca="1" si="81"/>
        <v/>
      </c>
      <c r="AC37" s="126"/>
      <c r="AD37" s="126" t="str">
        <f t="shared" ca="1" si="82"/>
        <v/>
      </c>
      <c r="AE37" s="126"/>
      <c r="AF37" s="126" t="str">
        <f t="shared" ca="1" si="83"/>
        <v/>
      </c>
      <c r="AG37" s="126"/>
      <c r="AH37" s="9"/>
      <c r="AI37" s="164" t="str">
        <f t="shared" ca="1" si="65"/>
        <v/>
      </c>
      <c r="AJ37" s="126">
        <f>Basistabelle!D155</f>
        <v>0</v>
      </c>
      <c r="AK37" s="126"/>
      <c r="AL37" s="126" t="str">
        <f t="shared" ca="1" si="99"/>
        <v/>
      </c>
      <c r="AM37" s="126"/>
      <c r="AN37" s="126" t="str">
        <f t="shared" ca="1" si="201"/>
        <v/>
      </c>
      <c r="AO37" s="126"/>
      <c r="AP37" s="9"/>
      <c r="AQ37" s="164" t="str">
        <f t="shared" ca="1" si="19"/>
        <v/>
      </c>
      <c r="AR37" s="126" t="str">
        <f t="shared" ca="1" si="202"/>
        <v/>
      </c>
      <c r="AS37" s="127"/>
      <c r="AT37" s="126" t="str">
        <f t="shared" ca="1" si="203"/>
        <v/>
      </c>
      <c r="AU37" s="127"/>
      <c r="AV37" s="127" t="str">
        <f t="shared" ca="1" si="204"/>
        <v/>
      </c>
      <c r="AW37" s="127"/>
      <c r="AX37" s="9"/>
      <c r="AY37" s="164" t="str">
        <f t="shared" ca="1" si="21"/>
        <v/>
      </c>
      <c r="AZ37" s="126" t="str">
        <f t="shared" ca="1" si="42"/>
        <v/>
      </c>
      <c r="BA37" s="126"/>
      <c r="BB37" s="126" t="str">
        <f t="shared" ca="1" si="43"/>
        <v/>
      </c>
      <c r="BC37" s="126"/>
      <c r="BD37" s="126" t="str">
        <f t="shared" ca="1" si="44"/>
        <v/>
      </c>
      <c r="BE37" s="126"/>
      <c r="BF37" s="9"/>
      <c r="BG37" s="164" t="str">
        <f t="shared" ca="1" si="23"/>
        <v/>
      </c>
      <c r="BH37" s="126" t="str">
        <f t="shared" ca="1" si="217"/>
        <v/>
      </c>
      <c r="BI37" s="127"/>
      <c r="BJ37" s="126" t="str">
        <f t="shared" ca="1" si="218"/>
        <v/>
      </c>
      <c r="BK37" s="127"/>
      <c r="BL37" s="127" t="str">
        <f t="shared" ca="1" si="219"/>
        <v/>
      </c>
      <c r="BM37" s="127"/>
      <c r="BN37" s="9"/>
      <c r="BO37" s="164" t="str">
        <f t="shared" ca="1" si="25"/>
        <v/>
      </c>
      <c r="BP37" s="126" t="str">
        <f t="shared" ref="BP37" ca="1" si="232">IF(BN37&gt;0,IF(INDIRECT("Basistabelle!D" &amp; $A$1+BN37+BO$1)&gt;"",INDIRECT("Basistabelle!D" &amp; $A$1+BN37+BO$1),""),"")</f>
        <v/>
      </c>
      <c r="BQ37" s="126"/>
      <c r="BR37" s="126" t="str">
        <f t="shared" ref="BR37" ca="1" si="233">IF(BN37&gt;0,IF(INDIRECT("Basistabelle!E" &amp; $A$1+BN37+BO$1)&gt;"",INDIRECT("Basistabelle!E" &amp; $A$1+BN37+BO$1),""),"")</f>
        <v/>
      </c>
      <c r="BS37" s="126"/>
      <c r="BT37" s="126" t="str">
        <f t="shared" ref="BT37" ca="1" si="234">IF(BN37&gt;0,IF(INDIRECT("Basistabelle!F" &amp; $A$1+BN37+BO$1)&gt;"",INDIRECT("Basistabelle!F" &amp; $A$1+BN37+BO$1),""),"")</f>
        <v/>
      </c>
      <c r="BU37" s="126"/>
      <c r="BV37" s="9"/>
      <c r="BW37" s="164" t="str">
        <f t="shared" ca="1" si="27"/>
        <v/>
      </c>
      <c r="BX37" s="126" t="str">
        <f t="shared" ca="1" si="208"/>
        <v/>
      </c>
      <c r="BY37" s="126"/>
      <c r="BZ37" s="126" t="str">
        <f t="shared" ca="1" si="209"/>
        <v/>
      </c>
      <c r="CA37" s="126"/>
      <c r="CB37" s="126" t="str">
        <f t="shared" ca="1" si="210"/>
        <v/>
      </c>
      <c r="CC37" s="126"/>
      <c r="CD37" s="9"/>
      <c r="CE37" s="164" t="str">
        <f t="shared" ca="1" si="29"/>
        <v/>
      </c>
      <c r="CF37" s="126" t="str">
        <f t="shared" ca="1" si="211"/>
        <v/>
      </c>
      <c r="CG37" s="127"/>
      <c r="CH37" s="126" t="str">
        <f t="shared" ca="1" si="212"/>
        <v/>
      </c>
      <c r="CI37" s="127"/>
      <c r="CJ37" s="127" t="str">
        <f t="shared" ca="1" si="213"/>
        <v/>
      </c>
      <c r="CK37" s="127"/>
      <c r="CL37" s="9"/>
      <c r="CM37" s="164" t="str">
        <f t="shared" ca="1" si="31"/>
        <v/>
      </c>
      <c r="CN37" s="126" t="str">
        <f t="shared" ca="1" si="182"/>
        <v/>
      </c>
      <c r="CO37" s="126"/>
      <c r="CP37" s="126" t="str">
        <f t="shared" ca="1" si="183"/>
        <v/>
      </c>
      <c r="CQ37" s="126"/>
      <c r="CR37" s="126" t="str">
        <f t="shared" ca="1" si="184"/>
        <v/>
      </c>
      <c r="CS37" s="140"/>
    </row>
    <row r="38" spans="1:97" s="2" customFormat="1" ht="15" customHeight="1" x14ac:dyDescent="0.2">
      <c r="A38" s="6" t="s">
        <v>25</v>
      </c>
      <c r="B38" s="8"/>
      <c r="C38" s="164" t="str">
        <f t="shared" ca="1" si="0"/>
        <v/>
      </c>
      <c r="D38" s="157" t="str">
        <f t="shared" ca="1" si="229"/>
        <v/>
      </c>
      <c r="E38" s="124"/>
      <c r="F38" s="121" t="str">
        <f t="shared" ca="1" si="230"/>
        <v/>
      </c>
      <c r="G38" s="124"/>
      <c r="H38" s="157" t="str">
        <f t="shared" ca="1" si="231"/>
        <v/>
      </c>
      <c r="I38" s="124"/>
      <c r="J38" s="6"/>
      <c r="K38" s="164" t="str">
        <f t="shared" ca="1" si="4"/>
        <v/>
      </c>
      <c r="L38" s="157" t="str">
        <f t="shared" ca="1" si="220"/>
        <v/>
      </c>
      <c r="M38" s="124"/>
      <c r="N38" s="121" t="str">
        <f t="shared" ca="1" si="221"/>
        <v/>
      </c>
      <c r="O38" s="124"/>
      <c r="P38" s="157" t="str">
        <f t="shared" ca="1" si="222"/>
        <v/>
      </c>
      <c r="Q38" s="124"/>
      <c r="R38" s="6"/>
      <c r="S38" s="164" t="str">
        <f t="shared" ca="1" si="8"/>
        <v/>
      </c>
      <c r="T38" s="157" t="str">
        <f t="shared" ref="T38" ca="1" si="235">IF(R38&gt;0,IF(INDIRECT("Basistabelle!D" &amp; $A$1+R38+S$1)&gt;"",INDIRECT("Basistabelle!D" &amp; $A$1+R38+S$1),""),"")</f>
        <v/>
      </c>
      <c r="U38" s="124"/>
      <c r="V38" s="121" t="str">
        <f t="shared" ref="V38" ca="1" si="236">IF(R38&gt;0,IF(INDIRECT("Basistabelle!E" &amp; $A$1+R38+S$1)&gt;"",INDIRECT("Basistabelle!E" &amp; $A$1+R38+S$1),""),"")</f>
        <v/>
      </c>
      <c r="W38" s="124"/>
      <c r="X38" s="157" t="str">
        <f t="shared" ref="X38" ca="1" si="237">IF(R38&gt;0,IF(INDIRECT("Basistabelle!F" &amp; $A$1+R38+S$1)&gt;"",INDIRECT("Basistabelle!F" &amp; $A$1+R38+S$1),""),"")</f>
        <v/>
      </c>
      <c r="Y38" s="124"/>
      <c r="Z38" s="6"/>
      <c r="AA38" s="164" t="str">
        <f t="shared" ca="1" si="12"/>
        <v/>
      </c>
      <c r="AB38" s="157" t="str">
        <f t="shared" ref="AB38:AB41" ca="1" si="238">IF(Z38&gt;0,IF(INDIRECT("Basistabelle!D" &amp; $A$1+Z38+AA$1)&gt;"",INDIRECT("Basistabelle!D" &amp; $A$1+Z38+AA$1),""),"")</f>
        <v/>
      </c>
      <c r="AC38" s="124"/>
      <c r="AD38" s="121" t="str">
        <f t="shared" ref="AD38:AD41" ca="1" si="239">IF(Z38&gt;0,IF(INDIRECT("Basistabelle!E" &amp; $A$1+Z38+AA$1)&gt;"",INDIRECT("Basistabelle!E" &amp; $A$1+Z38+AA$1),""),"")</f>
        <v/>
      </c>
      <c r="AE38" s="124"/>
      <c r="AF38" s="157" t="str">
        <f t="shared" ref="AF38:AF41" ca="1" si="240">IF(Z38&gt;0,IF(INDIRECT("Basistabelle!F" &amp; $A$1+Z38+AA$1)&gt;"",INDIRECT("Basistabelle!F" &amp; $A$1+Z38+AA$1),""),"")</f>
        <v/>
      </c>
      <c r="AG38" s="124"/>
      <c r="AH38" s="6"/>
      <c r="AI38" s="164" t="str">
        <f t="shared" ca="1" si="65"/>
        <v/>
      </c>
      <c r="AJ38" s="157" t="str">
        <f ca="1">IF(AH38&gt;0,IF(INDIRECT("Basistabelle!D" &amp; $A$1+AH38+AI$1)&gt;"",INDIRECT("Basistabelle!D" &amp; $A$1+AH38+AI$1),""),"")</f>
        <v/>
      </c>
      <c r="AK38" s="124"/>
      <c r="AL38" s="121" t="str">
        <f t="shared" ref="AL38" ca="1" si="241">IF(AH38&gt;0,IF(INDIRECT("Basistabelle!E" &amp; $A$1+AH38+AI$1)&gt;"",INDIRECT("Basistabelle!E" &amp; $A$1+AH38+AI$1),""),"")</f>
        <v/>
      </c>
      <c r="AM38" s="124"/>
      <c r="AN38" s="157" t="str">
        <f t="shared" ca="1" si="201"/>
        <v/>
      </c>
      <c r="AO38" s="124"/>
      <c r="AP38" s="6"/>
      <c r="AQ38" s="164" t="str">
        <f t="shared" ca="1" si="19"/>
        <v/>
      </c>
      <c r="AR38" s="157" t="str">
        <f t="shared" ca="1" si="202"/>
        <v/>
      </c>
      <c r="AS38" s="124"/>
      <c r="AT38" s="121" t="str">
        <f t="shared" ca="1" si="203"/>
        <v/>
      </c>
      <c r="AU38" s="124"/>
      <c r="AV38" s="157" t="str">
        <f t="shared" ca="1" si="204"/>
        <v/>
      </c>
      <c r="AW38" s="163"/>
      <c r="AX38" s="6"/>
      <c r="AY38" s="164" t="str">
        <f t="shared" ca="1" si="21"/>
        <v/>
      </c>
      <c r="AZ38" s="125" t="str">
        <f t="shared" ca="1" si="42"/>
        <v/>
      </c>
      <c r="BA38" s="124"/>
      <c r="BB38" s="121" t="str">
        <f t="shared" ca="1" si="43"/>
        <v/>
      </c>
      <c r="BC38" s="124"/>
      <c r="BD38" s="125" t="str">
        <f t="shared" ca="1" si="44"/>
        <v/>
      </c>
      <c r="BE38" s="124"/>
      <c r="BF38" s="21"/>
      <c r="BG38" s="164" t="str">
        <f t="shared" ca="1" si="23"/>
        <v/>
      </c>
      <c r="BH38" s="157" t="str">
        <f t="shared" ca="1" si="217"/>
        <v/>
      </c>
      <c r="BI38" s="124"/>
      <c r="BJ38" s="121" t="str">
        <f t="shared" ca="1" si="218"/>
        <v/>
      </c>
      <c r="BK38" s="124"/>
      <c r="BL38" s="157" t="str">
        <f t="shared" ca="1" si="219"/>
        <v/>
      </c>
      <c r="BM38" s="163"/>
      <c r="BN38" s="18"/>
      <c r="BO38" s="164" t="str">
        <f t="shared" ca="1" si="25"/>
        <v/>
      </c>
      <c r="BP38" s="125" t="str">
        <f t="shared" ca="1" si="147"/>
        <v/>
      </c>
      <c r="BQ38" s="124"/>
      <c r="BR38" s="121" t="str">
        <f t="shared" ca="1" si="148"/>
        <v/>
      </c>
      <c r="BS38" s="124"/>
      <c r="BT38" s="125" t="str">
        <f t="shared" ca="1" si="149"/>
        <v/>
      </c>
      <c r="BU38" s="124"/>
      <c r="BV38" s="6"/>
      <c r="BW38" s="164" t="str">
        <f t="shared" ca="1" si="27"/>
        <v/>
      </c>
      <c r="BX38" s="157" t="str">
        <f t="shared" ca="1" si="208"/>
        <v/>
      </c>
      <c r="BY38" s="124"/>
      <c r="BZ38" s="121" t="str">
        <f t="shared" ca="1" si="209"/>
        <v/>
      </c>
      <c r="CA38" s="124"/>
      <c r="CB38" s="157" t="str">
        <f t="shared" ca="1" si="210"/>
        <v/>
      </c>
      <c r="CC38" s="163"/>
      <c r="CD38" s="18"/>
      <c r="CE38" s="164" t="str">
        <f t="shared" ca="1" si="29"/>
        <v/>
      </c>
      <c r="CF38" s="157" t="str">
        <f t="shared" ca="1" si="211"/>
        <v/>
      </c>
      <c r="CG38" s="124"/>
      <c r="CH38" s="121" t="str">
        <f t="shared" ca="1" si="212"/>
        <v/>
      </c>
      <c r="CI38" s="124"/>
      <c r="CJ38" s="157" t="str">
        <f t="shared" ca="1" si="213"/>
        <v/>
      </c>
      <c r="CK38" s="124"/>
      <c r="CL38" s="6"/>
      <c r="CM38" s="164" t="str">
        <f t="shared" ca="1" si="31"/>
        <v/>
      </c>
      <c r="CN38" s="157" t="str">
        <f t="shared" ref="CN38" ca="1" si="242">IF(CL38&gt;0,IF(INDIRECT("Basistabelle!D" &amp; $A$1+CL38+CM$1)&gt;"",INDIRECT("Basistabelle!D" &amp; $A$1+CL38+CM$1),""),"")</f>
        <v/>
      </c>
      <c r="CO38" s="124"/>
      <c r="CP38" s="121" t="str">
        <f t="shared" ref="CP38" ca="1" si="243">IF(CL38&gt;0,IF(INDIRECT("Basistabelle!E" &amp; $A$1+CL38+CM$1)&gt;"",INDIRECT("Basistabelle!E" &amp; $A$1+CL38+CM$1),""),"")</f>
        <v/>
      </c>
      <c r="CQ38" s="124"/>
      <c r="CR38" s="157" t="str">
        <f t="shared" ref="CR38" ca="1" si="244">IF(CL38&gt;0,IF(INDIRECT("Basistabelle!F" &amp; $A$1+CL38+CM$1)&gt;"",INDIRECT("Basistabelle!F" &amp; $A$1+CL38+CM$1),""),"")</f>
        <v/>
      </c>
      <c r="CS38" s="139"/>
    </row>
    <row r="39" spans="1:97" s="2" customFormat="1" x14ac:dyDescent="0.2">
      <c r="A39" s="6" t="s">
        <v>6</v>
      </c>
      <c r="B39" s="8"/>
      <c r="C39" s="164" t="str">
        <f t="shared" ca="1" si="0"/>
        <v/>
      </c>
      <c r="D39" s="157" t="str">
        <f t="shared" ref="D39" ca="1" si="245">IF(B39&gt;0,IF(INDIRECT("Basistabelle!D" &amp; $A$1+B39+C$1)&gt;"",INDIRECT("Basistabelle!D" &amp; $A$1+B39+C$1),""),"")</f>
        <v/>
      </c>
      <c r="E39" s="124"/>
      <c r="F39" s="121" t="str">
        <f t="shared" ref="F39" ca="1" si="246">IF(B39&gt;0,IF(INDIRECT("Basistabelle!E" &amp; $A$1+B39+C$1)&gt;"",INDIRECT("Basistabelle!E" &amp; $A$1+B39+C$1),""),"")</f>
        <v/>
      </c>
      <c r="G39" s="124"/>
      <c r="H39" s="157" t="str">
        <f t="shared" ref="H39" ca="1" si="247">IF(B39&gt;0,IF(INDIRECT("Basistabelle!F" &amp; $A$1+B39+C$1)&gt;"",INDIRECT("Basistabelle!F" &amp; $A$1+B39+C$1),""),"")</f>
        <v/>
      </c>
      <c r="I39" s="124"/>
      <c r="J39" s="6"/>
      <c r="K39" s="164" t="str">
        <f t="shared" ca="1" si="4"/>
        <v/>
      </c>
      <c r="L39" s="157" t="str">
        <f t="shared" ref="L39:L40" ca="1" si="248">IF(J39&gt;0,IF(INDIRECT("Basistabelle!D" &amp; $A$1+J39+K$1)&gt;"",INDIRECT("Basistabelle!D" &amp; $A$1+J39+K$1),""),"")</f>
        <v/>
      </c>
      <c r="M39" s="124"/>
      <c r="N39" s="121" t="str">
        <f t="shared" ref="N39:N40" ca="1" si="249">IF(J39&gt;0,IF(INDIRECT("Basistabelle!E" &amp; $A$1+J39+K$1)&gt;"",INDIRECT("Basistabelle!E" &amp; $A$1+J39+K$1),""),"")</f>
        <v/>
      </c>
      <c r="O39" s="124"/>
      <c r="P39" s="157" t="str">
        <f t="shared" ref="P39:P40" ca="1" si="250">IF(J39&gt;0,IF(INDIRECT("Basistabelle!F" &amp; $A$1+J39+K$1)&gt;"",INDIRECT("Basistabelle!F" &amp; $A$1+J39+K$1),""),"")</f>
        <v/>
      </c>
      <c r="Q39" s="124"/>
      <c r="R39" s="6"/>
      <c r="S39" s="164" t="str">
        <f t="shared" ca="1" si="8"/>
        <v/>
      </c>
      <c r="T39" s="157" t="str">
        <f t="shared" ca="1" si="198"/>
        <v/>
      </c>
      <c r="U39" s="124"/>
      <c r="V39" s="121" t="str">
        <f t="shared" ca="1" si="199"/>
        <v/>
      </c>
      <c r="W39" s="124"/>
      <c r="X39" s="121" t="str">
        <f t="shared" ca="1" si="200"/>
        <v/>
      </c>
      <c r="Y39" s="124"/>
      <c r="Z39" s="6"/>
      <c r="AA39" s="164" t="str">
        <f t="shared" ca="1" si="12"/>
        <v/>
      </c>
      <c r="AB39" s="157" t="str">
        <f t="shared" ca="1" si="238"/>
        <v/>
      </c>
      <c r="AC39" s="124"/>
      <c r="AD39" s="121" t="str">
        <f t="shared" ca="1" si="239"/>
        <v/>
      </c>
      <c r="AE39" s="124"/>
      <c r="AF39" s="157" t="str">
        <f t="shared" ca="1" si="240"/>
        <v/>
      </c>
      <c r="AG39" s="124"/>
      <c r="AH39" s="6"/>
      <c r="AI39" s="164" t="str">
        <f t="shared" ca="1" si="65"/>
        <v/>
      </c>
      <c r="AJ39" s="125">
        <f>Basistabelle!D157</f>
        <v>0</v>
      </c>
      <c r="AK39" s="124"/>
      <c r="AL39" s="121" t="str">
        <f t="shared" ca="1" si="99"/>
        <v/>
      </c>
      <c r="AM39" s="124"/>
      <c r="AN39" s="125" t="str">
        <f ca="1">IF(AH39&gt;0,IF(INDIRECT("Basistabelle!F" &amp; $A$1+AH39+AI$1)&gt;"",INDIRECT("Basistabelle!F" &amp; $A$1+AH39+AI$1),""),"")</f>
        <v/>
      </c>
      <c r="AO39" s="124"/>
      <c r="AP39" s="6"/>
      <c r="AQ39" s="164" t="str">
        <f t="shared" ca="1" si="19"/>
        <v/>
      </c>
      <c r="AR39" s="125" t="str">
        <f t="shared" ca="1" si="202"/>
        <v/>
      </c>
      <c r="AS39" s="124"/>
      <c r="AT39" s="121" t="str">
        <f t="shared" ca="1" si="203"/>
        <v/>
      </c>
      <c r="AU39" s="124"/>
      <c r="AV39" s="125" t="str">
        <f t="shared" ca="1" si="204"/>
        <v/>
      </c>
      <c r="AW39" s="124"/>
      <c r="AX39" s="6"/>
      <c r="AY39" s="164" t="str">
        <f t="shared" ca="1" si="21"/>
        <v/>
      </c>
      <c r="AZ39" s="157" t="str">
        <f t="shared" ref="AZ39" ca="1" si="251">IF(AX39&gt;0,IF(INDIRECT("Basistabelle!D" &amp; $A$1+AX39+AY$1)&gt;"",INDIRECT("Basistabelle!D" &amp; $A$1+AX39+AY$1),""),"")</f>
        <v/>
      </c>
      <c r="BA39" s="124"/>
      <c r="BB39" s="121" t="str">
        <f t="shared" ref="BB39" ca="1" si="252">IF(AX39&gt;0,IF(INDIRECT("Basistabelle!E" &amp; $A$1+AX39+AY$1)&gt;"",INDIRECT("Basistabelle!E" &amp; $A$1+AX39+AY$1),""),"")</f>
        <v/>
      </c>
      <c r="BC39" s="124"/>
      <c r="BD39" s="157" t="str">
        <f t="shared" ref="BD39" ca="1" si="253">IF(AX39&gt;0,IF(INDIRECT("Basistabelle!F" &amp; $A$1+AX39+AY$1)&gt;"",INDIRECT("Basistabelle!F" &amp; $A$1+AX39+AY$1),""),"")</f>
        <v/>
      </c>
      <c r="BE39" s="124"/>
      <c r="BF39" s="21"/>
      <c r="BG39" s="164" t="str">
        <f t="shared" ca="1" si="23"/>
        <v/>
      </c>
      <c r="BH39" s="125" t="str">
        <f t="shared" ref="BH39:BH41" ca="1" si="254">IF(BF39&gt;0,IF(INDIRECT("Basistabelle!D" &amp; $A$1+BF39+BG$1)&gt;"",INDIRECT("Basistabelle!D" &amp; $A$1+BF39+BG$1),""),"")</f>
        <v/>
      </c>
      <c r="BI39" s="124"/>
      <c r="BJ39" s="121" t="str">
        <f t="shared" ref="BJ39:BJ41" ca="1" si="255">IF(BF39&gt;0,IF(INDIRECT("Basistabelle!E" &amp; $A$1+BF39+BG$1)&gt;"",INDIRECT("Basistabelle!E" &amp; $A$1+BF39+BG$1),""),"")</f>
        <v/>
      </c>
      <c r="BK39" s="124"/>
      <c r="BL39" s="125" t="str">
        <f t="shared" ref="BL39:BL41" ca="1" si="256">IF(BF39&gt;0,IF(INDIRECT("Basistabelle!F" &amp; $A$1+BF39+BG$1)&gt;"",INDIRECT("Basistabelle!F" &amp; $A$1+BF39+BG$1),""),"")</f>
        <v/>
      </c>
      <c r="BM39" s="124"/>
      <c r="BN39" s="6"/>
      <c r="BO39" s="164" t="str">
        <f t="shared" ca="1" si="25"/>
        <v/>
      </c>
      <c r="BP39" s="125" t="str">
        <f t="shared" ca="1" si="147"/>
        <v/>
      </c>
      <c r="BQ39" s="124"/>
      <c r="BR39" s="121" t="str">
        <f t="shared" ca="1" si="148"/>
        <v/>
      </c>
      <c r="BS39" s="124"/>
      <c r="BT39" s="125" t="str">
        <f t="shared" ca="1" si="149"/>
        <v/>
      </c>
      <c r="BU39" s="124"/>
      <c r="BV39" s="6"/>
      <c r="BW39" s="164" t="str">
        <f t="shared" ca="1" si="27"/>
        <v/>
      </c>
      <c r="BX39" s="125" t="str">
        <f t="shared" ca="1" si="208"/>
        <v/>
      </c>
      <c r="BY39" s="124"/>
      <c r="BZ39" s="121" t="str">
        <f t="shared" ca="1" si="209"/>
        <v/>
      </c>
      <c r="CA39" s="124"/>
      <c r="CB39" s="125" t="str">
        <f t="shared" ca="1" si="210"/>
        <v/>
      </c>
      <c r="CC39" s="124"/>
      <c r="CD39" s="6"/>
      <c r="CE39" s="164" t="str">
        <f t="shared" ca="1" si="29"/>
        <v/>
      </c>
      <c r="CF39" s="125" t="str">
        <f t="shared" ref="CF39:CF41" ca="1" si="257">IF(CD39&gt;0,IF(INDIRECT("Basistabelle!D" &amp; $A$1+CD39+CE$1)&gt;"",INDIRECT("Basistabelle!D" &amp; $A$1+CD39+CE$1),""),"")</f>
        <v/>
      </c>
      <c r="CG39" s="124"/>
      <c r="CH39" s="121" t="str">
        <f t="shared" ref="CH39:CH41" ca="1" si="258">IF(CD39&gt;0,IF(INDIRECT("Basistabelle!E" &amp; $A$1+CD39+CE$1)&gt;"",INDIRECT("Basistabelle!E" &amp; $A$1+CD39+CE$1),""),"")</f>
        <v/>
      </c>
      <c r="CI39" s="124"/>
      <c r="CJ39" s="125" t="str">
        <f t="shared" ref="CJ39:CJ41" ca="1" si="259">IF(CD39&gt;0,IF(INDIRECT("Basistabelle!F" &amp; $A$1+CD39+CE$1)&gt;"",INDIRECT("Basistabelle!F" &amp; $A$1+CD39+CE$1),""),"")</f>
        <v/>
      </c>
      <c r="CK39" s="124"/>
      <c r="CL39" s="6"/>
      <c r="CM39" s="164" t="str">
        <f t="shared" ca="1" si="31"/>
        <v/>
      </c>
      <c r="CN39" s="125" t="str">
        <f t="shared" ca="1" si="182"/>
        <v/>
      </c>
      <c r="CO39" s="124"/>
      <c r="CP39" s="121" t="str">
        <f t="shared" ca="1" si="183"/>
        <v/>
      </c>
      <c r="CQ39" s="124"/>
      <c r="CR39" s="125" t="str">
        <f t="shared" ca="1" si="184"/>
        <v/>
      </c>
      <c r="CS39" s="139"/>
    </row>
    <row r="40" spans="1:97" s="2" customFormat="1" x14ac:dyDescent="0.2">
      <c r="A40" s="6" t="s">
        <v>7</v>
      </c>
      <c r="B40" s="8"/>
      <c r="C40" s="164" t="str">
        <f t="shared" ca="1" si="0"/>
        <v/>
      </c>
      <c r="D40" s="157" t="str">
        <f t="shared" ref="D40:D41" ca="1" si="260">IF(B40&gt;0,IF(INDIRECT("Basistabelle!D" &amp; $A$1+B40+C$1)&gt;"",INDIRECT("Basistabelle!D" &amp; $A$1+B40+C$1),""),"")</f>
        <v/>
      </c>
      <c r="E40" s="124"/>
      <c r="F40" s="121" t="str">
        <f t="shared" ref="F40:F41" ca="1" si="261">IF(B40&gt;0,IF(INDIRECT("Basistabelle!E" &amp; $A$1+B40+C$1)&gt;"",INDIRECT("Basistabelle!E" &amp; $A$1+B40+C$1),""),"")</f>
        <v/>
      </c>
      <c r="G40" s="124"/>
      <c r="H40" s="157" t="str">
        <f t="shared" ref="H40:H41" ca="1" si="262">IF(B40&gt;0,IF(INDIRECT("Basistabelle!F" &amp; $A$1+B40+C$1)&gt;"",INDIRECT("Basistabelle!F" &amp; $A$1+B40+C$1),""),"")</f>
        <v/>
      </c>
      <c r="I40" s="124"/>
      <c r="J40" s="6"/>
      <c r="K40" s="164" t="str">
        <f t="shared" ca="1" si="4"/>
        <v/>
      </c>
      <c r="L40" s="157" t="str">
        <f t="shared" ca="1" si="248"/>
        <v/>
      </c>
      <c r="M40" s="124"/>
      <c r="N40" s="121" t="str">
        <f t="shared" ca="1" si="249"/>
        <v/>
      </c>
      <c r="O40" s="124"/>
      <c r="P40" s="157" t="str">
        <f t="shared" ca="1" si="250"/>
        <v/>
      </c>
      <c r="Q40" s="124"/>
      <c r="R40" s="6"/>
      <c r="S40" s="164" t="str">
        <f t="shared" ca="1" si="8"/>
        <v/>
      </c>
      <c r="T40" s="157" t="str">
        <f t="shared" ca="1" si="198"/>
        <v/>
      </c>
      <c r="U40" s="124"/>
      <c r="V40" s="121" t="str">
        <f t="shared" ca="1" si="199"/>
        <v/>
      </c>
      <c r="W40" s="124"/>
      <c r="X40" s="121" t="str">
        <f t="shared" ca="1" si="200"/>
        <v/>
      </c>
      <c r="Y40" s="124"/>
      <c r="Z40" s="6"/>
      <c r="AA40" s="164" t="str">
        <f t="shared" ca="1" si="12"/>
        <v/>
      </c>
      <c r="AB40" s="157" t="str">
        <f t="shared" ca="1" si="238"/>
        <v/>
      </c>
      <c r="AC40" s="124"/>
      <c r="AD40" s="121" t="str">
        <f t="shared" ca="1" si="239"/>
        <v/>
      </c>
      <c r="AE40" s="124"/>
      <c r="AF40" s="157" t="str">
        <f t="shared" ca="1" si="240"/>
        <v/>
      </c>
      <c r="AG40" s="124"/>
      <c r="AH40" s="6"/>
      <c r="AI40" s="164" t="str">
        <f t="shared" ca="1" si="65"/>
        <v/>
      </c>
      <c r="AJ40" s="157">
        <f>Basistabelle!D158</f>
        <v>0</v>
      </c>
      <c r="AK40" s="124"/>
      <c r="AL40" s="121" t="str">
        <f t="shared" ref="AL40" ca="1" si="263">IF(AH40&gt;0,IF(INDIRECT("Basistabelle!E" &amp; $A$1+AH40+AI$1)&gt;"",INDIRECT("Basistabelle!E" &amp; $A$1+AH40+AI$1),""),"")</f>
        <v/>
      </c>
      <c r="AM40" s="124"/>
      <c r="AN40" s="157" t="str">
        <f ca="1">IF(AH40&gt;0,IF(INDIRECT("Basistabelle!F" &amp; $A$1+AH40+AI$1)&gt;"",INDIRECT("Basistabelle!F" &amp; $A$1+AH40+AI$1),""),"")</f>
        <v/>
      </c>
      <c r="AO40" s="124"/>
      <c r="AP40" s="6"/>
      <c r="AQ40" s="164" t="str">
        <f t="shared" ca="1" si="19"/>
        <v/>
      </c>
      <c r="AR40" s="125" t="str">
        <f t="shared" ca="1" si="202"/>
        <v/>
      </c>
      <c r="AS40" s="124"/>
      <c r="AT40" s="125" t="str">
        <f t="shared" ca="1" si="203"/>
        <v/>
      </c>
      <c r="AU40" s="124"/>
      <c r="AV40" s="125" t="str">
        <f t="shared" ca="1" si="204"/>
        <v/>
      </c>
      <c r="AW40" s="124"/>
      <c r="AX40" s="6"/>
      <c r="AY40" s="164" t="str">
        <f t="shared" ca="1" si="21"/>
        <v/>
      </c>
      <c r="AZ40" s="125" t="str">
        <f t="shared" ca="1" si="42"/>
        <v/>
      </c>
      <c r="BA40" s="124"/>
      <c r="BB40" s="125" t="str">
        <f t="shared" ca="1" si="43"/>
        <v/>
      </c>
      <c r="BC40" s="124"/>
      <c r="BD40" s="125" t="str">
        <f t="shared" ca="1" si="44"/>
        <v/>
      </c>
      <c r="BE40" s="124"/>
      <c r="BF40" s="21"/>
      <c r="BG40" s="164" t="str">
        <f t="shared" ca="1" si="23"/>
        <v/>
      </c>
      <c r="BH40" s="125" t="str">
        <f t="shared" ca="1" si="254"/>
        <v/>
      </c>
      <c r="BI40" s="124"/>
      <c r="BJ40" s="125" t="str">
        <f t="shared" ca="1" si="255"/>
        <v/>
      </c>
      <c r="BK40" s="124"/>
      <c r="BL40" s="125" t="str">
        <f t="shared" ca="1" si="256"/>
        <v/>
      </c>
      <c r="BM40" s="124"/>
      <c r="BN40" s="6"/>
      <c r="BO40" s="164" t="str">
        <f t="shared" ca="1" si="25"/>
        <v/>
      </c>
      <c r="BP40" s="125" t="str">
        <f t="shared" ca="1" si="147"/>
        <v/>
      </c>
      <c r="BQ40" s="124"/>
      <c r="BR40" s="125" t="str">
        <f t="shared" ca="1" si="148"/>
        <v/>
      </c>
      <c r="BS40" s="124"/>
      <c r="BT40" s="125" t="str">
        <f t="shared" ca="1" si="149"/>
        <v/>
      </c>
      <c r="BU40" s="124"/>
      <c r="BV40" s="6"/>
      <c r="BW40" s="164" t="str">
        <f t="shared" ca="1" si="27"/>
        <v/>
      </c>
      <c r="BX40" s="157" t="str">
        <f t="shared" ca="1" si="208"/>
        <v/>
      </c>
      <c r="BY40" s="124"/>
      <c r="BZ40" s="121" t="str">
        <f t="shared" ca="1" si="209"/>
        <v/>
      </c>
      <c r="CA40" s="124"/>
      <c r="CB40" s="157" t="str">
        <f t="shared" ca="1" si="210"/>
        <v/>
      </c>
      <c r="CC40" s="163"/>
      <c r="CD40" s="18"/>
      <c r="CE40" s="164" t="str">
        <f t="shared" ca="1" si="29"/>
        <v/>
      </c>
      <c r="CF40" s="125" t="str">
        <f t="shared" ca="1" si="257"/>
        <v/>
      </c>
      <c r="CG40" s="124"/>
      <c r="CH40" s="125" t="str">
        <f t="shared" ca="1" si="258"/>
        <v/>
      </c>
      <c r="CI40" s="124"/>
      <c r="CJ40" s="125" t="str">
        <f t="shared" ca="1" si="259"/>
        <v/>
      </c>
      <c r="CK40" s="124"/>
      <c r="CL40" s="6"/>
      <c r="CM40" s="164" t="str">
        <f t="shared" ca="1" si="31"/>
        <v/>
      </c>
      <c r="CN40" s="125" t="str">
        <f t="shared" ca="1" si="182"/>
        <v/>
      </c>
      <c r="CO40" s="124"/>
      <c r="CP40" s="125" t="str">
        <f t="shared" ca="1" si="183"/>
        <v/>
      </c>
      <c r="CQ40" s="124"/>
      <c r="CR40" s="125" t="str">
        <f t="shared" ca="1" si="184"/>
        <v/>
      </c>
      <c r="CS40" s="139"/>
    </row>
    <row r="41" spans="1:97" s="2" customFormat="1" x14ac:dyDescent="0.2">
      <c r="A41" s="11" t="s">
        <v>8</v>
      </c>
      <c r="B41" s="12"/>
      <c r="C41" s="68" t="str">
        <f t="shared" ca="1" si="0"/>
        <v/>
      </c>
      <c r="D41" s="128" t="str">
        <f t="shared" ca="1" si="260"/>
        <v/>
      </c>
      <c r="E41" s="129"/>
      <c r="F41" s="128" t="str">
        <f t="shared" ca="1" si="261"/>
        <v/>
      </c>
      <c r="G41" s="129"/>
      <c r="H41" s="128" t="str">
        <f t="shared" ca="1" si="262"/>
        <v/>
      </c>
      <c r="I41" s="129"/>
      <c r="J41" s="11"/>
      <c r="K41" s="68" t="str">
        <f t="shared" ca="1" si="4"/>
        <v/>
      </c>
      <c r="L41" s="128" t="str">
        <f t="shared" ref="L41" ca="1" si="264">IF(J41&gt;0,IF(INDIRECT("Basistabelle!D" &amp; $A$1+J41+K$1)&gt;"",INDIRECT("Basistabelle!D" &amp; $A$1+J41+K$1),""),"")</f>
        <v/>
      </c>
      <c r="M41" s="129"/>
      <c r="N41" s="128" t="str">
        <f t="shared" ref="N41" ca="1" si="265">IF(J41&gt;0,IF(INDIRECT("Basistabelle!E" &amp; $A$1+J41+K$1)&gt;"",INDIRECT("Basistabelle!E" &amp; $A$1+J41+K$1),""),"")</f>
        <v/>
      </c>
      <c r="O41" s="129"/>
      <c r="P41" s="128" t="str">
        <f t="shared" ref="P41" ca="1" si="266">IF(J41&gt;0,IF(INDIRECT("Basistabelle!F" &amp; $A$1+J41+K$1)&gt;"",INDIRECT("Basistabelle!F" &amp; $A$1+J41+K$1),""),"")</f>
        <v/>
      </c>
      <c r="Q41" s="129"/>
      <c r="R41" s="11"/>
      <c r="S41" s="68" t="str">
        <f t="shared" ca="1" si="8"/>
        <v/>
      </c>
      <c r="T41" s="128" t="str">
        <f t="shared" ca="1" si="198"/>
        <v/>
      </c>
      <c r="U41" s="129"/>
      <c r="V41" s="128" t="str">
        <f t="shared" ca="1" si="199"/>
        <v/>
      </c>
      <c r="W41" s="129"/>
      <c r="X41" s="128" t="str">
        <f t="shared" ca="1" si="200"/>
        <v/>
      </c>
      <c r="Y41" s="129"/>
      <c r="Z41" s="11"/>
      <c r="AA41" s="68" t="str">
        <f t="shared" ca="1" si="12"/>
        <v/>
      </c>
      <c r="AB41" s="128" t="str">
        <f t="shared" ca="1" si="238"/>
        <v/>
      </c>
      <c r="AC41" s="129"/>
      <c r="AD41" s="128" t="str">
        <f t="shared" ca="1" si="239"/>
        <v/>
      </c>
      <c r="AE41" s="129"/>
      <c r="AF41" s="128" t="str">
        <f t="shared" ca="1" si="240"/>
        <v/>
      </c>
      <c r="AG41" s="129"/>
      <c r="AH41" s="11"/>
      <c r="AI41" s="68" t="str">
        <f t="shared" ca="1" si="65"/>
        <v/>
      </c>
      <c r="AJ41" s="128"/>
      <c r="AK41" s="129"/>
      <c r="AL41" s="128"/>
      <c r="AM41" s="129"/>
      <c r="AN41" s="128"/>
      <c r="AO41" s="129"/>
      <c r="AP41" s="11"/>
      <c r="AQ41" s="68" t="str">
        <f t="shared" ca="1" si="19"/>
        <v/>
      </c>
      <c r="AR41" s="128" t="str">
        <f t="shared" ca="1" si="202"/>
        <v/>
      </c>
      <c r="AS41" s="129"/>
      <c r="AT41" s="128" t="str">
        <f t="shared" ca="1" si="203"/>
        <v/>
      </c>
      <c r="AU41" s="129"/>
      <c r="AV41" s="128" t="str">
        <f t="shared" ca="1" si="204"/>
        <v/>
      </c>
      <c r="AW41" s="129"/>
      <c r="AX41" s="11"/>
      <c r="AY41" s="68" t="str">
        <f t="shared" ca="1" si="21"/>
        <v/>
      </c>
      <c r="AZ41" s="128" t="str">
        <f t="shared" ca="1" si="42"/>
        <v/>
      </c>
      <c r="BA41" s="129"/>
      <c r="BB41" s="128" t="str">
        <f t="shared" ca="1" si="43"/>
        <v/>
      </c>
      <c r="BC41" s="129"/>
      <c r="BD41" s="128" t="str">
        <f t="shared" ca="1" si="44"/>
        <v/>
      </c>
      <c r="BE41" s="129"/>
      <c r="BF41" s="23"/>
      <c r="BG41" s="68" t="str">
        <f t="shared" ca="1" si="23"/>
        <v/>
      </c>
      <c r="BH41" s="128" t="str">
        <f t="shared" ca="1" si="254"/>
        <v/>
      </c>
      <c r="BI41" s="129"/>
      <c r="BJ41" s="128" t="str">
        <f t="shared" ca="1" si="255"/>
        <v/>
      </c>
      <c r="BK41" s="129"/>
      <c r="BL41" s="128" t="str">
        <f t="shared" ca="1" si="256"/>
        <v/>
      </c>
      <c r="BM41" s="129"/>
      <c r="BN41" s="11"/>
      <c r="BO41" s="68" t="str">
        <f t="shared" ca="1" si="25"/>
        <v/>
      </c>
      <c r="BP41" s="128" t="str">
        <f t="shared" ca="1" si="147"/>
        <v/>
      </c>
      <c r="BQ41" s="129"/>
      <c r="BR41" s="128" t="str">
        <f t="shared" ca="1" si="148"/>
        <v/>
      </c>
      <c r="BS41" s="129"/>
      <c r="BT41" s="128" t="str">
        <f t="shared" ca="1" si="149"/>
        <v/>
      </c>
      <c r="BU41" s="129"/>
      <c r="BV41" s="11"/>
      <c r="BW41" s="68" t="str">
        <f t="shared" ca="1" si="27"/>
        <v/>
      </c>
      <c r="BX41" s="128" t="str">
        <f t="shared" ca="1" si="208"/>
        <v/>
      </c>
      <c r="BY41" s="129"/>
      <c r="BZ41" s="128" t="str">
        <f t="shared" ca="1" si="209"/>
        <v/>
      </c>
      <c r="CA41" s="129"/>
      <c r="CB41" s="128" t="str">
        <f t="shared" ca="1" si="210"/>
        <v/>
      </c>
      <c r="CC41" s="129"/>
      <c r="CD41" s="11"/>
      <c r="CE41" s="68" t="str">
        <f t="shared" ca="1" si="29"/>
        <v/>
      </c>
      <c r="CF41" s="128" t="str">
        <f t="shared" ca="1" si="257"/>
        <v/>
      </c>
      <c r="CG41" s="129"/>
      <c r="CH41" s="128" t="str">
        <f t="shared" ca="1" si="258"/>
        <v/>
      </c>
      <c r="CI41" s="129"/>
      <c r="CJ41" s="128" t="str">
        <f t="shared" ca="1" si="259"/>
        <v/>
      </c>
      <c r="CK41" s="129"/>
      <c r="CL41" s="11"/>
      <c r="CM41" s="68" t="str">
        <f t="shared" ca="1" si="31"/>
        <v/>
      </c>
      <c r="CN41" s="128" t="str">
        <f t="shared" ca="1" si="182"/>
        <v/>
      </c>
      <c r="CO41" s="129"/>
      <c r="CP41" s="128" t="str">
        <f t="shared" ca="1" si="183"/>
        <v/>
      </c>
      <c r="CQ41" s="129"/>
      <c r="CR41" s="128" t="str">
        <f t="shared" ca="1" si="184"/>
        <v/>
      </c>
      <c r="CS41" s="142"/>
    </row>
    <row r="43" spans="1:97" x14ac:dyDescent="0.2">
      <c r="D43" s="130" t="s">
        <v>29</v>
      </c>
      <c r="E43" s="131"/>
      <c r="F43" s="130"/>
      <c r="G43" s="131"/>
      <c r="H43" s="130"/>
      <c r="I43" s="131"/>
      <c r="L43" s="130"/>
      <c r="M43" s="131"/>
      <c r="N43" s="130"/>
      <c r="O43" s="131"/>
      <c r="P43" s="130"/>
      <c r="Q43" s="131"/>
      <c r="S43" s="69"/>
      <c r="T43" s="130"/>
      <c r="U43" s="131"/>
      <c r="V43" s="130"/>
      <c r="W43" s="131"/>
      <c r="X43" s="130"/>
      <c r="Y43" s="131"/>
      <c r="AB43" s="130"/>
      <c r="AC43" s="131"/>
      <c r="AD43" s="130"/>
      <c r="AE43" s="131"/>
      <c r="AF43" s="130"/>
      <c r="AG43" s="131"/>
      <c r="AJ43" s="130"/>
      <c r="AK43" s="131"/>
      <c r="AL43" s="130"/>
      <c r="AM43" s="131"/>
      <c r="AN43" s="130"/>
      <c r="AO43" s="131"/>
      <c r="AR43" s="130"/>
      <c r="AS43" s="131"/>
      <c r="AT43" s="130"/>
      <c r="AU43" s="131"/>
      <c r="AV43" s="130"/>
      <c r="AW43" s="131"/>
      <c r="AZ43" s="130"/>
      <c r="BA43" s="131"/>
      <c r="BB43" s="130"/>
      <c r="BC43" s="131"/>
      <c r="BD43" s="130"/>
      <c r="BE43" s="131"/>
      <c r="BH43" s="130"/>
      <c r="BI43" s="131"/>
      <c r="BJ43" s="130"/>
      <c r="BK43" s="131"/>
      <c r="BL43" s="130"/>
      <c r="BM43" s="131"/>
      <c r="BO43" s="75" t="s">
        <v>150</v>
      </c>
      <c r="BP43" s="130"/>
      <c r="BQ43" s="131"/>
      <c r="BR43" s="130"/>
      <c r="BS43" s="131"/>
      <c r="BT43" s="130"/>
      <c r="BU43" s="131"/>
      <c r="BX43" s="130"/>
      <c r="BY43" s="131"/>
      <c r="BZ43" s="130"/>
      <c r="CA43" s="131"/>
      <c r="CB43" s="130"/>
      <c r="CC43" s="131"/>
      <c r="CF43" s="130"/>
      <c r="CG43" s="131"/>
      <c r="CH43" s="130"/>
      <c r="CI43" s="131"/>
      <c r="CJ43" s="130"/>
      <c r="CK43" s="131"/>
      <c r="CN43" s="130"/>
      <c r="CO43" s="131"/>
      <c r="CP43" s="130"/>
      <c r="CQ43" s="131"/>
      <c r="CR43" s="130"/>
      <c r="CS43" s="143"/>
    </row>
    <row r="44" spans="1:97" x14ac:dyDescent="0.2">
      <c r="D44" s="130" t="s">
        <v>28</v>
      </c>
      <c r="E44" s="131"/>
      <c r="F44" s="130"/>
      <c r="G44" s="131"/>
      <c r="H44" s="130"/>
      <c r="I44" s="131"/>
      <c r="L44" s="130"/>
      <c r="M44" s="131"/>
      <c r="N44" s="130"/>
      <c r="O44" s="131"/>
      <c r="P44" s="130"/>
      <c r="Q44" s="131"/>
      <c r="T44" s="130"/>
      <c r="U44" s="131"/>
      <c r="V44" s="130"/>
      <c r="W44" s="131"/>
      <c r="X44" s="130"/>
      <c r="Y44" s="131"/>
      <c r="AB44" s="130"/>
      <c r="AC44" s="131"/>
      <c r="AD44" s="130"/>
      <c r="AE44" s="131"/>
      <c r="AF44" s="130"/>
      <c r="AG44" s="131"/>
      <c r="AJ44" s="130"/>
      <c r="AK44" s="131"/>
      <c r="AL44" s="130"/>
      <c r="AM44" s="131"/>
      <c r="AN44" s="130"/>
      <c r="AO44" s="131"/>
      <c r="AR44" s="130"/>
      <c r="AS44" s="131"/>
      <c r="AT44" s="130"/>
      <c r="AU44" s="131"/>
      <c r="AV44" s="130"/>
      <c r="AW44" s="131"/>
      <c r="AZ44" s="130"/>
      <c r="BA44" s="131"/>
      <c r="BB44" s="130"/>
      <c r="BC44" s="131"/>
      <c r="BD44" s="130"/>
      <c r="BE44" s="131"/>
      <c r="BH44" s="130"/>
      <c r="BI44" s="131"/>
      <c r="BJ44" s="130"/>
      <c r="BK44" s="131"/>
      <c r="BL44" s="130"/>
      <c r="BM44" s="131"/>
      <c r="BO44" s="75" t="s">
        <v>135</v>
      </c>
      <c r="BP44" s="130"/>
      <c r="BQ44" s="131"/>
      <c r="BR44" s="130"/>
      <c r="BS44" s="131"/>
      <c r="BT44" s="130"/>
      <c r="BU44" s="131"/>
      <c r="BX44" s="130"/>
      <c r="BY44" s="131"/>
      <c r="BZ44" s="130"/>
      <c r="CA44" s="131"/>
      <c r="CB44" s="130"/>
      <c r="CC44" s="131"/>
      <c r="CF44" s="130"/>
      <c r="CG44" s="131"/>
      <c r="CH44" s="130"/>
      <c r="CI44" s="131"/>
      <c r="CJ44" s="130"/>
      <c r="CK44" s="131"/>
      <c r="CN44" s="130"/>
      <c r="CO44" s="131"/>
      <c r="CP44" s="130"/>
      <c r="CQ44" s="131"/>
      <c r="CR44" s="130"/>
      <c r="CS44" s="143"/>
    </row>
    <row r="45" spans="1:97" x14ac:dyDescent="0.2">
      <c r="D45" s="130" t="s">
        <v>30</v>
      </c>
      <c r="E45" s="131"/>
      <c r="F45" s="130"/>
      <c r="G45" s="131"/>
      <c r="H45" s="130"/>
      <c r="I45" s="131"/>
      <c r="L45" s="130"/>
      <c r="M45" s="131"/>
      <c r="N45" s="130"/>
      <c r="O45" s="131"/>
      <c r="P45" s="130"/>
      <c r="Q45" s="131"/>
      <c r="S45" s="69"/>
      <c r="T45" s="130"/>
      <c r="U45" s="131"/>
      <c r="V45" s="130"/>
      <c r="W45" s="131"/>
      <c r="X45" s="130"/>
      <c r="Y45" s="131"/>
      <c r="AB45" s="130"/>
      <c r="AC45" s="131"/>
      <c r="AD45" s="130"/>
      <c r="AE45" s="131"/>
      <c r="AF45" s="130"/>
      <c r="AG45" s="131"/>
      <c r="AJ45" s="130"/>
      <c r="AK45" s="131"/>
      <c r="AL45" s="130"/>
      <c r="AM45" s="131"/>
      <c r="AN45" s="130"/>
      <c r="AO45" s="131"/>
      <c r="AR45" s="130"/>
      <c r="AS45" s="131"/>
      <c r="AT45" s="130"/>
      <c r="AU45" s="131"/>
      <c r="AV45" s="130"/>
      <c r="AW45" s="131"/>
      <c r="AZ45" s="130"/>
      <c r="BA45" s="131"/>
      <c r="BB45" s="130"/>
      <c r="BC45" s="131"/>
      <c r="BD45" s="130"/>
      <c r="BE45" s="131"/>
      <c r="BH45" s="130"/>
      <c r="BI45" s="131"/>
      <c r="BJ45" s="130"/>
      <c r="BK45" s="131"/>
      <c r="BL45" s="130"/>
      <c r="BM45" s="131"/>
      <c r="BP45" s="130"/>
      <c r="BQ45" s="131"/>
      <c r="BR45" s="130"/>
      <c r="BS45" s="131"/>
      <c r="BT45" s="130"/>
      <c r="BU45" s="131"/>
      <c r="BX45" s="130"/>
      <c r="BY45" s="131"/>
      <c r="BZ45" s="130"/>
      <c r="CA45" s="131"/>
      <c r="CB45" s="130"/>
      <c r="CC45" s="131"/>
      <c r="CF45" s="130"/>
      <c r="CG45" s="131"/>
      <c r="CH45" s="130"/>
      <c r="CI45" s="131"/>
      <c r="CJ45" s="130"/>
      <c r="CK45" s="131"/>
      <c r="CN45" s="130"/>
      <c r="CO45" s="131"/>
      <c r="CP45" s="130"/>
      <c r="CQ45" s="131"/>
      <c r="CR45" s="130"/>
      <c r="CS45" s="143"/>
    </row>
    <row r="46" spans="1:97" x14ac:dyDescent="0.2">
      <c r="S46" s="69"/>
      <c r="BF46" s="25"/>
      <c r="BO46" s="75" t="s">
        <v>75</v>
      </c>
      <c r="BW46" s="75">
        <f ca="1">Statistik!O49</f>
        <v>0</v>
      </c>
    </row>
    <row r="47" spans="1:97" x14ac:dyDescent="0.2">
      <c r="S47" s="69"/>
      <c r="BF47" s="25"/>
      <c r="BO47" s="74" t="s">
        <v>76</v>
      </c>
      <c r="BW47" s="75">
        <f ca="1">Statistik!O23</f>
        <v>0</v>
      </c>
    </row>
  </sheetData>
  <mergeCells count="12">
    <mergeCell ref="B2:C2"/>
    <mergeCell ref="J2:K2"/>
    <mergeCell ref="R2:S2"/>
    <mergeCell ref="CL2:CM2"/>
    <mergeCell ref="AP2:AQ2"/>
    <mergeCell ref="AX2:AY2"/>
    <mergeCell ref="BF2:BG2"/>
    <mergeCell ref="BN2:BO2"/>
    <mergeCell ref="BV2:BW2"/>
    <mergeCell ref="CD2:CE2"/>
    <mergeCell ref="AH2:AI2"/>
    <mergeCell ref="Z2:AA2"/>
  </mergeCells>
  <phoneticPr fontId="8" type="noConversion"/>
  <conditionalFormatting sqref="F36 F25:F30 F18:F23 F6:F7 F12:F16">
    <cfRule type="cellIs" dxfId="843" priority="2467" operator="equal">
      <formula>"x"</formula>
    </cfRule>
  </conditionalFormatting>
  <conditionalFormatting sqref="D32:D36 D6:D7 D12:D16 D18:D23 D25:D30">
    <cfRule type="cellIs" dxfId="842" priority="2466" operator="equal">
      <formula>"x"</formula>
    </cfRule>
  </conditionalFormatting>
  <conditionalFormatting sqref="D15:D16 D22:D23 D29:D30 D36">
    <cfRule type="cellIs" dxfId="841" priority="2465" operator="notEqual">
      <formula>"x"</formula>
    </cfRule>
  </conditionalFormatting>
  <conditionalFormatting sqref="F15:F16 F22:F23 F29:F30 F36">
    <cfRule type="cellIs" dxfId="840" priority="2464" operator="notEqual">
      <formula>"x"</formula>
    </cfRule>
  </conditionalFormatting>
  <conditionalFormatting sqref="H25:H30 H18:H23 H12:H16 H6:H7 H32:H37 H39 H10">
    <cfRule type="cellIs" dxfId="839" priority="2463" operator="equal">
      <formula>"x"</formula>
    </cfRule>
  </conditionalFormatting>
  <conditionalFormatting sqref="H15:H16 H22:H23 H29:H30 H36:H37">
    <cfRule type="cellIs" dxfId="838" priority="2462" operator="notEqual">
      <formula>"x"</formula>
    </cfRule>
  </conditionalFormatting>
  <conditionalFormatting sqref="N6:N8 N32:N33 N25:N30 N18:N23 N12:N16">
    <cfRule type="cellIs" dxfId="837" priority="2461" operator="equal">
      <formula>"x"</formula>
    </cfRule>
  </conditionalFormatting>
  <conditionalFormatting sqref="L6:L8 L12:L16 L18:L23 L25:L30 L32:L33">
    <cfRule type="cellIs" dxfId="836" priority="2460" operator="equal">
      <formula>"x"</formula>
    </cfRule>
  </conditionalFormatting>
  <conditionalFormatting sqref="L8 L15:L16 L22:L23 L29:L30">
    <cfRule type="cellIs" dxfId="835" priority="2459" operator="notEqual">
      <formula>"x"</formula>
    </cfRule>
  </conditionalFormatting>
  <conditionalFormatting sqref="N8 N15:N16 N22:N23 N29:N30">
    <cfRule type="cellIs" dxfId="834" priority="2458" operator="notEqual">
      <formula>"x"</formula>
    </cfRule>
  </conditionalFormatting>
  <conditionalFormatting sqref="P32:P33 P25:P30 P18:P23 P6:P16">
    <cfRule type="cellIs" dxfId="833" priority="2457" operator="equal">
      <formula>"x"</formula>
    </cfRule>
  </conditionalFormatting>
  <conditionalFormatting sqref="P15:P16 P22:P23 P29:P30 P8:P9">
    <cfRule type="cellIs" dxfId="832" priority="2456" operator="notEqual">
      <formula>"x"</formula>
    </cfRule>
  </conditionalFormatting>
  <conditionalFormatting sqref="L11">
    <cfRule type="cellIs" dxfId="831" priority="2444" operator="equal">
      <formula>"x"</formula>
    </cfRule>
  </conditionalFormatting>
  <conditionalFormatting sqref="N9">
    <cfRule type="cellIs" dxfId="830" priority="2439" operator="equal">
      <formula>"x"</formula>
    </cfRule>
  </conditionalFormatting>
  <conditionalFormatting sqref="L9">
    <cfRule type="cellIs" dxfId="829" priority="2438" operator="equal">
      <formula>"x"</formula>
    </cfRule>
  </conditionalFormatting>
  <conditionalFormatting sqref="L9">
    <cfRule type="cellIs" dxfId="828" priority="2437" operator="notEqual">
      <formula>"x"</formula>
    </cfRule>
  </conditionalFormatting>
  <conditionalFormatting sqref="N9">
    <cfRule type="cellIs" dxfId="827" priority="2436" operator="notEqual">
      <formula>"x"</formula>
    </cfRule>
  </conditionalFormatting>
  <conditionalFormatting sqref="V6:V7 V32:V34 V25:V27 V18:V21 V12:V15 V23 V30 V36">
    <cfRule type="cellIs" dxfId="826" priority="2424" operator="equal">
      <formula>"x"</formula>
    </cfRule>
  </conditionalFormatting>
  <conditionalFormatting sqref="T6:T7 T12:T15 T18:T21 T25:T27 T32:T34 T23 T30 T36">
    <cfRule type="cellIs" dxfId="825" priority="2423" operator="equal">
      <formula>"x"</formula>
    </cfRule>
  </conditionalFormatting>
  <conditionalFormatting sqref="T15 T23 T30 T36">
    <cfRule type="cellIs" dxfId="824" priority="2422" operator="notEqual">
      <formula>"x"</formula>
    </cfRule>
  </conditionalFormatting>
  <conditionalFormatting sqref="V15 V23 V30 V36">
    <cfRule type="cellIs" dxfId="823" priority="2421" operator="notEqual">
      <formula>"x"</formula>
    </cfRule>
  </conditionalFormatting>
  <conditionalFormatting sqref="X30 X32:X37 X25:X28 X18:X23 X11:X16 X6:X8">
    <cfRule type="cellIs" dxfId="822" priority="2420" operator="equal">
      <formula>"x"</formula>
    </cfRule>
  </conditionalFormatting>
  <conditionalFormatting sqref="X15 X23 X30 X36">
    <cfRule type="cellIs" dxfId="821" priority="2419" operator="notEqual">
      <formula>"x"</formula>
    </cfRule>
  </conditionalFormatting>
  <conditionalFormatting sqref="V11">
    <cfRule type="cellIs" dxfId="820" priority="2418" operator="equal">
      <formula>"x"</formula>
    </cfRule>
  </conditionalFormatting>
  <conditionalFormatting sqref="T11">
    <cfRule type="cellIs" dxfId="819" priority="2417" operator="equal">
      <formula>"x"</formula>
    </cfRule>
  </conditionalFormatting>
  <conditionalFormatting sqref="X22">
    <cfRule type="cellIs" dxfId="818" priority="2374" operator="notEqual">
      <formula>"x"</formula>
    </cfRule>
  </conditionalFormatting>
  <conditionalFormatting sqref="T37">
    <cfRule type="cellIs" dxfId="817" priority="2371" operator="notEqual">
      <formula>"x"</formula>
    </cfRule>
  </conditionalFormatting>
  <conditionalFormatting sqref="V8">
    <cfRule type="cellIs" dxfId="816" priority="2391" operator="equal">
      <formula>"x"</formula>
    </cfRule>
  </conditionalFormatting>
  <conditionalFormatting sqref="T8">
    <cfRule type="cellIs" dxfId="815" priority="2390" operator="equal">
      <formula>"x"</formula>
    </cfRule>
  </conditionalFormatting>
  <conditionalFormatting sqref="T8">
    <cfRule type="cellIs" dxfId="814" priority="2389" operator="notEqual">
      <formula>"x"</formula>
    </cfRule>
  </conditionalFormatting>
  <conditionalFormatting sqref="V8">
    <cfRule type="cellIs" dxfId="813" priority="2388" operator="notEqual">
      <formula>"x"</formula>
    </cfRule>
  </conditionalFormatting>
  <conditionalFormatting sqref="X8">
    <cfRule type="cellIs" dxfId="812" priority="2386" operator="notEqual">
      <formula>"x"</formula>
    </cfRule>
  </conditionalFormatting>
  <conditionalFormatting sqref="V16">
    <cfRule type="cellIs" dxfId="811" priority="2385" operator="equal">
      <formula>"x"</formula>
    </cfRule>
  </conditionalFormatting>
  <conditionalFormatting sqref="T16">
    <cfRule type="cellIs" dxfId="810" priority="2384" operator="equal">
      <formula>"x"</formula>
    </cfRule>
  </conditionalFormatting>
  <conditionalFormatting sqref="T16">
    <cfRule type="cellIs" dxfId="809" priority="2383" operator="notEqual">
      <formula>"x"</formula>
    </cfRule>
  </conditionalFormatting>
  <conditionalFormatting sqref="V16">
    <cfRule type="cellIs" dxfId="808" priority="2382" operator="notEqual">
      <formula>"x"</formula>
    </cfRule>
  </conditionalFormatting>
  <conditionalFormatting sqref="X16">
    <cfRule type="cellIs" dxfId="807" priority="2380" operator="notEqual">
      <formula>"x"</formula>
    </cfRule>
  </conditionalFormatting>
  <conditionalFormatting sqref="V22">
    <cfRule type="cellIs" dxfId="806" priority="2379" operator="equal">
      <formula>"x"</formula>
    </cfRule>
  </conditionalFormatting>
  <conditionalFormatting sqref="T22">
    <cfRule type="cellIs" dxfId="805" priority="2378" operator="equal">
      <formula>"x"</formula>
    </cfRule>
  </conditionalFormatting>
  <conditionalFormatting sqref="T22">
    <cfRule type="cellIs" dxfId="804" priority="2377" operator="notEqual">
      <formula>"x"</formula>
    </cfRule>
  </conditionalFormatting>
  <conditionalFormatting sqref="V22">
    <cfRule type="cellIs" dxfId="803" priority="2376" operator="notEqual">
      <formula>"x"</formula>
    </cfRule>
  </conditionalFormatting>
  <conditionalFormatting sqref="AF22">
    <cfRule type="cellIs" dxfId="802" priority="2317" operator="notEqual">
      <formula>"x"</formula>
    </cfRule>
  </conditionalFormatting>
  <conditionalFormatting sqref="V37">
    <cfRule type="cellIs" dxfId="801" priority="2373" operator="equal">
      <formula>"x"</formula>
    </cfRule>
  </conditionalFormatting>
  <conditionalFormatting sqref="T37">
    <cfRule type="cellIs" dxfId="800" priority="2372" operator="equal">
      <formula>"x"</formula>
    </cfRule>
  </conditionalFormatting>
  <conditionalFormatting sqref="AB37">
    <cfRule type="cellIs" dxfId="799" priority="2314" operator="notEqual">
      <formula>"x"</formula>
    </cfRule>
  </conditionalFormatting>
  <conditionalFormatting sqref="V37">
    <cfRule type="cellIs" dxfId="798" priority="2370" operator="notEqual">
      <formula>"x"</formula>
    </cfRule>
  </conditionalFormatting>
  <conditionalFormatting sqref="AD32:AD35 AD25:AD30 AD18:AD19 AD12:AD15 AD23">
    <cfRule type="cellIs" dxfId="797" priority="2361" operator="equal">
      <formula>"x"</formula>
    </cfRule>
  </conditionalFormatting>
  <conditionalFormatting sqref="AB12:AB15 AB18:AB19 AB25:AB30 AB32:AB35 AB23">
    <cfRule type="cellIs" dxfId="796" priority="2360" operator="equal">
      <formula>"x"</formula>
    </cfRule>
  </conditionalFormatting>
  <conditionalFormatting sqref="AB15 AB23 AB29:AB30">
    <cfRule type="cellIs" dxfId="795" priority="2359" operator="notEqual">
      <formula>"x"</formula>
    </cfRule>
  </conditionalFormatting>
  <conditionalFormatting sqref="AD15 AD23 AD29:AD30">
    <cfRule type="cellIs" dxfId="794" priority="2358" operator="notEqual">
      <formula>"x"</formula>
    </cfRule>
  </conditionalFormatting>
  <conditionalFormatting sqref="AF32:AF35 AF25:AF30 AF18:AF19 AF12:AF15 AF23">
    <cfRule type="cellIs" dxfId="793" priority="2357" operator="equal">
      <formula>"x"</formula>
    </cfRule>
  </conditionalFormatting>
  <conditionalFormatting sqref="AF15 AF23 AF29:AF30">
    <cfRule type="cellIs" dxfId="792" priority="2356" operator="notEqual">
      <formula>"x"</formula>
    </cfRule>
  </conditionalFormatting>
  <conditionalFormatting sqref="AD11">
    <cfRule type="cellIs" dxfId="791" priority="2355" operator="equal">
      <formula>"x"</formula>
    </cfRule>
  </conditionalFormatting>
  <conditionalFormatting sqref="AB11">
    <cfRule type="cellIs" dxfId="790" priority="2354" operator="equal">
      <formula>"x"</formula>
    </cfRule>
  </conditionalFormatting>
  <conditionalFormatting sqref="AF11">
    <cfRule type="cellIs" dxfId="789" priority="2353" operator="equal">
      <formula>"x"</formula>
    </cfRule>
  </conditionalFormatting>
  <conditionalFormatting sqref="AF37">
    <cfRule type="cellIs" dxfId="788" priority="2311" operator="notEqual">
      <formula>"x"</formula>
    </cfRule>
  </conditionalFormatting>
  <conditionalFormatting sqref="AD17">
    <cfRule type="cellIs" dxfId="787" priority="2349" operator="equal">
      <formula>"x"</formula>
    </cfRule>
  </conditionalFormatting>
  <conditionalFormatting sqref="AB17">
    <cfRule type="cellIs" dxfId="786" priority="2348" operator="equal">
      <formula>"x"</formula>
    </cfRule>
  </conditionalFormatting>
  <conditionalFormatting sqref="AF17">
    <cfRule type="cellIs" dxfId="785" priority="2347" operator="equal">
      <formula>"x"</formula>
    </cfRule>
  </conditionalFormatting>
  <conditionalFormatting sqref="AD9">
    <cfRule type="cellIs" dxfId="784" priority="2340" operator="equal">
      <formula>"x"</formula>
    </cfRule>
  </conditionalFormatting>
  <conditionalFormatting sqref="AB31">
    <cfRule type="cellIs" dxfId="783" priority="2342" operator="equal">
      <formula>"x"</formula>
    </cfRule>
  </conditionalFormatting>
  <conditionalFormatting sqref="AB9">
    <cfRule type="cellIs" dxfId="782" priority="2339" operator="equal">
      <formula>"x"</formula>
    </cfRule>
  </conditionalFormatting>
  <conditionalFormatting sqref="AB9">
    <cfRule type="cellIs" dxfId="781" priority="2338" operator="notEqual">
      <formula>"x"</formula>
    </cfRule>
  </conditionalFormatting>
  <conditionalFormatting sqref="AD9">
    <cfRule type="cellIs" dxfId="780" priority="2337" operator="notEqual">
      <formula>"x"</formula>
    </cfRule>
  </conditionalFormatting>
  <conditionalFormatting sqref="AF9 AF11:AF30 AF32:AF35 AF37">
    <cfRule type="cellIs" dxfId="779" priority="2330" operator="equal">
      <formula>"x"</formula>
    </cfRule>
  </conditionalFormatting>
  <conditionalFormatting sqref="AD16">
    <cfRule type="cellIs" dxfId="778" priority="2328" operator="equal">
      <formula>"x"</formula>
    </cfRule>
  </conditionalFormatting>
  <conditionalFormatting sqref="AB16">
    <cfRule type="cellIs" dxfId="777" priority="2327" operator="equal">
      <formula>"x"</formula>
    </cfRule>
  </conditionalFormatting>
  <conditionalFormatting sqref="AB16">
    <cfRule type="cellIs" dxfId="776" priority="2326" operator="notEqual">
      <formula>"x"</formula>
    </cfRule>
  </conditionalFormatting>
  <conditionalFormatting sqref="AD16">
    <cfRule type="cellIs" dxfId="775" priority="2325" operator="notEqual">
      <formula>"x"</formula>
    </cfRule>
  </conditionalFormatting>
  <conditionalFormatting sqref="AF16">
    <cfRule type="cellIs" dxfId="774" priority="2323" operator="notEqual">
      <formula>"x"</formula>
    </cfRule>
  </conditionalFormatting>
  <conditionalFormatting sqref="AD22">
    <cfRule type="cellIs" dxfId="773" priority="2322" operator="equal">
      <formula>"x"</formula>
    </cfRule>
  </conditionalFormatting>
  <conditionalFormatting sqref="AB22">
    <cfRule type="cellIs" dxfId="772" priority="2321" operator="equal">
      <formula>"x"</formula>
    </cfRule>
  </conditionalFormatting>
  <conditionalFormatting sqref="AB22">
    <cfRule type="cellIs" dxfId="771" priority="2320" operator="notEqual">
      <formula>"x"</formula>
    </cfRule>
  </conditionalFormatting>
  <conditionalFormatting sqref="AD22">
    <cfRule type="cellIs" dxfId="770" priority="2319" operator="notEqual">
      <formula>"x"</formula>
    </cfRule>
  </conditionalFormatting>
  <conditionalFormatting sqref="AD37">
    <cfRule type="cellIs" dxfId="769" priority="2316" operator="equal">
      <formula>"x"</formula>
    </cfRule>
  </conditionalFormatting>
  <conditionalFormatting sqref="AB37">
    <cfRule type="cellIs" dxfId="768" priority="2315" operator="equal">
      <formula>"x"</formula>
    </cfRule>
  </conditionalFormatting>
  <conditionalFormatting sqref="AD37">
    <cfRule type="cellIs" dxfId="767" priority="2313" operator="notEqual">
      <formula>"x"</formula>
    </cfRule>
  </conditionalFormatting>
  <conditionalFormatting sqref="AD20">
    <cfRule type="cellIs" dxfId="766" priority="2304" operator="equal">
      <formula>"x"</formula>
    </cfRule>
  </conditionalFormatting>
  <conditionalFormatting sqref="AB20">
    <cfRule type="cellIs" dxfId="765" priority="2303" operator="equal">
      <formula>"x"</formula>
    </cfRule>
  </conditionalFormatting>
  <conditionalFormatting sqref="AD21">
    <cfRule type="cellIs" dxfId="764" priority="2301" operator="equal">
      <formula>"x"</formula>
    </cfRule>
  </conditionalFormatting>
  <conditionalFormatting sqref="AB21">
    <cfRule type="cellIs" dxfId="763" priority="2300" operator="equal">
      <formula>"x"</formula>
    </cfRule>
  </conditionalFormatting>
  <conditionalFormatting sqref="AN22">
    <cfRule type="cellIs" dxfId="762" priority="2254" operator="notEqual">
      <formula>"x"</formula>
    </cfRule>
  </conditionalFormatting>
  <conditionalFormatting sqref="AJ37">
    <cfRule type="cellIs" dxfId="761" priority="2251" operator="notEqual">
      <formula>"x"</formula>
    </cfRule>
  </conditionalFormatting>
  <conditionalFormatting sqref="AL32:AL36 AL25:AL30 AL18:AL19 AL12:AL15 AL23">
    <cfRule type="cellIs" dxfId="760" priority="2298" operator="equal">
      <formula>"x"</formula>
    </cfRule>
  </conditionalFormatting>
  <conditionalFormatting sqref="AJ12:AJ15 AJ18:AJ19 AJ25:AJ30 AJ32:AJ36 AJ23">
    <cfRule type="cellIs" dxfId="759" priority="2297" operator="equal">
      <formula>"x"</formula>
    </cfRule>
  </conditionalFormatting>
  <conditionalFormatting sqref="AJ15 AJ23 AJ29:AJ30 AJ36">
    <cfRule type="cellIs" dxfId="758" priority="2296" operator="notEqual">
      <formula>"x"</formula>
    </cfRule>
  </conditionalFormatting>
  <conditionalFormatting sqref="AL15 AL23 AL29:AL30 AL36">
    <cfRule type="cellIs" dxfId="757" priority="2295" operator="notEqual">
      <formula>"x"</formula>
    </cfRule>
  </conditionalFormatting>
  <conditionalFormatting sqref="AN32:AN36 AN25:AN30 AN18:AN19 AN12:AN15 AN23">
    <cfRule type="cellIs" dxfId="756" priority="2294" operator="equal">
      <formula>"x"</formula>
    </cfRule>
  </conditionalFormatting>
  <conditionalFormatting sqref="AN15 AN23 AN29:AN30 AN36">
    <cfRule type="cellIs" dxfId="755" priority="2293" operator="notEqual">
      <formula>"x"</formula>
    </cfRule>
  </conditionalFormatting>
  <conditionalFormatting sqref="AL11">
    <cfRule type="cellIs" dxfId="754" priority="2292" operator="equal">
      <formula>"x"</formula>
    </cfRule>
  </conditionalFormatting>
  <conditionalFormatting sqref="AJ11">
    <cfRule type="cellIs" dxfId="753" priority="2291" operator="equal">
      <formula>"x"</formula>
    </cfRule>
  </conditionalFormatting>
  <conditionalFormatting sqref="AN11">
    <cfRule type="cellIs" dxfId="752" priority="2290" operator="equal">
      <formula>"x"</formula>
    </cfRule>
  </conditionalFormatting>
  <conditionalFormatting sqref="AN37">
    <cfRule type="cellIs" dxfId="751" priority="2248" operator="notEqual">
      <formula>"x"</formula>
    </cfRule>
  </conditionalFormatting>
  <conditionalFormatting sqref="AN11:AN16 AN18:AN23 AN25:AN30 AN32:AN37 AN39:AN41">
    <cfRule type="cellIs" dxfId="750" priority="2267" operator="equal">
      <formula>"x"</formula>
    </cfRule>
  </conditionalFormatting>
  <conditionalFormatting sqref="AL16">
    <cfRule type="cellIs" dxfId="749" priority="2265" operator="equal">
      <formula>"x"</formula>
    </cfRule>
  </conditionalFormatting>
  <conditionalFormatting sqref="AJ16">
    <cfRule type="cellIs" dxfId="748" priority="2264" operator="equal">
      <formula>"x"</formula>
    </cfRule>
  </conditionalFormatting>
  <conditionalFormatting sqref="AJ16">
    <cfRule type="cellIs" dxfId="747" priority="2263" operator="notEqual">
      <formula>"x"</formula>
    </cfRule>
  </conditionalFormatting>
  <conditionalFormatting sqref="AL16">
    <cfRule type="cellIs" dxfId="746" priority="2262" operator="notEqual">
      <formula>"x"</formula>
    </cfRule>
  </conditionalFormatting>
  <conditionalFormatting sqref="AN16">
    <cfRule type="cellIs" dxfId="745" priority="2260" operator="notEqual">
      <formula>"x"</formula>
    </cfRule>
  </conditionalFormatting>
  <conditionalFormatting sqref="AL22">
    <cfRule type="cellIs" dxfId="744" priority="2259" operator="equal">
      <formula>"x"</formula>
    </cfRule>
  </conditionalFormatting>
  <conditionalFormatting sqref="AJ22">
    <cfRule type="cellIs" dxfId="743" priority="2258" operator="equal">
      <formula>"x"</formula>
    </cfRule>
  </conditionalFormatting>
  <conditionalFormatting sqref="AJ22">
    <cfRule type="cellIs" dxfId="742" priority="2257" operator="notEqual">
      <formula>"x"</formula>
    </cfRule>
  </conditionalFormatting>
  <conditionalFormatting sqref="AL22">
    <cfRule type="cellIs" dxfId="741" priority="2256" operator="notEqual">
      <formula>"x"</formula>
    </cfRule>
  </conditionalFormatting>
  <conditionalFormatting sqref="AL37">
    <cfRule type="cellIs" dxfId="740" priority="2253" operator="equal">
      <formula>"x"</formula>
    </cfRule>
  </conditionalFormatting>
  <conditionalFormatting sqref="AJ37">
    <cfRule type="cellIs" dxfId="739" priority="2252" operator="equal">
      <formula>"x"</formula>
    </cfRule>
  </conditionalFormatting>
  <conditionalFormatting sqref="AL37">
    <cfRule type="cellIs" dxfId="738" priority="2250" operator="notEqual">
      <formula>"x"</formula>
    </cfRule>
  </conditionalFormatting>
  <conditionalFormatting sqref="AL39">
    <cfRule type="cellIs" dxfId="737" priority="2244" operator="equal">
      <formula>"x"</formula>
    </cfRule>
  </conditionalFormatting>
  <conditionalFormatting sqref="AJ39">
    <cfRule type="cellIs" dxfId="736" priority="2243" operator="equal">
      <formula>"x"</formula>
    </cfRule>
  </conditionalFormatting>
  <conditionalFormatting sqref="AL20">
    <cfRule type="cellIs" dxfId="735" priority="2241" operator="equal">
      <formula>"x"</formula>
    </cfRule>
  </conditionalFormatting>
  <conditionalFormatting sqref="AJ20">
    <cfRule type="cellIs" dxfId="734" priority="2240" operator="equal">
      <formula>"x"</formula>
    </cfRule>
  </conditionalFormatting>
  <conditionalFormatting sqref="AL21">
    <cfRule type="cellIs" dxfId="733" priority="2238" operator="equal">
      <formula>"x"</formula>
    </cfRule>
  </conditionalFormatting>
  <conditionalFormatting sqref="AJ21">
    <cfRule type="cellIs" dxfId="732" priority="2237" operator="equal">
      <formula>"x"</formula>
    </cfRule>
  </conditionalFormatting>
  <conditionalFormatting sqref="AV22">
    <cfRule type="cellIs" dxfId="731" priority="2188" operator="notEqual">
      <formula>"x"</formula>
    </cfRule>
  </conditionalFormatting>
  <conditionalFormatting sqref="AT32:AT35 AT25:AT30 AT18:AT19 AT12:AT15 AT23">
    <cfRule type="cellIs" dxfId="730" priority="2232" operator="equal">
      <formula>"x"</formula>
    </cfRule>
  </conditionalFormatting>
  <conditionalFormatting sqref="AR12:AR15 AR18:AR19 AR25:AR30 AR32:AR35 AR23">
    <cfRule type="cellIs" dxfId="729" priority="2231" operator="equal">
      <formula>"x"</formula>
    </cfRule>
  </conditionalFormatting>
  <conditionalFormatting sqref="AR15 AR23 AR29:AR30">
    <cfRule type="cellIs" dxfId="728" priority="2230" operator="notEqual">
      <formula>"x"</formula>
    </cfRule>
  </conditionalFormatting>
  <conditionalFormatting sqref="AT15 AT23 AT29:AT30">
    <cfRule type="cellIs" dxfId="727" priority="2229" operator="notEqual">
      <formula>"x"</formula>
    </cfRule>
  </conditionalFormatting>
  <conditionalFormatting sqref="AV32:AV35 AV25:AV30 AV18:AV19 AV12:AV15 AV23">
    <cfRule type="cellIs" dxfId="726" priority="2228" operator="equal">
      <formula>"x"</formula>
    </cfRule>
  </conditionalFormatting>
  <conditionalFormatting sqref="AV15 AV23 AV29:AV30">
    <cfRule type="cellIs" dxfId="725" priority="2227" operator="notEqual">
      <formula>"x"</formula>
    </cfRule>
  </conditionalFormatting>
  <conditionalFormatting sqref="AT11">
    <cfRule type="cellIs" dxfId="724" priority="2226" operator="equal">
      <formula>"x"</formula>
    </cfRule>
  </conditionalFormatting>
  <conditionalFormatting sqref="AR11">
    <cfRule type="cellIs" dxfId="723" priority="2225" operator="equal">
      <formula>"x"</formula>
    </cfRule>
  </conditionalFormatting>
  <conditionalFormatting sqref="AV11">
    <cfRule type="cellIs" dxfId="722" priority="2224" operator="equal">
      <formula>"x"</formula>
    </cfRule>
  </conditionalFormatting>
  <conditionalFormatting sqref="AT9">
    <cfRule type="cellIs" dxfId="721" priority="2211" operator="equal">
      <formula>"x"</formula>
    </cfRule>
  </conditionalFormatting>
  <conditionalFormatting sqref="AR9">
    <cfRule type="cellIs" dxfId="720" priority="2210" operator="equal">
      <formula>"x"</formula>
    </cfRule>
  </conditionalFormatting>
  <conditionalFormatting sqref="AR9">
    <cfRule type="cellIs" dxfId="719" priority="2209" operator="notEqual">
      <formula>"x"</formula>
    </cfRule>
  </conditionalFormatting>
  <conditionalFormatting sqref="AT9">
    <cfRule type="cellIs" dxfId="718" priority="2208" operator="notEqual">
      <formula>"x"</formula>
    </cfRule>
  </conditionalFormatting>
  <conditionalFormatting sqref="AV9">
    <cfRule type="cellIs" dxfId="717" priority="2206" operator="notEqual">
      <formula>"x"</formula>
    </cfRule>
  </conditionalFormatting>
  <conditionalFormatting sqref="AT8">
    <cfRule type="cellIs" dxfId="716" priority="2205" operator="equal">
      <formula>"x"</formula>
    </cfRule>
  </conditionalFormatting>
  <conditionalFormatting sqref="AR8">
    <cfRule type="cellIs" dxfId="715" priority="2204" operator="equal">
      <formula>"x"</formula>
    </cfRule>
  </conditionalFormatting>
  <conditionalFormatting sqref="AR8">
    <cfRule type="cellIs" dxfId="714" priority="2203" operator="notEqual">
      <formula>"x"</formula>
    </cfRule>
  </conditionalFormatting>
  <conditionalFormatting sqref="AT8">
    <cfRule type="cellIs" dxfId="713" priority="2202" operator="notEqual">
      <formula>"x"</formula>
    </cfRule>
  </conditionalFormatting>
  <conditionalFormatting sqref="AV8">
    <cfRule type="cellIs" dxfId="712" priority="2200" operator="notEqual">
      <formula>"x"</formula>
    </cfRule>
  </conditionalFormatting>
  <conditionalFormatting sqref="AT16">
    <cfRule type="cellIs" dxfId="711" priority="2199" operator="equal">
      <formula>"x"</formula>
    </cfRule>
  </conditionalFormatting>
  <conditionalFormatting sqref="AR16">
    <cfRule type="cellIs" dxfId="710" priority="2198" operator="equal">
      <formula>"x"</formula>
    </cfRule>
  </conditionalFormatting>
  <conditionalFormatting sqref="AR16">
    <cfRule type="cellIs" dxfId="709" priority="2197" operator="notEqual">
      <formula>"x"</formula>
    </cfRule>
  </conditionalFormatting>
  <conditionalFormatting sqref="AT16">
    <cfRule type="cellIs" dxfId="708" priority="2196" operator="notEqual">
      <formula>"x"</formula>
    </cfRule>
  </conditionalFormatting>
  <conditionalFormatting sqref="AV16">
    <cfRule type="cellIs" dxfId="707" priority="2195" operator="equal">
      <formula>"x"</formula>
    </cfRule>
  </conditionalFormatting>
  <conditionalFormatting sqref="AV16">
    <cfRule type="cellIs" dxfId="706" priority="2194" operator="notEqual">
      <formula>"x"</formula>
    </cfRule>
  </conditionalFormatting>
  <conditionalFormatting sqref="AT22">
    <cfRule type="cellIs" dxfId="705" priority="2193" operator="equal">
      <formula>"x"</formula>
    </cfRule>
  </conditionalFormatting>
  <conditionalFormatting sqref="AR22">
    <cfRule type="cellIs" dxfId="704" priority="2192" operator="equal">
      <formula>"x"</formula>
    </cfRule>
  </conditionalFormatting>
  <conditionalFormatting sqref="AR22">
    <cfRule type="cellIs" dxfId="703" priority="2191" operator="notEqual">
      <formula>"x"</formula>
    </cfRule>
  </conditionalFormatting>
  <conditionalFormatting sqref="AT22">
    <cfRule type="cellIs" dxfId="702" priority="2190" operator="notEqual">
      <formula>"x"</formula>
    </cfRule>
  </conditionalFormatting>
  <conditionalFormatting sqref="AV22">
    <cfRule type="cellIs" dxfId="701" priority="2189" operator="equal">
      <formula>"x"</formula>
    </cfRule>
  </conditionalFormatting>
  <conditionalFormatting sqref="AT39">
    <cfRule type="cellIs" dxfId="700" priority="2178" operator="equal">
      <formula>"x"</formula>
    </cfRule>
  </conditionalFormatting>
  <conditionalFormatting sqref="AR39">
    <cfRule type="cellIs" dxfId="699" priority="2177" operator="equal">
      <formula>"x"</formula>
    </cfRule>
  </conditionalFormatting>
  <conditionalFormatting sqref="AV39">
    <cfRule type="cellIs" dxfId="698" priority="2176" operator="equal">
      <formula>"x"</formula>
    </cfRule>
  </conditionalFormatting>
  <conditionalFormatting sqref="AT20">
    <cfRule type="cellIs" dxfId="697" priority="2175" operator="equal">
      <formula>"x"</formula>
    </cfRule>
  </conditionalFormatting>
  <conditionalFormatting sqref="AR20">
    <cfRule type="cellIs" dxfId="696" priority="2174" operator="equal">
      <formula>"x"</formula>
    </cfRule>
  </conditionalFormatting>
  <conditionalFormatting sqref="AV20">
    <cfRule type="cellIs" dxfId="695" priority="2173" operator="equal">
      <formula>"x"</formula>
    </cfRule>
  </conditionalFormatting>
  <conditionalFormatting sqref="AT21">
    <cfRule type="cellIs" dxfId="694" priority="2172" operator="equal">
      <formula>"x"</formula>
    </cfRule>
  </conditionalFormatting>
  <conditionalFormatting sqref="AR21">
    <cfRule type="cellIs" dxfId="693" priority="2171" operator="equal">
      <formula>"x"</formula>
    </cfRule>
  </conditionalFormatting>
  <conditionalFormatting sqref="AV21">
    <cfRule type="cellIs" dxfId="692" priority="2170" operator="equal">
      <formula>"x"</formula>
    </cfRule>
  </conditionalFormatting>
  <conditionalFormatting sqref="AT6:AT7">
    <cfRule type="cellIs" dxfId="691" priority="2169" operator="equal">
      <formula>"x"</formula>
    </cfRule>
  </conditionalFormatting>
  <conditionalFormatting sqref="AR6:AR7">
    <cfRule type="cellIs" dxfId="690" priority="2168" operator="equal">
      <formula>"x"</formula>
    </cfRule>
  </conditionalFormatting>
  <conditionalFormatting sqref="AV6:AV9 AV11:AV16 AV18:AV23 AV25:AV30 AV32:AV35">
    <cfRule type="cellIs" dxfId="689" priority="2167" operator="equal">
      <formula>"x"</formula>
    </cfRule>
  </conditionalFormatting>
  <conditionalFormatting sqref="BD22">
    <cfRule type="cellIs" dxfId="688" priority="2122" operator="notEqual">
      <formula>"x"</formula>
    </cfRule>
  </conditionalFormatting>
  <conditionalFormatting sqref="AZ37">
    <cfRule type="cellIs" dxfId="687" priority="2119" operator="notEqual">
      <formula>"x"</formula>
    </cfRule>
  </conditionalFormatting>
  <conditionalFormatting sqref="BB32:BB35 BB25:BB30 BB18:BB19 BB12:BB15 BB23">
    <cfRule type="cellIs" dxfId="686" priority="2166" operator="equal">
      <formula>"x"</formula>
    </cfRule>
  </conditionalFormatting>
  <conditionalFormatting sqref="AZ12:AZ15 AZ18:AZ19 AZ25:AZ30 AZ32:AZ35 AZ23">
    <cfRule type="cellIs" dxfId="685" priority="2165" operator="equal">
      <formula>"x"</formula>
    </cfRule>
  </conditionalFormatting>
  <conditionalFormatting sqref="AZ15 AZ23 AZ29:AZ30">
    <cfRule type="cellIs" dxfId="684" priority="2164" operator="notEqual">
      <formula>"x"</formula>
    </cfRule>
  </conditionalFormatting>
  <conditionalFormatting sqref="BB15 BB23 BB29:BB30">
    <cfRule type="cellIs" dxfId="683" priority="2163" operator="notEqual">
      <formula>"x"</formula>
    </cfRule>
  </conditionalFormatting>
  <conditionalFormatting sqref="BD32:BD35 BD25:BD30 BD18:BD19 BD12:BD15 BD23">
    <cfRule type="cellIs" dxfId="682" priority="2162" operator="equal">
      <formula>"x"</formula>
    </cfRule>
  </conditionalFormatting>
  <conditionalFormatting sqref="BD15 BD23 BD29:BD30">
    <cfRule type="cellIs" dxfId="681" priority="2161" operator="notEqual">
      <formula>"x"</formula>
    </cfRule>
  </conditionalFormatting>
  <conditionalFormatting sqref="BB11">
    <cfRule type="cellIs" dxfId="680" priority="2160" operator="equal">
      <formula>"x"</formula>
    </cfRule>
  </conditionalFormatting>
  <conditionalFormatting sqref="AZ11">
    <cfRule type="cellIs" dxfId="679" priority="2159" operator="equal">
      <formula>"x"</formula>
    </cfRule>
  </conditionalFormatting>
  <conditionalFormatting sqref="BD11">
    <cfRule type="cellIs" dxfId="678" priority="2158" operator="equal">
      <formula>"x"</formula>
    </cfRule>
  </conditionalFormatting>
  <conditionalFormatting sqref="BD37">
    <cfRule type="cellIs" dxfId="677" priority="2116" operator="notEqual">
      <formula>"x"</formula>
    </cfRule>
  </conditionalFormatting>
  <conditionalFormatting sqref="BB17">
    <cfRule type="cellIs" dxfId="676" priority="2154" operator="equal">
      <formula>"x"</formula>
    </cfRule>
  </conditionalFormatting>
  <conditionalFormatting sqref="AZ17">
    <cfRule type="cellIs" dxfId="675" priority="2153" operator="equal">
      <formula>"x"</formula>
    </cfRule>
  </conditionalFormatting>
  <conditionalFormatting sqref="BD17">
    <cfRule type="cellIs" dxfId="674" priority="2152" operator="equal">
      <formula>"x"</formula>
    </cfRule>
  </conditionalFormatting>
  <conditionalFormatting sqref="BB24">
    <cfRule type="cellIs" dxfId="673" priority="2151" operator="equal">
      <formula>"x"</formula>
    </cfRule>
  </conditionalFormatting>
  <conditionalFormatting sqref="AZ24">
    <cfRule type="cellIs" dxfId="672" priority="2150" operator="equal">
      <formula>"x"</formula>
    </cfRule>
  </conditionalFormatting>
  <conditionalFormatting sqref="BD24">
    <cfRule type="cellIs" dxfId="671" priority="2149" operator="equal">
      <formula>"x"</formula>
    </cfRule>
  </conditionalFormatting>
  <conditionalFormatting sqref="BB31">
    <cfRule type="cellIs" dxfId="670" priority="2148" operator="equal">
      <formula>"x"</formula>
    </cfRule>
  </conditionalFormatting>
  <conditionalFormatting sqref="AZ31">
    <cfRule type="cellIs" dxfId="669" priority="2147" operator="equal">
      <formula>"x"</formula>
    </cfRule>
  </conditionalFormatting>
  <conditionalFormatting sqref="BD31">
    <cfRule type="cellIs" dxfId="668" priority="2146" operator="equal">
      <formula>"x"</formula>
    </cfRule>
  </conditionalFormatting>
  <conditionalFormatting sqref="BB9">
    <cfRule type="cellIs" dxfId="667" priority="2145" operator="equal">
      <formula>"x"</formula>
    </cfRule>
  </conditionalFormatting>
  <conditionalFormatting sqref="AZ9">
    <cfRule type="cellIs" dxfId="666" priority="2144" operator="equal">
      <formula>"x"</formula>
    </cfRule>
  </conditionalFormatting>
  <conditionalFormatting sqref="AZ9">
    <cfRule type="cellIs" dxfId="665" priority="2143" operator="notEqual">
      <formula>"x"</formula>
    </cfRule>
  </conditionalFormatting>
  <conditionalFormatting sqref="BB9">
    <cfRule type="cellIs" dxfId="664" priority="2142" operator="notEqual">
      <formula>"x"</formula>
    </cfRule>
  </conditionalFormatting>
  <conditionalFormatting sqref="BD9">
    <cfRule type="cellIs" dxfId="663" priority="2140" operator="notEqual">
      <formula>"x"</formula>
    </cfRule>
  </conditionalFormatting>
  <conditionalFormatting sqref="BD9 BD11:BD38 BD40:BD41">
    <cfRule type="cellIs" dxfId="662" priority="2135" operator="equal">
      <formula>"x"</formula>
    </cfRule>
  </conditionalFormatting>
  <conditionalFormatting sqref="BB16">
    <cfRule type="cellIs" dxfId="661" priority="2133" operator="equal">
      <formula>"x"</formula>
    </cfRule>
  </conditionalFormatting>
  <conditionalFormatting sqref="AZ16">
    <cfRule type="cellIs" dxfId="660" priority="2132" operator="equal">
      <formula>"x"</formula>
    </cfRule>
  </conditionalFormatting>
  <conditionalFormatting sqref="AZ16">
    <cfRule type="cellIs" dxfId="659" priority="2131" operator="notEqual">
      <formula>"x"</formula>
    </cfRule>
  </conditionalFormatting>
  <conditionalFormatting sqref="BB16">
    <cfRule type="cellIs" dxfId="658" priority="2130" operator="notEqual">
      <formula>"x"</formula>
    </cfRule>
  </conditionalFormatting>
  <conditionalFormatting sqref="BD16">
    <cfRule type="cellIs" dxfId="657" priority="2128" operator="notEqual">
      <formula>"x"</formula>
    </cfRule>
  </conditionalFormatting>
  <conditionalFormatting sqref="BB22">
    <cfRule type="cellIs" dxfId="656" priority="2127" operator="equal">
      <formula>"x"</formula>
    </cfRule>
  </conditionalFormatting>
  <conditionalFormatting sqref="AZ22">
    <cfRule type="cellIs" dxfId="655" priority="2126" operator="equal">
      <formula>"x"</formula>
    </cfRule>
  </conditionalFormatting>
  <conditionalFormatting sqref="AZ22">
    <cfRule type="cellIs" dxfId="654" priority="2125" operator="notEqual">
      <formula>"x"</formula>
    </cfRule>
  </conditionalFormatting>
  <conditionalFormatting sqref="BB22">
    <cfRule type="cellIs" dxfId="653" priority="2124" operator="notEqual">
      <formula>"x"</formula>
    </cfRule>
  </conditionalFormatting>
  <conditionalFormatting sqref="BB37">
    <cfRule type="cellIs" dxfId="652" priority="2121" operator="equal">
      <formula>"x"</formula>
    </cfRule>
  </conditionalFormatting>
  <conditionalFormatting sqref="AZ37">
    <cfRule type="cellIs" dxfId="651" priority="2120" operator="equal">
      <formula>"x"</formula>
    </cfRule>
  </conditionalFormatting>
  <conditionalFormatting sqref="BB37">
    <cfRule type="cellIs" dxfId="650" priority="2118" operator="notEqual">
      <formula>"x"</formula>
    </cfRule>
  </conditionalFormatting>
  <conditionalFormatting sqref="BB38">
    <cfRule type="cellIs" dxfId="649" priority="2115" operator="equal">
      <formula>"x"</formula>
    </cfRule>
  </conditionalFormatting>
  <conditionalFormatting sqref="AZ38">
    <cfRule type="cellIs" dxfId="648" priority="2114" operator="equal">
      <formula>"x"</formula>
    </cfRule>
  </conditionalFormatting>
  <conditionalFormatting sqref="BB20">
    <cfRule type="cellIs" dxfId="647" priority="2109" operator="equal">
      <formula>"x"</formula>
    </cfRule>
  </conditionalFormatting>
  <conditionalFormatting sqref="AZ20">
    <cfRule type="cellIs" dxfId="646" priority="2108" operator="equal">
      <formula>"x"</formula>
    </cfRule>
  </conditionalFormatting>
  <conditionalFormatting sqref="BB21">
    <cfRule type="cellIs" dxfId="645" priority="2106" operator="equal">
      <formula>"x"</formula>
    </cfRule>
  </conditionalFormatting>
  <conditionalFormatting sqref="AZ21">
    <cfRule type="cellIs" dxfId="644" priority="2105" operator="equal">
      <formula>"x"</formula>
    </cfRule>
  </conditionalFormatting>
  <conditionalFormatting sqref="BB6:BB7">
    <cfRule type="cellIs" dxfId="643" priority="2103" operator="equal">
      <formula>"x"</formula>
    </cfRule>
  </conditionalFormatting>
  <conditionalFormatting sqref="AZ6:AZ7">
    <cfRule type="cellIs" dxfId="642" priority="2102" operator="equal">
      <formula>"x"</formula>
    </cfRule>
  </conditionalFormatting>
  <conditionalFormatting sqref="BD6:BD7">
    <cfRule type="cellIs" dxfId="641" priority="2101" operator="equal">
      <formula>"x"</formula>
    </cfRule>
  </conditionalFormatting>
  <conditionalFormatting sqref="AZ5">
    <cfRule type="cellIs" dxfId="640" priority="2100" operator="equal">
      <formula>"x"</formula>
    </cfRule>
  </conditionalFormatting>
  <conditionalFormatting sqref="BB5">
    <cfRule type="cellIs" dxfId="639" priority="2099" operator="equal">
      <formula>"x"</formula>
    </cfRule>
  </conditionalFormatting>
  <conditionalFormatting sqref="BD5">
    <cfRule type="cellIs" dxfId="638" priority="2098" operator="equal">
      <formula>"x"</formula>
    </cfRule>
  </conditionalFormatting>
  <conditionalFormatting sqref="BL22">
    <cfRule type="cellIs" dxfId="637" priority="2053" operator="notEqual">
      <formula>"x"</formula>
    </cfRule>
  </conditionalFormatting>
  <conditionalFormatting sqref="BJ32:BJ34 BJ25:BJ30 BJ18:BJ19 BJ12:BJ15 BJ23">
    <cfRule type="cellIs" dxfId="636" priority="2097" operator="equal">
      <formula>"x"</formula>
    </cfRule>
  </conditionalFormatting>
  <conditionalFormatting sqref="BH12:BH15 BH18:BH19 BH25:BH30 BH32:BH34 BH23">
    <cfRule type="cellIs" dxfId="635" priority="2096" operator="equal">
      <formula>"x"</formula>
    </cfRule>
  </conditionalFormatting>
  <conditionalFormatting sqref="BH15 BH23 BH29:BH30">
    <cfRule type="cellIs" dxfId="634" priority="2095" operator="notEqual">
      <formula>"x"</formula>
    </cfRule>
  </conditionalFormatting>
  <conditionalFormatting sqref="BJ15 BJ23 BJ29:BJ30">
    <cfRule type="cellIs" dxfId="633" priority="2094" operator="notEqual">
      <formula>"x"</formula>
    </cfRule>
  </conditionalFormatting>
  <conditionalFormatting sqref="BL15 BL23 BL29:BL30">
    <cfRule type="cellIs" dxfId="632" priority="2092" operator="notEqual">
      <formula>"x"</formula>
    </cfRule>
  </conditionalFormatting>
  <conditionalFormatting sqref="BJ11">
    <cfRule type="cellIs" dxfId="631" priority="2091" operator="equal">
      <formula>"x"</formula>
    </cfRule>
  </conditionalFormatting>
  <conditionalFormatting sqref="BH11">
    <cfRule type="cellIs" dxfId="630" priority="2090" operator="equal">
      <formula>"x"</formula>
    </cfRule>
  </conditionalFormatting>
  <conditionalFormatting sqref="BJ10">
    <cfRule type="cellIs" dxfId="629" priority="2088" operator="equal">
      <formula>"x"</formula>
    </cfRule>
  </conditionalFormatting>
  <conditionalFormatting sqref="BH10">
    <cfRule type="cellIs" dxfId="628" priority="2087" operator="equal">
      <formula>"x"</formula>
    </cfRule>
  </conditionalFormatting>
  <conditionalFormatting sqref="BJ9">
    <cfRule type="cellIs" dxfId="627" priority="2076" operator="equal">
      <formula>"x"</formula>
    </cfRule>
  </conditionalFormatting>
  <conditionalFormatting sqref="BH9">
    <cfRule type="cellIs" dxfId="626" priority="2075" operator="equal">
      <formula>"x"</formula>
    </cfRule>
  </conditionalFormatting>
  <conditionalFormatting sqref="BH9">
    <cfRule type="cellIs" dxfId="625" priority="2074" operator="notEqual">
      <formula>"x"</formula>
    </cfRule>
  </conditionalFormatting>
  <conditionalFormatting sqref="BJ9">
    <cfRule type="cellIs" dxfId="624" priority="2073" operator="notEqual">
      <formula>"x"</formula>
    </cfRule>
  </conditionalFormatting>
  <conditionalFormatting sqref="BL9">
    <cfRule type="cellIs" dxfId="623" priority="2071" operator="notEqual">
      <formula>"x"</formula>
    </cfRule>
  </conditionalFormatting>
  <conditionalFormatting sqref="BJ8">
    <cfRule type="cellIs" dxfId="622" priority="2070" operator="equal">
      <formula>"x"</formula>
    </cfRule>
  </conditionalFormatting>
  <conditionalFormatting sqref="BH8">
    <cfRule type="cellIs" dxfId="621" priority="2069" operator="equal">
      <formula>"x"</formula>
    </cfRule>
  </conditionalFormatting>
  <conditionalFormatting sqref="BH8">
    <cfRule type="cellIs" dxfId="620" priority="2068" operator="notEqual">
      <formula>"x"</formula>
    </cfRule>
  </conditionalFormatting>
  <conditionalFormatting sqref="BJ8">
    <cfRule type="cellIs" dxfId="619" priority="2067" operator="notEqual">
      <formula>"x"</formula>
    </cfRule>
  </conditionalFormatting>
  <conditionalFormatting sqref="BL8">
    <cfRule type="cellIs" dxfId="618" priority="2065" operator="notEqual">
      <formula>"x"</formula>
    </cfRule>
  </conditionalFormatting>
  <conditionalFormatting sqref="BJ16">
    <cfRule type="cellIs" dxfId="617" priority="2064" operator="equal">
      <formula>"x"</formula>
    </cfRule>
  </conditionalFormatting>
  <conditionalFormatting sqref="BH16">
    <cfRule type="cellIs" dxfId="616" priority="2063" operator="equal">
      <formula>"x"</formula>
    </cfRule>
  </conditionalFormatting>
  <conditionalFormatting sqref="BH16">
    <cfRule type="cellIs" dxfId="615" priority="2062" operator="notEqual">
      <formula>"x"</formula>
    </cfRule>
  </conditionalFormatting>
  <conditionalFormatting sqref="BJ16">
    <cfRule type="cellIs" dxfId="614" priority="2061" operator="notEqual">
      <formula>"x"</formula>
    </cfRule>
  </conditionalFormatting>
  <conditionalFormatting sqref="BJ22">
    <cfRule type="cellIs" dxfId="613" priority="2058" operator="equal">
      <formula>"x"</formula>
    </cfRule>
  </conditionalFormatting>
  <conditionalFormatting sqref="BH22">
    <cfRule type="cellIs" dxfId="612" priority="2057" operator="equal">
      <formula>"x"</formula>
    </cfRule>
  </conditionalFormatting>
  <conditionalFormatting sqref="BH22">
    <cfRule type="cellIs" dxfId="611" priority="2056" operator="notEqual">
      <formula>"x"</formula>
    </cfRule>
  </conditionalFormatting>
  <conditionalFormatting sqref="BJ22">
    <cfRule type="cellIs" dxfId="610" priority="2055" operator="notEqual">
      <formula>"x"</formula>
    </cfRule>
  </conditionalFormatting>
  <conditionalFormatting sqref="BL22">
    <cfRule type="cellIs" dxfId="609" priority="2054" operator="equal">
      <formula>"x"</formula>
    </cfRule>
  </conditionalFormatting>
  <conditionalFormatting sqref="BJ39">
    <cfRule type="cellIs" dxfId="608" priority="2043" operator="equal">
      <formula>"x"</formula>
    </cfRule>
  </conditionalFormatting>
  <conditionalFormatting sqref="BH39">
    <cfRule type="cellIs" dxfId="607" priority="2042" operator="equal">
      <formula>"x"</formula>
    </cfRule>
  </conditionalFormatting>
  <conditionalFormatting sqref="BL39">
    <cfRule type="cellIs" dxfId="606" priority="2041" operator="equal">
      <formula>"x"</formula>
    </cfRule>
  </conditionalFormatting>
  <conditionalFormatting sqref="BJ20">
    <cfRule type="cellIs" dxfId="605" priority="2040" operator="equal">
      <formula>"x"</formula>
    </cfRule>
  </conditionalFormatting>
  <conditionalFormatting sqref="BH20">
    <cfRule type="cellIs" dxfId="604" priority="2039" operator="equal">
      <formula>"x"</formula>
    </cfRule>
  </conditionalFormatting>
  <conditionalFormatting sqref="BL20">
    <cfRule type="cellIs" dxfId="603" priority="2038" operator="equal">
      <formula>"x"</formula>
    </cfRule>
  </conditionalFormatting>
  <conditionalFormatting sqref="BJ21">
    <cfRule type="cellIs" dxfId="602" priority="2037" operator="equal">
      <formula>"x"</formula>
    </cfRule>
  </conditionalFormatting>
  <conditionalFormatting sqref="BH21">
    <cfRule type="cellIs" dxfId="601" priority="2036" operator="equal">
      <formula>"x"</formula>
    </cfRule>
  </conditionalFormatting>
  <conditionalFormatting sqref="BL21">
    <cfRule type="cellIs" dxfId="600" priority="2035" operator="equal">
      <formula>"x"</formula>
    </cfRule>
  </conditionalFormatting>
  <conditionalFormatting sqref="BJ6:BJ7">
    <cfRule type="cellIs" dxfId="599" priority="2034" operator="equal">
      <formula>"x"</formula>
    </cfRule>
  </conditionalFormatting>
  <conditionalFormatting sqref="BH6:BH7">
    <cfRule type="cellIs" dxfId="598" priority="2033" operator="equal">
      <formula>"x"</formula>
    </cfRule>
  </conditionalFormatting>
  <conditionalFormatting sqref="BH5">
    <cfRule type="cellIs" dxfId="597" priority="2031" operator="equal">
      <formula>"x"</formula>
    </cfRule>
  </conditionalFormatting>
  <conditionalFormatting sqref="BJ5">
    <cfRule type="cellIs" dxfId="596" priority="2030" operator="equal">
      <formula>"x"</formula>
    </cfRule>
  </conditionalFormatting>
  <conditionalFormatting sqref="BL5 BL4 BL6:BL16 BL18:BL23 BL25:BL30 BL32:BL34">
    <cfRule type="cellIs" dxfId="595" priority="2029" operator="equal">
      <formula>"x"</formula>
    </cfRule>
  </conditionalFormatting>
  <conditionalFormatting sqref="BR32:BR36 BR25:BR30 BR18:BR19 BR12:BR15">
    <cfRule type="cellIs" dxfId="594" priority="2028" operator="equal">
      <formula>"x"</formula>
    </cfRule>
  </conditionalFormatting>
  <conditionalFormatting sqref="BP12:BP15 BP18:BP19 BP25:BP30 BP32:BP36">
    <cfRule type="cellIs" dxfId="593" priority="2027" operator="equal">
      <formula>"x"</formula>
    </cfRule>
  </conditionalFormatting>
  <conditionalFormatting sqref="BP15 BP29:BP30 BP36">
    <cfRule type="cellIs" dxfId="592" priority="2026" operator="notEqual">
      <formula>"x"</formula>
    </cfRule>
  </conditionalFormatting>
  <conditionalFormatting sqref="BR15 BR29:BR30 BR36">
    <cfRule type="cellIs" dxfId="591" priority="2025" operator="notEqual">
      <formula>"x"</formula>
    </cfRule>
  </conditionalFormatting>
  <conditionalFormatting sqref="BT32:BT36 BT25:BT30 BT18:BT19 BT12:BT15">
    <cfRule type="cellIs" dxfId="590" priority="2024" operator="equal">
      <formula>"x"</formula>
    </cfRule>
  </conditionalFormatting>
  <conditionalFormatting sqref="BT15 BT29:BT30 BT36">
    <cfRule type="cellIs" dxfId="589" priority="2023" operator="notEqual">
      <formula>"x"</formula>
    </cfRule>
  </conditionalFormatting>
  <conditionalFormatting sqref="BR11">
    <cfRule type="cellIs" dxfId="588" priority="2022" operator="equal">
      <formula>"x"</formula>
    </cfRule>
  </conditionalFormatting>
  <conditionalFormatting sqref="BP11">
    <cfRule type="cellIs" dxfId="587" priority="2021" operator="equal">
      <formula>"x"</formula>
    </cfRule>
  </conditionalFormatting>
  <conditionalFormatting sqref="BT11">
    <cfRule type="cellIs" dxfId="586" priority="2020" operator="equal">
      <formula>"x"</formula>
    </cfRule>
  </conditionalFormatting>
  <conditionalFormatting sqref="BR31">
    <cfRule type="cellIs" dxfId="585" priority="2010" operator="equal">
      <formula>"x"</formula>
    </cfRule>
  </conditionalFormatting>
  <conditionalFormatting sqref="BP31">
    <cfRule type="cellIs" dxfId="584" priority="2009" operator="equal">
      <formula>"x"</formula>
    </cfRule>
  </conditionalFormatting>
  <conditionalFormatting sqref="BT31">
    <cfRule type="cellIs" dxfId="583" priority="2008" operator="equal">
      <formula>"x"</formula>
    </cfRule>
  </conditionalFormatting>
  <conditionalFormatting sqref="BR9">
    <cfRule type="cellIs" dxfId="582" priority="2007" operator="equal">
      <formula>"x"</formula>
    </cfRule>
  </conditionalFormatting>
  <conditionalFormatting sqref="BP9">
    <cfRule type="cellIs" dxfId="581" priority="2006" operator="equal">
      <formula>"x"</formula>
    </cfRule>
  </conditionalFormatting>
  <conditionalFormatting sqref="BP9">
    <cfRule type="cellIs" dxfId="580" priority="2005" operator="notEqual">
      <formula>"x"</formula>
    </cfRule>
  </conditionalFormatting>
  <conditionalFormatting sqref="BR9">
    <cfRule type="cellIs" dxfId="579" priority="2004" operator="notEqual">
      <formula>"x"</formula>
    </cfRule>
  </conditionalFormatting>
  <conditionalFormatting sqref="BT9">
    <cfRule type="cellIs" dxfId="578" priority="2002" operator="notEqual">
      <formula>"x"</formula>
    </cfRule>
  </conditionalFormatting>
  <conditionalFormatting sqref="BR8">
    <cfRule type="cellIs" dxfId="577" priority="2001" operator="equal">
      <formula>"x"</formula>
    </cfRule>
  </conditionalFormatting>
  <conditionalFormatting sqref="BP8">
    <cfRule type="cellIs" dxfId="576" priority="2000" operator="equal">
      <formula>"x"</formula>
    </cfRule>
  </conditionalFormatting>
  <conditionalFormatting sqref="BP8">
    <cfRule type="cellIs" dxfId="575" priority="1999" operator="notEqual">
      <formula>"x"</formula>
    </cfRule>
  </conditionalFormatting>
  <conditionalFormatting sqref="BR8">
    <cfRule type="cellIs" dxfId="574" priority="1998" operator="notEqual">
      <formula>"x"</formula>
    </cfRule>
  </conditionalFormatting>
  <conditionalFormatting sqref="BT8">
    <cfRule type="cellIs" dxfId="573" priority="1996" operator="notEqual">
      <formula>"x"</formula>
    </cfRule>
  </conditionalFormatting>
  <conditionalFormatting sqref="BR16">
    <cfRule type="cellIs" dxfId="572" priority="1995" operator="equal">
      <formula>"x"</formula>
    </cfRule>
  </conditionalFormatting>
  <conditionalFormatting sqref="BP16">
    <cfRule type="cellIs" dxfId="571" priority="1994" operator="equal">
      <formula>"x"</formula>
    </cfRule>
  </conditionalFormatting>
  <conditionalFormatting sqref="BP16">
    <cfRule type="cellIs" dxfId="570" priority="1993" operator="notEqual">
      <formula>"x"</formula>
    </cfRule>
  </conditionalFormatting>
  <conditionalFormatting sqref="BR16">
    <cfRule type="cellIs" dxfId="569" priority="1992" operator="notEqual">
      <formula>"x"</formula>
    </cfRule>
  </conditionalFormatting>
  <conditionalFormatting sqref="BT16">
    <cfRule type="cellIs" dxfId="568" priority="1991" operator="equal">
      <formula>"x"</formula>
    </cfRule>
  </conditionalFormatting>
  <conditionalFormatting sqref="BT16">
    <cfRule type="cellIs" dxfId="567" priority="1990" operator="notEqual">
      <formula>"x"</formula>
    </cfRule>
  </conditionalFormatting>
  <conditionalFormatting sqref="BR38">
    <cfRule type="cellIs" dxfId="566" priority="1977" operator="equal">
      <formula>"x"</formula>
    </cfRule>
  </conditionalFormatting>
  <conditionalFormatting sqref="BP38">
    <cfRule type="cellIs" dxfId="565" priority="1976" operator="equal">
      <formula>"x"</formula>
    </cfRule>
  </conditionalFormatting>
  <conditionalFormatting sqref="BT38">
    <cfRule type="cellIs" dxfId="564" priority="1975" operator="equal">
      <formula>"x"</formula>
    </cfRule>
  </conditionalFormatting>
  <conditionalFormatting sqref="BR39">
    <cfRule type="cellIs" dxfId="563" priority="1974" operator="equal">
      <formula>"x"</formula>
    </cfRule>
  </conditionalFormatting>
  <conditionalFormatting sqref="BP39">
    <cfRule type="cellIs" dxfId="562" priority="1973" operator="equal">
      <formula>"x"</formula>
    </cfRule>
  </conditionalFormatting>
  <conditionalFormatting sqref="BT39">
    <cfRule type="cellIs" dxfId="561" priority="1972" operator="equal">
      <formula>"x"</formula>
    </cfRule>
  </conditionalFormatting>
  <conditionalFormatting sqref="BR20">
    <cfRule type="cellIs" dxfId="560" priority="1971" operator="equal">
      <formula>"x"</formula>
    </cfRule>
  </conditionalFormatting>
  <conditionalFormatting sqref="BP20">
    <cfRule type="cellIs" dxfId="559" priority="1970" operator="equal">
      <formula>"x"</formula>
    </cfRule>
  </conditionalFormatting>
  <conditionalFormatting sqref="BT20">
    <cfRule type="cellIs" dxfId="558" priority="1969" operator="equal">
      <formula>"x"</formula>
    </cfRule>
  </conditionalFormatting>
  <conditionalFormatting sqref="BR21">
    <cfRule type="cellIs" dxfId="557" priority="1968" operator="equal">
      <formula>"x"</formula>
    </cfRule>
  </conditionalFormatting>
  <conditionalFormatting sqref="BP21">
    <cfRule type="cellIs" dxfId="556" priority="1967" operator="equal">
      <formula>"x"</formula>
    </cfRule>
  </conditionalFormatting>
  <conditionalFormatting sqref="BT21">
    <cfRule type="cellIs" dxfId="555" priority="1966" operator="equal">
      <formula>"x"</formula>
    </cfRule>
  </conditionalFormatting>
  <conditionalFormatting sqref="BR6:BR7">
    <cfRule type="cellIs" dxfId="554" priority="1965" operator="equal">
      <formula>"x"</formula>
    </cfRule>
  </conditionalFormatting>
  <conditionalFormatting sqref="BP6:BP7">
    <cfRule type="cellIs" dxfId="553" priority="1964" operator="equal">
      <formula>"x"</formula>
    </cfRule>
  </conditionalFormatting>
  <conditionalFormatting sqref="BT6:BT9 BT11:BT16 BT18:BT21 BT25:BT36">
    <cfRule type="cellIs" dxfId="552" priority="1963" operator="equal">
      <formula>"x"</formula>
    </cfRule>
  </conditionalFormatting>
  <conditionalFormatting sqref="BP5">
    <cfRule type="cellIs" dxfId="551" priority="1962" operator="equal">
      <formula>"x"</formula>
    </cfRule>
  </conditionalFormatting>
  <conditionalFormatting sqref="BR5">
    <cfRule type="cellIs" dxfId="550" priority="1961" operator="equal">
      <formula>"x"</formula>
    </cfRule>
  </conditionalFormatting>
  <conditionalFormatting sqref="BT5">
    <cfRule type="cellIs" dxfId="549" priority="1960" operator="equal">
      <formula>"x"</formula>
    </cfRule>
  </conditionalFormatting>
  <conditionalFormatting sqref="BP4">
    <cfRule type="cellIs" dxfId="548" priority="1959" operator="equal">
      <formula>"x"</formula>
    </cfRule>
  </conditionalFormatting>
  <conditionalFormatting sqref="BR4">
    <cfRule type="cellIs" dxfId="547" priority="1958" operator="equal">
      <formula>"x"</formula>
    </cfRule>
  </conditionalFormatting>
  <conditionalFormatting sqref="BT4">
    <cfRule type="cellIs" dxfId="546" priority="1957" operator="equal">
      <formula>"x"</formula>
    </cfRule>
  </conditionalFormatting>
  <conditionalFormatting sqref="CB22">
    <cfRule type="cellIs" dxfId="545" priority="1912" operator="notEqual">
      <formula>"x"</formula>
    </cfRule>
  </conditionalFormatting>
  <conditionalFormatting sqref="BX37">
    <cfRule type="cellIs" dxfId="544" priority="1909" operator="notEqual">
      <formula>"x"</formula>
    </cfRule>
  </conditionalFormatting>
  <conditionalFormatting sqref="BZ32:BZ36 BZ25:BZ29 BZ18:BZ19 BZ12:BZ15 BZ23">
    <cfRule type="cellIs" dxfId="543" priority="1956" operator="equal">
      <formula>"x"</formula>
    </cfRule>
  </conditionalFormatting>
  <conditionalFormatting sqref="BX12:BX15 BX18:BX19 BX25:BX29 BX32:BX36 BX23">
    <cfRule type="cellIs" dxfId="542" priority="1955" operator="equal">
      <formula>"x"</formula>
    </cfRule>
  </conditionalFormatting>
  <conditionalFormatting sqref="BX15 BX23 BX29 BX36">
    <cfRule type="cellIs" dxfId="541" priority="1954" operator="notEqual">
      <formula>"x"</formula>
    </cfRule>
  </conditionalFormatting>
  <conditionalFormatting sqref="BZ15 BZ23 BZ29 BZ36">
    <cfRule type="cellIs" dxfId="540" priority="1953" operator="notEqual">
      <formula>"x"</formula>
    </cfRule>
  </conditionalFormatting>
  <conditionalFormatting sqref="CB15 CB23 CB29 CB36">
    <cfRule type="cellIs" dxfId="539" priority="1951" operator="notEqual">
      <formula>"x"</formula>
    </cfRule>
  </conditionalFormatting>
  <conditionalFormatting sqref="BZ11">
    <cfRule type="cellIs" dxfId="538" priority="1950" operator="equal">
      <formula>"x"</formula>
    </cfRule>
  </conditionalFormatting>
  <conditionalFormatting sqref="BX11">
    <cfRule type="cellIs" dxfId="537" priority="1949" operator="equal">
      <formula>"x"</formula>
    </cfRule>
  </conditionalFormatting>
  <conditionalFormatting sqref="BZ10">
    <cfRule type="cellIs" dxfId="536" priority="1947" operator="equal">
      <formula>"x"</formula>
    </cfRule>
  </conditionalFormatting>
  <conditionalFormatting sqref="BX10">
    <cfRule type="cellIs" dxfId="535" priority="1946" operator="equal">
      <formula>"x"</formula>
    </cfRule>
  </conditionalFormatting>
  <conditionalFormatting sqref="CB37">
    <cfRule type="cellIs" dxfId="534" priority="1906" operator="notEqual">
      <formula>"x"</formula>
    </cfRule>
  </conditionalFormatting>
  <conditionalFormatting sqref="BZ16">
    <cfRule type="cellIs" dxfId="533" priority="1923" operator="equal">
      <formula>"x"</formula>
    </cfRule>
  </conditionalFormatting>
  <conditionalFormatting sqref="BX16">
    <cfRule type="cellIs" dxfId="532" priority="1922" operator="equal">
      <formula>"x"</formula>
    </cfRule>
  </conditionalFormatting>
  <conditionalFormatting sqref="BX16">
    <cfRule type="cellIs" dxfId="531" priority="1921" operator="notEqual">
      <formula>"x"</formula>
    </cfRule>
  </conditionalFormatting>
  <conditionalFormatting sqref="BZ16">
    <cfRule type="cellIs" dxfId="530" priority="1920" operator="notEqual">
      <formula>"x"</formula>
    </cfRule>
  </conditionalFormatting>
  <conditionalFormatting sqref="CB16">
    <cfRule type="cellIs" dxfId="529" priority="1918" operator="notEqual">
      <formula>"x"</formula>
    </cfRule>
  </conditionalFormatting>
  <conditionalFormatting sqref="BZ22">
    <cfRule type="cellIs" dxfId="528" priority="1917" operator="equal">
      <formula>"x"</formula>
    </cfRule>
  </conditionalFormatting>
  <conditionalFormatting sqref="BX22">
    <cfRule type="cellIs" dxfId="527" priority="1916" operator="equal">
      <formula>"x"</formula>
    </cfRule>
  </conditionalFormatting>
  <conditionalFormatting sqref="BX22">
    <cfRule type="cellIs" dxfId="526" priority="1915" operator="notEqual">
      <formula>"x"</formula>
    </cfRule>
  </conditionalFormatting>
  <conditionalFormatting sqref="BZ22">
    <cfRule type="cellIs" dxfId="525" priority="1914" operator="notEqual">
      <formula>"x"</formula>
    </cfRule>
  </conditionalFormatting>
  <conditionalFormatting sqref="BZ37">
    <cfRule type="cellIs" dxfId="524" priority="1911" operator="equal">
      <formula>"x"</formula>
    </cfRule>
  </conditionalFormatting>
  <conditionalFormatting sqref="BX37">
    <cfRule type="cellIs" dxfId="523" priority="1910" operator="equal">
      <formula>"x"</formula>
    </cfRule>
  </conditionalFormatting>
  <conditionalFormatting sqref="BZ37">
    <cfRule type="cellIs" dxfId="522" priority="1908" operator="notEqual">
      <formula>"x"</formula>
    </cfRule>
  </conditionalFormatting>
  <conditionalFormatting sqref="BZ39">
    <cfRule type="cellIs" dxfId="521" priority="1902" operator="equal">
      <formula>"x"</formula>
    </cfRule>
  </conditionalFormatting>
  <conditionalFormatting sqref="BX39">
    <cfRule type="cellIs" dxfId="520" priority="1901" operator="equal">
      <formula>"x"</formula>
    </cfRule>
  </conditionalFormatting>
  <conditionalFormatting sqref="BZ20">
    <cfRule type="cellIs" dxfId="519" priority="1899" operator="equal">
      <formula>"x"</formula>
    </cfRule>
  </conditionalFormatting>
  <conditionalFormatting sqref="BX20">
    <cfRule type="cellIs" dxfId="518" priority="1898" operator="equal">
      <formula>"x"</formula>
    </cfRule>
  </conditionalFormatting>
  <conditionalFormatting sqref="BZ21">
    <cfRule type="cellIs" dxfId="517" priority="1896" operator="equal">
      <formula>"x"</formula>
    </cfRule>
  </conditionalFormatting>
  <conditionalFormatting sqref="BX21">
    <cfRule type="cellIs" dxfId="516" priority="1895" operator="equal">
      <formula>"x"</formula>
    </cfRule>
  </conditionalFormatting>
  <conditionalFormatting sqref="CB10:CB16 CB25:CB30 CB32:CB37 CB39 CB18:CB23">
    <cfRule type="cellIs" dxfId="515" priority="1894" operator="equal">
      <formula>"x"</formula>
    </cfRule>
  </conditionalFormatting>
  <conditionalFormatting sqref="BZ6:BZ7">
    <cfRule type="cellIs" dxfId="514" priority="1893" operator="equal">
      <formula>"x"</formula>
    </cfRule>
  </conditionalFormatting>
  <conditionalFormatting sqref="BX6:BX7">
    <cfRule type="cellIs" dxfId="513" priority="1892" operator="equal">
      <formula>"x"</formula>
    </cfRule>
  </conditionalFormatting>
  <conditionalFormatting sqref="CB6:CB7">
    <cfRule type="cellIs" dxfId="512" priority="1891" operator="equal">
      <formula>"x"</formula>
    </cfRule>
  </conditionalFormatting>
  <conditionalFormatting sqref="BX5">
    <cfRule type="cellIs" dxfId="511" priority="1890" operator="equal">
      <formula>"x"</formula>
    </cfRule>
  </conditionalFormatting>
  <conditionalFormatting sqref="BZ5">
    <cfRule type="cellIs" dxfId="510" priority="1889" operator="equal">
      <formula>"x"</formula>
    </cfRule>
  </conditionalFormatting>
  <conditionalFormatting sqref="CB5">
    <cfRule type="cellIs" dxfId="509" priority="1888" operator="equal">
      <formula>"x"</formula>
    </cfRule>
  </conditionalFormatting>
  <conditionalFormatting sqref="BX4">
    <cfRule type="cellIs" dxfId="508" priority="1887" operator="equal">
      <formula>"x"</formula>
    </cfRule>
  </conditionalFormatting>
  <conditionalFormatting sqref="BZ4">
    <cfRule type="cellIs" dxfId="507" priority="1886" operator="equal">
      <formula>"x"</formula>
    </cfRule>
  </conditionalFormatting>
  <conditionalFormatting sqref="CB4">
    <cfRule type="cellIs" dxfId="506" priority="1885" operator="equal">
      <formula>"x"</formula>
    </cfRule>
  </conditionalFormatting>
  <conditionalFormatting sqref="CJ22">
    <cfRule type="cellIs" dxfId="505" priority="1840" operator="notEqual">
      <formula>"x"</formula>
    </cfRule>
  </conditionalFormatting>
  <conditionalFormatting sqref="CH32:CH35 CH25:CH27 CH18:CH19 CH12:CH14 CH23 CH29:CH30">
    <cfRule type="cellIs" dxfId="504" priority="1884" operator="equal">
      <formula>"x"</formula>
    </cfRule>
  </conditionalFormatting>
  <conditionalFormatting sqref="CF12:CF14 CF18:CF19 CF25:CF27 CF32:CF35 CF23 CF29:CF30">
    <cfRule type="cellIs" dxfId="503" priority="1883" operator="equal">
      <formula>"x"</formula>
    </cfRule>
  </conditionalFormatting>
  <conditionalFormatting sqref="CF23 CF29:CF30">
    <cfRule type="cellIs" dxfId="502" priority="1882" operator="notEqual">
      <formula>"x"</formula>
    </cfRule>
  </conditionalFormatting>
  <conditionalFormatting sqref="CH23 CH29:CH30">
    <cfRule type="cellIs" dxfId="501" priority="1881" operator="notEqual">
      <formula>"x"</formula>
    </cfRule>
  </conditionalFormatting>
  <conditionalFormatting sqref="CJ32:CJ35 CJ25:CJ27 CJ18:CJ19 CJ12:CJ14 CJ23 CJ29:CJ30">
    <cfRule type="cellIs" dxfId="500" priority="1880" operator="equal">
      <formula>"x"</formula>
    </cfRule>
  </conditionalFormatting>
  <conditionalFormatting sqref="CJ23 CJ29:CJ30">
    <cfRule type="cellIs" dxfId="499" priority="1879" operator="notEqual">
      <formula>"x"</formula>
    </cfRule>
  </conditionalFormatting>
  <conditionalFormatting sqref="CH11">
    <cfRule type="cellIs" dxfId="498" priority="1878" operator="equal">
      <formula>"x"</formula>
    </cfRule>
  </conditionalFormatting>
  <conditionalFormatting sqref="CF11">
    <cfRule type="cellIs" dxfId="497" priority="1877" operator="equal">
      <formula>"x"</formula>
    </cfRule>
  </conditionalFormatting>
  <conditionalFormatting sqref="CJ11">
    <cfRule type="cellIs" dxfId="496" priority="1876" operator="equal">
      <formula>"x"</formula>
    </cfRule>
  </conditionalFormatting>
  <conditionalFormatting sqref="CH9">
    <cfRule type="cellIs" dxfId="495" priority="1863" operator="equal">
      <formula>"x"</formula>
    </cfRule>
  </conditionalFormatting>
  <conditionalFormatting sqref="CF9">
    <cfRule type="cellIs" dxfId="494" priority="1862" operator="equal">
      <formula>"x"</formula>
    </cfRule>
  </conditionalFormatting>
  <conditionalFormatting sqref="CF9">
    <cfRule type="cellIs" dxfId="493" priority="1861" operator="notEqual">
      <formula>"x"</formula>
    </cfRule>
  </conditionalFormatting>
  <conditionalFormatting sqref="CH9">
    <cfRule type="cellIs" dxfId="492" priority="1860" operator="notEqual">
      <formula>"x"</formula>
    </cfRule>
  </conditionalFormatting>
  <conditionalFormatting sqref="CJ9">
    <cfRule type="cellIs" dxfId="491" priority="1858" operator="notEqual">
      <formula>"x"</formula>
    </cfRule>
  </conditionalFormatting>
  <conditionalFormatting sqref="CH8">
    <cfRule type="cellIs" dxfId="490" priority="1857" operator="equal">
      <formula>"x"</formula>
    </cfRule>
  </conditionalFormatting>
  <conditionalFormatting sqref="CF8">
    <cfRule type="cellIs" dxfId="489" priority="1856" operator="equal">
      <formula>"x"</formula>
    </cfRule>
  </conditionalFormatting>
  <conditionalFormatting sqref="CF8">
    <cfRule type="cellIs" dxfId="488" priority="1855" operator="notEqual">
      <formula>"x"</formula>
    </cfRule>
  </conditionalFormatting>
  <conditionalFormatting sqref="CH8">
    <cfRule type="cellIs" dxfId="487" priority="1854" operator="notEqual">
      <formula>"x"</formula>
    </cfRule>
  </conditionalFormatting>
  <conditionalFormatting sqref="CJ8">
    <cfRule type="cellIs" dxfId="486" priority="1852" operator="notEqual">
      <formula>"x"</formula>
    </cfRule>
  </conditionalFormatting>
  <conditionalFormatting sqref="CH16">
    <cfRule type="cellIs" dxfId="485" priority="1851" operator="equal">
      <formula>"x"</formula>
    </cfRule>
  </conditionalFormatting>
  <conditionalFormatting sqref="CF16">
    <cfRule type="cellIs" dxfId="484" priority="1850" operator="equal">
      <formula>"x"</formula>
    </cfRule>
  </conditionalFormatting>
  <conditionalFormatting sqref="CF16">
    <cfRule type="cellIs" dxfId="483" priority="1849" operator="notEqual">
      <formula>"x"</formula>
    </cfRule>
  </conditionalFormatting>
  <conditionalFormatting sqref="CH16">
    <cfRule type="cellIs" dxfId="482" priority="1848" operator="notEqual">
      <formula>"x"</formula>
    </cfRule>
  </conditionalFormatting>
  <conditionalFormatting sqref="CJ16">
    <cfRule type="cellIs" dxfId="481" priority="1847" operator="equal">
      <formula>"x"</formula>
    </cfRule>
  </conditionalFormatting>
  <conditionalFormatting sqref="CJ16">
    <cfRule type="cellIs" dxfId="480" priority="1846" operator="notEqual">
      <formula>"x"</formula>
    </cfRule>
  </conditionalFormatting>
  <conditionalFormatting sqref="CH22">
    <cfRule type="cellIs" dxfId="479" priority="1845" operator="equal">
      <formula>"x"</formula>
    </cfRule>
  </conditionalFormatting>
  <conditionalFormatting sqref="CF22">
    <cfRule type="cellIs" dxfId="478" priority="1844" operator="equal">
      <formula>"x"</formula>
    </cfRule>
  </conditionalFormatting>
  <conditionalFormatting sqref="CF22">
    <cfRule type="cellIs" dxfId="477" priority="1843" operator="notEqual">
      <formula>"x"</formula>
    </cfRule>
  </conditionalFormatting>
  <conditionalFormatting sqref="CH22">
    <cfRule type="cellIs" dxfId="476" priority="1842" operator="notEqual">
      <formula>"x"</formula>
    </cfRule>
  </conditionalFormatting>
  <conditionalFormatting sqref="CJ22">
    <cfRule type="cellIs" dxfId="475" priority="1841" operator="equal">
      <formula>"x"</formula>
    </cfRule>
  </conditionalFormatting>
  <conditionalFormatting sqref="CH39">
    <cfRule type="cellIs" dxfId="474" priority="1830" operator="equal">
      <formula>"x"</formula>
    </cfRule>
  </conditionalFormatting>
  <conditionalFormatting sqref="CF39">
    <cfRule type="cellIs" dxfId="473" priority="1829" operator="equal">
      <formula>"x"</formula>
    </cfRule>
  </conditionalFormatting>
  <conditionalFormatting sqref="CJ39">
    <cfRule type="cellIs" dxfId="472" priority="1828" operator="equal">
      <formula>"x"</formula>
    </cfRule>
  </conditionalFormatting>
  <conditionalFormatting sqref="CH20">
    <cfRule type="cellIs" dxfId="471" priority="1827" operator="equal">
      <formula>"x"</formula>
    </cfRule>
  </conditionalFormatting>
  <conditionalFormatting sqref="CF20">
    <cfRule type="cellIs" dxfId="470" priority="1826" operator="equal">
      <formula>"x"</formula>
    </cfRule>
  </conditionalFormatting>
  <conditionalFormatting sqref="CJ20">
    <cfRule type="cellIs" dxfId="469" priority="1825" operator="equal">
      <formula>"x"</formula>
    </cfRule>
  </conditionalFormatting>
  <conditionalFormatting sqref="CH21">
    <cfRule type="cellIs" dxfId="468" priority="1824" operator="equal">
      <formula>"x"</formula>
    </cfRule>
  </conditionalFormatting>
  <conditionalFormatting sqref="CF21">
    <cfRule type="cellIs" dxfId="467" priority="1823" operator="equal">
      <formula>"x"</formula>
    </cfRule>
  </conditionalFormatting>
  <conditionalFormatting sqref="CJ21">
    <cfRule type="cellIs" dxfId="466" priority="1822" operator="equal">
      <formula>"x"</formula>
    </cfRule>
  </conditionalFormatting>
  <conditionalFormatting sqref="CH6:CH7">
    <cfRule type="cellIs" dxfId="465" priority="1821" operator="equal">
      <formula>"x"</formula>
    </cfRule>
  </conditionalFormatting>
  <conditionalFormatting sqref="CF6:CF7">
    <cfRule type="cellIs" dxfId="464" priority="1820" operator="equal">
      <formula>"x"</formula>
    </cfRule>
  </conditionalFormatting>
  <conditionalFormatting sqref="CF5">
    <cfRule type="cellIs" dxfId="463" priority="1818" operator="equal">
      <formula>"x"</formula>
    </cfRule>
  </conditionalFormatting>
  <conditionalFormatting sqref="CH5">
    <cfRule type="cellIs" dxfId="462" priority="1817" operator="equal">
      <formula>"x"</formula>
    </cfRule>
  </conditionalFormatting>
  <conditionalFormatting sqref="CJ5:CJ9 CJ11:CJ14 CJ18:CJ23 CJ25:CJ27 CJ32:CJ34 CJ16 CJ29:CJ30">
    <cfRule type="cellIs" dxfId="461" priority="1816" operator="equal">
      <formula>"x"</formula>
    </cfRule>
  </conditionalFormatting>
  <conditionalFormatting sqref="CF4">
    <cfRule type="cellIs" dxfId="460" priority="1815" operator="equal">
      <formula>"x"</formula>
    </cfRule>
  </conditionalFormatting>
  <conditionalFormatting sqref="CH4">
    <cfRule type="cellIs" dxfId="459" priority="1814" operator="equal">
      <formula>"x"</formula>
    </cfRule>
  </conditionalFormatting>
  <conditionalFormatting sqref="CJ4">
    <cfRule type="cellIs" dxfId="458" priority="1813" operator="equal">
      <formula>"x"</formula>
    </cfRule>
  </conditionalFormatting>
  <conditionalFormatting sqref="CN37">
    <cfRule type="cellIs" dxfId="457" priority="1765" operator="notEqual">
      <formula>"x"</formula>
    </cfRule>
  </conditionalFormatting>
  <conditionalFormatting sqref="CP32:CP36 CP25:CP30 CP18:CP19 CP12:CP13 CP23 CP15">
    <cfRule type="cellIs" dxfId="456" priority="1812" operator="equal">
      <formula>"x"</formula>
    </cfRule>
  </conditionalFormatting>
  <conditionalFormatting sqref="CN12:CN13 CN18:CN19 CN25:CN30 CN32:CN36 CN23 CN15">
    <cfRule type="cellIs" dxfId="455" priority="1811" operator="equal">
      <formula>"x"</formula>
    </cfRule>
  </conditionalFormatting>
  <conditionalFormatting sqref="CN15 CN23 CN29:CN30 CN36">
    <cfRule type="cellIs" dxfId="454" priority="1810" operator="notEqual">
      <formula>"x"</formula>
    </cfRule>
  </conditionalFormatting>
  <conditionalFormatting sqref="CP15 CP23 CP29:CP30 CP36">
    <cfRule type="cellIs" dxfId="453" priority="1809" operator="notEqual">
      <formula>"x"</formula>
    </cfRule>
  </conditionalFormatting>
  <conditionalFormatting sqref="CR32:CR36 CR25:CR30 CR18:CR19 CR12:CR13 CR23 CR15">
    <cfRule type="cellIs" dxfId="452" priority="1808" operator="equal">
      <formula>"x"</formula>
    </cfRule>
  </conditionalFormatting>
  <conditionalFormatting sqref="CR15 CR23 CR29:CR30 CR36">
    <cfRule type="cellIs" dxfId="451" priority="1807" operator="notEqual">
      <formula>"x"</formula>
    </cfRule>
  </conditionalFormatting>
  <conditionalFormatting sqref="CP11">
    <cfRule type="cellIs" dxfId="450" priority="1806" operator="equal">
      <formula>"x"</formula>
    </cfRule>
  </conditionalFormatting>
  <conditionalFormatting sqref="CN11">
    <cfRule type="cellIs" dxfId="449" priority="1805" operator="equal">
      <formula>"x"</formula>
    </cfRule>
  </conditionalFormatting>
  <conditionalFormatting sqref="CR11">
    <cfRule type="cellIs" dxfId="448" priority="1804" operator="equal">
      <formula>"x"</formula>
    </cfRule>
  </conditionalFormatting>
  <conditionalFormatting sqref="CR37">
    <cfRule type="cellIs" dxfId="447" priority="1762" operator="notEqual">
      <formula>"x"</formula>
    </cfRule>
  </conditionalFormatting>
  <conditionalFormatting sqref="CP31">
    <cfRule type="cellIs" dxfId="446" priority="1794" operator="equal">
      <formula>"x"</formula>
    </cfRule>
  </conditionalFormatting>
  <conditionalFormatting sqref="CN31">
    <cfRule type="cellIs" dxfId="445" priority="1793" operator="equal">
      <formula>"x"</formula>
    </cfRule>
  </conditionalFormatting>
  <conditionalFormatting sqref="CR31">
    <cfRule type="cellIs" dxfId="444" priority="1792" operator="equal">
      <formula>"x"</formula>
    </cfRule>
  </conditionalFormatting>
  <conditionalFormatting sqref="CP9">
    <cfRule type="cellIs" dxfId="443" priority="1791" operator="equal">
      <formula>"x"</formula>
    </cfRule>
  </conditionalFormatting>
  <conditionalFormatting sqref="CN9">
    <cfRule type="cellIs" dxfId="442" priority="1790" operator="equal">
      <formula>"x"</formula>
    </cfRule>
  </conditionalFormatting>
  <conditionalFormatting sqref="CN9">
    <cfRule type="cellIs" dxfId="441" priority="1789" operator="notEqual">
      <formula>"x"</formula>
    </cfRule>
  </conditionalFormatting>
  <conditionalFormatting sqref="CP9">
    <cfRule type="cellIs" dxfId="440" priority="1788" operator="notEqual">
      <formula>"x"</formula>
    </cfRule>
  </conditionalFormatting>
  <conditionalFormatting sqref="CR9">
    <cfRule type="cellIs" dxfId="439" priority="1786" operator="notEqual">
      <formula>"x"</formula>
    </cfRule>
  </conditionalFormatting>
  <conditionalFormatting sqref="CP8">
    <cfRule type="cellIs" dxfId="438" priority="1785" operator="equal">
      <formula>"x"</formula>
    </cfRule>
  </conditionalFormatting>
  <conditionalFormatting sqref="CN8">
    <cfRule type="cellIs" dxfId="437" priority="1784" operator="equal">
      <formula>"x"</formula>
    </cfRule>
  </conditionalFormatting>
  <conditionalFormatting sqref="CN8">
    <cfRule type="cellIs" dxfId="436" priority="1783" operator="notEqual">
      <formula>"x"</formula>
    </cfRule>
  </conditionalFormatting>
  <conditionalFormatting sqref="CP8">
    <cfRule type="cellIs" dxfId="435" priority="1782" operator="notEqual">
      <formula>"x"</formula>
    </cfRule>
  </conditionalFormatting>
  <conditionalFormatting sqref="CR8">
    <cfRule type="cellIs" dxfId="434" priority="1780" operator="notEqual">
      <formula>"x"</formula>
    </cfRule>
  </conditionalFormatting>
  <conditionalFormatting sqref="CP16">
    <cfRule type="cellIs" dxfId="433" priority="1779" operator="equal">
      <formula>"x"</formula>
    </cfRule>
  </conditionalFormatting>
  <conditionalFormatting sqref="CN16">
    <cfRule type="cellIs" dxfId="432" priority="1778" operator="equal">
      <formula>"x"</formula>
    </cfRule>
  </conditionalFormatting>
  <conditionalFormatting sqref="CN16">
    <cfRule type="cellIs" dxfId="431" priority="1777" operator="notEqual">
      <formula>"x"</formula>
    </cfRule>
  </conditionalFormatting>
  <conditionalFormatting sqref="CP16">
    <cfRule type="cellIs" dxfId="430" priority="1776" operator="notEqual">
      <formula>"x"</formula>
    </cfRule>
  </conditionalFormatting>
  <conditionalFormatting sqref="CR16">
    <cfRule type="cellIs" dxfId="429" priority="1775" operator="equal">
      <formula>"x"</formula>
    </cfRule>
  </conditionalFormatting>
  <conditionalFormatting sqref="CR16">
    <cfRule type="cellIs" dxfId="428" priority="1774" operator="notEqual">
      <formula>"x"</formula>
    </cfRule>
  </conditionalFormatting>
  <conditionalFormatting sqref="CP37">
    <cfRule type="cellIs" dxfId="427" priority="1767" operator="equal">
      <formula>"x"</formula>
    </cfRule>
  </conditionalFormatting>
  <conditionalFormatting sqref="CN37">
    <cfRule type="cellIs" dxfId="426" priority="1766" operator="equal">
      <formula>"x"</formula>
    </cfRule>
  </conditionalFormatting>
  <conditionalFormatting sqref="CP37">
    <cfRule type="cellIs" dxfId="425" priority="1764" operator="notEqual">
      <formula>"x"</formula>
    </cfRule>
  </conditionalFormatting>
  <conditionalFormatting sqref="CR37">
    <cfRule type="cellIs" dxfId="424" priority="1763" operator="equal">
      <formula>"x"</formula>
    </cfRule>
  </conditionalFormatting>
  <conditionalFormatting sqref="CP39">
    <cfRule type="cellIs" dxfId="423" priority="1758" operator="equal">
      <formula>"x"</formula>
    </cfRule>
  </conditionalFormatting>
  <conditionalFormatting sqref="CN39">
    <cfRule type="cellIs" dxfId="422" priority="1757" operator="equal">
      <formula>"x"</formula>
    </cfRule>
  </conditionalFormatting>
  <conditionalFormatting sqref="CR39">
    <cfRule type="cellIs" dxfId="421" priority="1756" operator="equal">
      <formula>"x"</formula>
    </cfRule>
  </conditionalFormatting>
  <conditionalFormatting sqref="CP20">
    <cfRule type="cellIs" dxfId="420" priority="1755" operator="equal">
      <formula>"x"</formula>
    </cfRule>
  </conditionalFormatting>
  <conditionalFormatting sqref="CN20">
    <cfRule type="cellIs" dxfId="419" priority="1754" operator="equal">
      <formula>"x"</formula>
    </cfRule>
  </conditionalFormatting>
  <conditionalFormatting sqref="CR20">
    <cfRule type="cellIs" dxfId="418" priority="1753" operator="equal">
      <formula>"x"</formula>
    </cfRule>
  </conditionalFormatting>
  <conditionalFormatting sqref="CP21">
    <cfRule type="cellIs" dxfId="417" priority="1752" operator="equal">
      <formula>"x"</formula>
    </cfRule>
  </conditionalFormatting>
  <conditionalFormatting sqref="CN21">
    <cfRule type="cellIs" dxfId="416" priority="1751" operator="equal">
      <formula>"x"</formula>
    </cfRule>
  </conditionalFormatting>
  <conditionalFormatting sqref="CR21">
    <cfRule type="cellIs" dxfId="415" priority="1750" operator="equal">
      <formula>"x"</formula>
    </cfRule>
  </conditionalFormatting>
  <conditionalFormatting sqref="CP6:CP7">
    <cfRule type="cellIs" dxfId="414" priority="1749" operator="equal">
      <formula>"x"</formula>
    </cfRule>
  </conditionalFormatting>
  <conditionalFormatting sqref="CN6:CN7">
    <cfRule type="cellIs" dxfId="413" priority="1748" operator="equal">
      <formula>"x"</formula>
    </cfRule>
  </conditionalFormatting>
  <conditionalFormatting sqref="CR6:CR7 CR8 CR9 CR11:CR16 CR18:CR21 CR23 CR25:CR37">
    <cfRule type="cellIs" dxfId="412" priority="1747" operator="equal">
      <formula>"x"</formula>
    </cfRule>
  </conditionalFormatting>
  <conditionalFormatting sqref="CN5">
    <cfRule type="cellIs" dxfId="411" priority="1746" operator="equal">
      <formula>"x"</formula>
    </cfRule>
  </conditionalFormatting>
  <conditionalFormatting sqref="CP5">
    <cfRule type="cellIs" dxfId="410" priority="1745" operator="equal">
      <formula>"x"</formula>
    </cfRule>
  </conditionalFormatting>
  <conditionalFormatting sqref="CR5">
    <cfRule type="cellIs" dxfId="409" priority="1744" operator="equal">
      <formula>"x"</formula>
    </cfRule>
  </conditionalFormatting>
  <conditionalFormatting sqref="CN4">
    <cfRule type="cellIs" dxfId="408" priority="1731" operator="equal">
      <formula>"x"</formula>
    </cfRule>
  </conditionalFormatting>
  <conditionalFormatting sqref="CP4">
    <cfRule type="cellIs" dxfId="407" priority="1730" operator="equal">
      <formula>"x"</formula>
    </cfRule>
  </conditionalFormatting>
  <conditionalFormatting sqref="N11">
    <cfRule type="cellIs" dxfId="406" priority="1725" operator="equal">
      <formula>"x"</formula>
    </cfRule>
  </conditionalFormatting>
  <conditionalFormatting sqref="F32">
    <cfRule type="cellIs" dxfId="405" priority="1723" operator="equal">
      <formula>"x"</formula>
    </cfRule>
  </conditionalFormatting>
  <conditionalFormatting sqref="F33">
    <cfRule type="cellIs" dxfId="404" priority="1722" operator="equal">
      <formula>"x"</formula>
    </cfRule>
  </conditionalFormatting>
  <conditionalFormatting sqref="F34">
    <cfRule type="cellIs" dxfId="403" priority="1721" operator="equal">
      <formula>"x"</formula>
    </cfRule>
  </conditionalFormatting>
  <conditionalFormatting sqref="F35">
    <cfRule type="cellIs" dxfId="402" priority="1720" operator="equal">
      <formula>"x"</formula>
    </cfRule>
  </conditionalFormatting>
  <conditionalFormatting sqref="V28">
    <cfRule type="cellIs" dxfId="401" priority="590" operator="equal">
      <formula>"x"</formula>
    </cfRule>
  </conditionalFormatting>
  <conditionalFormatting sqref="T28">
    <cfRule type="cellIs" dxfId="400" priority="589" operator="equal">
      <formula>"x"</formula>
    </cfRule>
  </conditionalFormatting>
  <conditionalFormatting sqref="V35">
    <cfRule type="cellIs" dxfId="399" priority="587" operator="equal">
      <formula>"x"</formula>
    </cfRule>
  </conditionalFormatting>
  <conditionalFormatting sqref="T35">
    <cfRule type="cellIs" dxfId="398" priority="586" operator="equal">
      <formula>"x"</formula>
    </cfRule>
  </conditionalFormatting>
  <conditionalFormatting sqref="AD24">
    <cfRule type="cellIs" dxfId="397" priority="583" operator="equal">
      <formula>"x"</formula>
    </cfRule>
  </conditionalFormatting>
  <conditionalFormatting sqref="AB24">
    <cfRule type="cellIs" dxfId="396" priority="582" operator="equal">
      <formula>"x"</formula>
    </cfRule>
  </conditionalFormatting>
  <conditionalFormatting sqref="BZ30">
    <cfRule type="cellIs" dxfId="395" priority="567" operator="equal">
      <formula>"x"</formula>
    </cfRule>
  </conditionalFormatting>
  <conditionalFormatting sqref="BX30">
    <cfRule type="cellIs" dxfId="394" priority="566" operator="equal">
      <formula>"x"</formula>
    </cfRule>
  </conditionalFormatting>
  <conditionalFormatting sqref="BX30">
    <cfRule type="cellIs" dxfId="393" priority="565" operator="notEqual">
      <formula>"x"</formula>
    </cfRule>
  </conditionalFormatting>
  <conditionalFormatting sqref="BZ30">
    <cfRule type="cellIs" dxfId="392" priority="564" operator="notEqual">
      <formula>"x"</formula>
    </cfRule>
  </conditionalFormatting>
  <conditionalFormatting sqref="CB30">
    <cfRule type="cellIs" dxfId="391" priority="562" operator="notEqual">
      <formula>"x"</formula>
    </cfRule>
  </conditionalFormatting>
  <conditionalFormatting sqref="CP14">
    <cfRule type="cellIs" dxfId="390" priority="561" operator="equal">
      <formula>"x"</formula>
    </cfRule>
  </conditionalFormatting>
  <conditionalFormatting sqref="CN14">
    <cfRule type="cellIs" dxfId="389" priority="560" operator="equal">
      <formula>"x"</formula>
    </cfRule>
  </conditionalFormatting>
  <conditionalFormatting sqref="F10">
    <cfRule type="cellIs" dxfId="388" priority="539" operator="equal">
      <formula>"x"</formula>
    </cfRule>
  </conditionalFormatting>
  <conditionalFormatting sqref="D10">
    <cfRule type="cellIs" dxfId="387" priority="538" operator="equal">
      <formula>"x"</formula>
    </cfRule>
  </conditionalFormatting>
  <conditionalFormatting sqref="L10">
    <cfRule type="cellIs" dxfId="386" priority="534" operator="equal">
      <formula>"x"</formula>
    </cfRule>
  </conditionalFormatting>
  <conditionalFormatting sqref="N10">
    <cfRule type="cellIs" dxfId="385" priority="532" operator="equal">
      <formula>"x"</formula>
    </cfRule>
  </conditionalFormatting>
  <conditionalFormatting sqref="BH4">
    <cfRule type="cellIs" dxfId="384" priority="531" operator="equal">
      <formula>"x"</formula>
    </cfRule>
  </conditionalFormatting>
  <conditionalFormatting sqref="BJ4">
    <cfRule type="cellIs" dxfId="383" priority="530" operator="equal">
      <formula>"x"</formula>
    </cfRule>
  </conditionalFormatting>
  <conditionalFormatting sqref="F37">
    <cfRule type="cellIs" dxfId="382" priority="528" operator="equal">
      <formula>"x"</formula>
    </cfRule>
  </conditionalFormatting>
  <conditionalFormatting sqref="D37">
    <cfRule type="cellIs" dxfId="381" priority="527" operator="equal">
      <formula>"x"</formula>
    </cfRule>
  </conditionalFormatting>
  <conditionalFormatting sqref="D37">
    <cfRule type="cellIs" dxfId="380" priority="526" operator="notEqual">
      <formula>"x"</formula>
    </cfRule>
  </conditionalFormatting>
  <conditionalFormatting sqref="F37">
    <cfRule type="cellIs" dxfId="379" priority="525" operator="notEqual">
      <formula>"x"</formula>
    </cfRule>
  </conditionalFormatting>
  <conditionalFormatting sqref="H37">
    <cfRule type="cellIs" dxfId="378" priority="523" operator="notEqual">
      <formula>"x"</formula>
    </cfRule>
  </conditionalFormatting>
  <conditionalFormatting sqref="D39">
    <cfRule type="cellIs" dxfId="377" priority="522" operator="equal">
      <formula>"x"</formula>
    </cfRule>
  </conditionalFormatting>
  <conditionalFormatting sqref="F39">
    <cfRule type="cellIs" dxfId="376" priority="520" operator="equal">
      <formula>"x"</formula>
    </cfRule>
  </conditionalFormatting>
  <conditionalFormatting sqref="AL40">
    <cfRule type="cellIs" dxfId="375" priority="513" operator="equal">
      <formula>"x"</formula>
    </cfRule>
  </conditionalFormatting>
  <conditionalFormatting sqref="AJ40">
    <cfRule type="cellIs" dxfId="374" priority="512" operator="equal">
      <formula>"x"</formula>
    </cfRule>
  </conditionalFormatting>
  <conditionalFormatting sqref="AZ36">
    <cfRule type="cellIs" dxfId="373" priority="508" operator="notEqual">
      <formula>"x"</formula>
    </cfRule>
  </conditionalFormatting>
  <conditionalFormatting sqref="BD36">
    <cfRule type="cellIs" dxfId="372" priority="505" operator="notEqual">
      <formula>"x"</formula>
    </cfRule>
  </conditionalFormatting>
  <conditionalFormatting sqref="BB36">
    <cfRule type="cellIs" dxfId="371" priority="510" operator="equal">
      <formula>"x"</formula>
    </cfRule>
  </conditionalFormatting>
  <conditionalFormatting sqref="AZ36">
    <cfRule type="cellIs" dxfId="370" priority="509" operator="equal">
      <formula>"x"</formula>
    </cfRule>
  </conditionalFormatting>
  <conditionalFormatting sqref="BB36">
    <cfRule type="cellIs" dxfId="369" priority="507" operator="notEqual">
      <formula>"x"</formula>
    </cfRule>
  </conditionalFormatting>
  <conditionalFormatting sqref="AD31">
    <cfRule type="cellIs" dxfId="368" priority="503" operator="equal">
      <formula>"x"</formula>
    </cfRule>
  </conditionalFormatting>
  <conditionalFormatting sqref="AF31">
    <cfRule type="cellIs" dxfId="367" priority="502" operator="equal">
      <formula>"x"</formula>
    </cfRule>
  </conditionalFormatting>
  <conditionalFormatting sqref="AF31">
    <cfRule type="cellIs" dxfId="366" priority="501" operator="equal">
      <formula>"x"</formula>
    </cfRule>
  </conditionalFormatting>
  <conditionalFormatting sqref="F11">
    <cfRule type="cellIs" dxfId="365" priority="500" operator="equal">
      <formula>"x"</formula>
    </cfRule>
  </conditionalFormatting>
  <conditionalFormatting sqref="D11">
    <cfRule type="cellIs" dxfId="364" priority="499" operator="equal">
      <formula>"x"</formula>
    </cfRule>
  </conditionalFormatting>
  <conditionalFormatting sqref="H11">
    <cfRule type="cellIs" dxfId="363" priority="498" operator="equal">
      <formula>"x"</formula>
    </cfRule>
  </conditionalFormatting>
  <conditionalFormatting sqref="AD38">
    <cfRule type="cellIs" dxfId="362" priority="494" operator="equal">
      <formula>"x"</formula>
    </cfRule>
  </conditionalFormatting>
  <conditionalFormatting sqref="AB38">
    <cfRule type="cellIs" dxfId="361" priority="493" operator="equal">
      <formula>"x"</formula>
    </cfRule>
  </conditionalFormatting>
  <conditionalFormatting sqref="AF38">
    <cfRule type="cellIs" dxfId="360" priority="492" operator="equal">
      <formula>"x"</formula>
    </cfRule>
  </conditionalFormatting>
  <conditionalFormatting sqref="AF38">
    <cfRule type="cellIs" dxfId="359" priority="491" operator="equal">
      <formula>"x"</formula>
    </cfRule>
  </conditionalFormatting>
  <conditionalFormatting sqref="AT36">
    <cfRule type="cellIs" dxfId="358" priority="490" operator="equal">
      <formula>"x"</formula>
    </cfRule>
  </conditionalFormatting>
  <conditionalFormatting sqref="AR36">
    <cfRule type="cellIs" dxfId="357" priority="489" operator="equal">
      <formula>"x"</formula>
    </cfRule>
  </conditionalFormatting>
  <conditionalFormatting sqref="AR36">
    <cfRule type="cellIs" dxfId="356" priority="488" operator="notEqual">
      <formula>"x"</formula>
    </cfRule>
  </conditionalFormatting>
  <conditionalFormatting sqref="AT36">
    <cfRule type="cellIs" dxfId="355" priority="487" operator="notEqual">
      <formula>"x"</formula>
    </cfRule>
  </conditionalFormatting>
  <conditionalFormatting sqref="AV36">
    <cfRule type="cellIs" dxfId="354" priority="486" operator="equal">
      <formula>"x"</formula>
    </cfRule>
  </conditionalFormatting>
  <conditionalFormatting sqref="AV36">
    <cfRule type="cellIs" dxfId="353" priority="485" operator="notEqual">
      <formula>"x"</formula>
    </cfRule>
  </conditionalFormatting>
  <conditionalFormatting sqref="AV36">
    <cfRule type="cellIs" dxfId="352" priority="484" operator="equal">
      <formula>"x"</formula>
    </cfRule>
  </conditionalFormatting>
  <conditionalFormatting sqref="BD39">
    <cfRule type="cellIs" dxfId="351" priority="483" operator="equal">
      <formula>"x"</formula>
    </cfRule>
  </conditionalFormatting>
  <conditionalFormatting sqref="BB39">
    <cfRule type="cellIs" dxfId="350" priority="482" operator="equal">
      <formula>"x"</formula>
    </cfRule>
  </conditionalFormatting>
  <conditionalFormatting sqref="AZ39">
    <cfRule type="cellIs" dxfId="349" priority="481" operator="equal">
      <formula>"x"</formula>
    </cfRule>
  </conditionalFormatting>
  <conditionalFormatting sqref="BJ35">
    <cfRule type="cellIs" dxfId="348" priority="480" operator="equal">
      <formula>"x"</formula>
    </cfRule>
  </conditionalFormatting>
  <conditionalFormatting sqref="BH35">
    <cfRule type="cellIs" dxfId="347" priority="479" operator="equal">
      <formula>"x"</formula>
    </cfRule>
  </conditionalFormatting>
  <conditionalFormatting sqref="BL35">
    <cfRule type="cellIs" dxfId="346" priority="478" operator="equal">
      <formula>"x"</formula>
    </cfRule>
  </conditionalFormatting>
  <conditionalFormatting sqref="BR37">
    <cfRule type="cellIs" dxfId="345" priority="477" operator="equal">
      <formula>"x"</formula>
    </cfRule>
  </conditionalFormatting>
  <conditionalFormatting sqref="BP37">
    <cfRule type="cellIs" dxfId="344" priority="476" operator="equal">
      <formula>"x"</formula>
    </cfRule>
  </conditionalFormatting>
  <conditionalFormatting sqref="BP37">
    <cfRule type="cellIs" dxfId="343" priority="475" operator="notEqual">
      <formula>"x"</formula>
    </cfRule>
  </conditionalFormatting>
  <conditionalFormatting sqref="BR37">
    <cfRule type="cellIs" dxfId="342" priority="474" operator="notEqual">
      <formula>"x"</formula>
    </cfRule>
  </conditionalFormatting>
  <conditionalFormatting sqref="BT37">
    <cfRule type="cellIs" dxfId="341" priority="473" operator="equal">
      <formula>"x"</formula>
    </cfRule>
  </conditionalFormatting>
  <conditionalFormatting sqref="BT37">
    <cfRule type="cellIs" dxfId="340" priority="472" operator="notEqual">
      <formula>"x"</formula>
    </cfRule>
  </conditionalFormatting>
  <conditionalFormatting sqref="BT37">
    <cfRule type="cellIs" dxfId="339" priority="471" operator="equal">
      <formula>"x"</formula>
    </cfRule>
  </conditionalFormatting>
  <conditionalFormatting sqref="CP38">
    <cfRule type="cellIs" dxfId="338" priority="470" operator="equal">
      <formula>"x"</formula>
    </cfRule>
  </conditionalFormatting>
  <conditionalFormatting sqref="CN38">
    <cfRule type="cellIs" dxfId="337" priority="469" operator="equal">
      <formula>"x"</formula>
    </cfRule>
  </conditionalFormatting>
  <conditionalFormatting sqref="CR38">
    <cfRule type="cellIs" dxfId="336" priority="468" operator="equal">
      <formula>"x"</formula>
    </cfRule>
  </conditionalFormatting>
  <conditionalFormatting sqref="CR38">
    <cfRule type="cellIs" dxfId="335" priority="467" operator="equal">
      <formula>"x"</formula>
    </cfRule>
  </conditionalFormatting>
  <conditionalFormatting sqref="F8:F9">
    <cfRule type="cellIs" dxfId="334" priority="466" operator="equal">
      <formula>"x"</formula>
    </cfRule>
  </conditionalFormatting>
  <conditionalFormatting sqref="D8:D9">
    <cfRule type="cellIs" dxfId="333" priority="465" operator="equal">
      <formula>"x"</formula>
    </cfRule>
  </conditionalFormatting>
  <conditionalFormatting sqref="D8:D9">
    <cfRule type="cellIs" dxfId="332" priority="464" operator="notEqual">
      <formula>"x"</formula>
    </cfRule>
  </conditionalFormatting>
  <conditionalFormatting sqref="F8:F9">
    <cfRule type="cellIs" dxfId="331" priority="463" operator="notEqual">
      <formula>"x"</formula>
    </cfRule>
  </conditionalFormatting>
  <conditionalFormatting sqref="H8:H9">
    <cfRule type="cellIs" dxfId="330" priority="462" operator="equal">
      <formula>"x"</formula>
    </cfRule>
  </conditionalFormatting>
  <conditionalFormatting sqref="H8:H9">
    <cfRule type="cellIs" dxfId="329" priority="461" operator="notEqual">
      <formula>"x"</formula>
    </cfRule>
  </conditionalFormatting>
  <conditionalFormatting sqref="H40">
    <cfRule type="cellIs" dxfId="328" priority="460" operator="equal">
      <formula>"x"</formula>
    </cfRule>
  </conditionalFormatting>
  <conditionalFormatting sqref="D40">
    <cfRule type="cellIs" dxfId="327" priority="459" operator="equal">
      <formula>"x"</formula>
    </cfRule>
  </conditionalFormatting>
  <conditionalFormatting sqref="F40">
    <cfRule type="cellIs" dxfId="326" priority="458" operator="equal">
      <formula>"x"</formula>
    </cfRule>
  </conditionalFormatting>
  <conditionalFormatting sqref="N3:N5">
    <cfRule type="cellIs" dxfId="325" priority="457" operator="equal">
      <formula>"x"</formula>
    </cfRule>
  </conditionalFormatting>
  <conditionalFormatting sqref="L3:L5">
    <cfRule type="cellIs" dxfId="324" priority="456" operator="equal">
      <formula>"x"</formula>
    </cfRule>
  </conditionalFormatting>
  <conditionalFormatting sqref="P3:P5">
    <cfRule type="cellIs" dxfId="323" priority="455" operator="equal">
      <formula>"x"</formula>
    </cfRule>
  </conditionalFormatting>
  <conditionalFormatting sqref="N36:N37">
    <cfRule type="cellIs" dxfId="322" priority="454" operator="equal">
      <formula>"x"</formula>
    </cfRule>
  </conditionalFormatting>
  <conditionalFormatting sqref="L36:L37">
    <cfRule type="cellIs" dxfId="321" priority="453" operator="equal">
      <formula>"x"</formula>
    </cfRule>
  </conditionalFormatting>
  <conditionalFormatting sqref="L36:L37">
    <cfRule type="cellIs" dxfId="320" priority="452" operator="notEqual">
      <formula>"x"</formula>
    </cfRule>
  </conditionalFormatting>
  <conditionalFormatting sqref="N36:N37">
    <cfRule type="cellIs" dxfId="319" priority="451" operator="notEqual">
      <formula>"x"</formula>
    </cfRule>
  </conditionalFormatting>
  <conditionalFormatting sqref="P36:P37">
    <cfRule type="cellIs" dxfId="318" priority="450" operator="equal">
      <formula>"x"</formula>
    </cfRule>
  </conditionalFormatting>
  <conditionalFormatting sqref="P36:P37">
    <cfRule type="cellIs" dxfId="317" priority="449" operator="notEqual">
      <formula>"x"</formula>
    </cfRule>
  </conditionalFormatting>
  <conditionalFormatting sqref="N34:N35">
    <cfRule type="cellIs" dxfId="316" priority="448" operator="equal">
      <formula>"x"</formula>
    </cfRule>
  </conditionalFormatting>
  <conditionalFormatting sqref="L34:L35">
    <cfRule type="cellIs" dxfId="315" priority="447" operator="equal">
      <formula>"x"</formula>
    </cfRule>
  </conditionalFormatting>
  <conditionalFormatting sqref="P34:P35">
    <cfRule type="cellIs" dxfId="314" priority="446" operator="equal">
      <formula>"x"</formula>
    </cfRule>
  </conditionalFormatting>
  <conditionalFormatting sqref="N39:N40">
    <cfRule type="cellIs" dxfId="313" priority="445" operator="equal">
      <formula>"x"</formula>
    </cfRule>
  </conditionalFormatting>
  <conditionalFormatting sqref="L39:L40">
    <cfRule type="cellIs" dxfId="312" priority="444" operator="equal">
      <formula>"x"</formula>
    </cfRule>
  </conditionalFormatting>
  <conditionalFormatting sqref="P39:P40">
    <cfRule type="cellIs" dxfId="311" priority="443" operator="equal">
      <formula>"x"</formula>
    </cfRule>
  </conditionalFormatting>
  <conditionalFormatting sqref="N38">
    <cfRule type="cellIs" dxfId="310" priority="442" operator="equal">
      <formula>"x"</formula>
    </cfRule>
  </conditionalFormatting>
  <conditionalFormatting sqref="L38">
    <cfRule type="cellIs" dxfId="309" priority="441" operator="equal">
      <formula>"x"</formula>
    </cfRule>
  </conditionalFormatting>
  <conditionalFormatting sqref="P38">
    <cfRule type="cellIs" dxfId="308" priority="440" operator="equal">
      <formula>"x"</formula>
    </cfRule>
  </conditionalFormatting>
  <conditionalFormatting sqref="V5">
    <cfRule type="cellIs" dxfId="307" priority="439" operator="equal">
      <formula>"x"</formula>
    </cfRule>
  </conditionalFormatting>
  <conditionalFormatting sqref="T5">
    <cfRule type="cellIs" dxfId="306" priority="438" operator="equal">
      <formula>"x"</formula>
    </cfRule>
  </conditionalFormatting>
  <conditionalFormatting sqref="X5">
    <cfRule type="cellIs" dxfId="305" priority="437" operator="equal">
      <formula>"x"</formula>
    </cfRule>
  </conditionalFormatting>
  <conditionalFormatting sqref="V4">
    <cfRule type="cellIs" dxfId="304" priority="436" operator="equal">
      <formula>"x"</formula>
    </cfRule>
  </conditionalFormatting>
  <conditionalFormatting sqref="T4">
    <cfRule type="cellIs" dxfId="303" priority="435" operator="equal">
      <formula>"x"</formula>
    </cfRule>
  </conditionalFormatting>
  <conditionalFormatting sqref="X4">
    <cfRule type="cellIs" dxfId="302" priority="434" operator="equal">
      <formula>"x"</formula>
    </cfRule>
  </conditionalFormatting>
  <conditionalFormatting sqref="V3">
    <cfRule type="cellIs" dxfId="301" priority="433" operator="equal">
      <formula>"x"</formula>
    </cfRule>
  </conditionalFormatting>
  <conditionalFormatting sqref="T3">
    <cfRule type="cellIs" dxfId="300" priority="432" operator="equal">
      <formula>"x"</formula>
    </cfRule>
  </conditionalFormatting>
  <conditionalFormatting sqref="X3">
    <cfRule type="cellIs" dxfId="299" priority="431" operator="equal">
      <formula>"x"</formula>
    </cfRule>
  </conditionalFormatting>
  <conditionalFormatting sqref="V39">
    <cfRule type="cellIs" dxfId="298" priority="430" operator="equal">
      <formula>"x"</formula>
    </cfRule>
  </conditionalFormatting>
  <conditionalFormatting sqref="T39">
    <cfRule type="cellIs" dxfId="297" priority="429" operator="equal">
      <formula>"x"</formula>
    </cfRule>
  </conditionalFormatting>
  <conditionalFormatting sqref="X39">
    <cfRule type="cellIs" dxfId="296" priority="428" operator="equal">
      <formula>"x"</formula>
    </cfRule>
  </conditionalFormatting>
  <conditionalFormatting sqref="V40">
    <cfRule type="cellIs" dxfId="295" priority="427" operator="equal">
      <formula>"x"</formula>
    </cfRule>
  </conditionalFormatting>
  <conditionalFormatting sqref="T40">
    <cfRule type="cellIs" dxfId="294" priority="426" operator="equal">
      <formula>"x"</formula>
    </cfRule>
  </conditionalFormatting>
  <conditionalFormatting sqref="X40">
    <cfRule type="cellIs" dxfId="293" priority="425" operator="equal">
      <formula>"x"</formula>
    </cfRule>
  </conditionalFormatting>
  <conditionalFormatting sqref="X38">
    <cfRule type="cellIs" dxfId="292" priority="421" operator="equal">
      <formula>"x"</formula>
    </cfRule>
  </conditionalFormatting>
  <conditionalFormatting sqref="V38">
    <cfRule type="cellIs" dxfId="291" priority="420" operator="equal">
      <formula>"x"</formula>
    </cfRule>
  </conditionalFormatting>
  <conditionalFormatting sqref="T38">
    <cfRule type="cellIs" dxfId="290" priority="419" operator="equal">
      <formula>"x"</formula>
    </cfRule>
  </conditionalFormatting>
  <conditionalFormatting sqref="AD8">
    <cfRule type="cellIs" dxfId="289" priority="418" operator="equal">
      <formula>"x"</formula>
    </cfRule>
  </conditionalFormatting>
  <conditionalFormatting sqref="AB8">
    <cfRule type="cellIs" dxfId="288" priority="417" operator="equal">
      <formula>"x"</formula>
    </cfRule>
  </conditionalFormatting>
  <conditionalFormatting sqref="AB8">
    <cfRule type="cellIs" dxfId="287" priority="416" operator="notEqual">
      <formula>"x"</formula>
    </cfRule>
  </conditionalFormatting>
  <conditionalFormatting sqref="AD8">
    <cfRule type="cellIs" dxfId="286" priority="415" operator="notEqual">
      <formula>"x"</formula>
    </cfRule>
  </conditionalFormatting>
  <conditionalFormatting sqref="AF8">
    <cfRule type="cellIs" dxfId="285" priority="414" operator="equal">
      <formula>"x"</formula>
    </cfRule>
  </conditionalFormatting>
  <conditionalFormatting sqref="AB36">
    <cfRule type="cellIs" dxfId="284" priority="410" operator="notEqual">
      <formula>"x"</formula>
    </cfRule>
  </conditionalFormatting>
  <conditionalFormatting sqref="AF36">
    <cfRule type="cellIs" dxfId="283" priority="408" operator="notEqual">
      <formula>"x"</formula>
    </cfRule>
  </conditionalFormatting>
  <conditionalFormatting sqref="AF36">
    <cfRule type="cellIs" dxfId="282" priority="413" operator="equal">
      <formula>"x"</formula>
    </cfRule>
  </conditionalFormatting>
  <conditionalFormatting sqref="AD36">
    <cfRule type="cellIs" dxfId="281" priority="412" operator="equal">
      <formula>"x"</formula>
    </cfRule>
  </conditionalFormatting>
  <conditionalFormatting sqref="AB36">
    <cfRule type="cellIs" dxfId="280" priority="411" operator="equal">
      <formula>"x"</formula>
    </cfRule>
  </conditionalFormatting>
  <conditionalFormatting sqref="AD36">
    <cfRule type="cellIs" dxfId="279" priority="409" operator="notEqual">
      <formula>"x"</formula>
    </cfRule>
  </conditionalFormatting>
  <conditionalFormatting sqref="AL3:AL7">
    <cfRule type="cellIs" dxfId="278" priority="399" operator="equal">
      <formula>"x"</formula>
    </cfRule>
  </conditionalFormatting>
  <conditionalFormatting sqref="AJ3:AJ7">
    <cfRule type="cellIs" dxfId="277" priority="398" operator="equal">
      <formula>"x"</formula>
    </cfRule>
  </conditionalFormatting>
  <conditionalFormatting sqref="AN3:AN7">
    <cfRule type="cellIs" dxfId="276" priority="397" operator="equal">
      <formula>"x"</formula>
    </cfRule>
  </conditionalFormatting>
  <conditionalFormatting sqref="AN3:AN7">
    <cfRule type="cellIs" dxfId="275" priority="396" operator="equal">
      <formula>"x"</formula>
    </cfRule>
  </conditionalFormatting>
  <conditionalFormatting sqref="AL8">
    <cfRule type="cellIs" dxfId="274" priority="395" operator="equal">
      <formula>"x"</formula>
    </cfRule>
  </conditionalFormatting>
  <conditionalFormatting sqref="AJ8">
    <cfRule type="cellIs" dxfId="273" priority="394" operator="equal">
      <formula>"x"</formula>
    </cfRule>
  </conditionalFormatting>
  <conditionalFormatting sqref="AJ8">
    <cfRule type="cellIs" dxfId="272" priority="393" operator="notEqual">
      <formula>"x"</formula>
    </cfRule>
  </conditionalFormatting>
  <conditionalFormatting sqref="AL8">
    <cfRule type="cellIs" dxfId="271" priority="392" operator="notEqual">
      <formula>"x"</formula>
    </cfRule>
  </conditionalFormatting>
  <conditionalFormatting sqref="AN8">
    <cfRule type="cellIs" dxfId="270" priority="391" operator="equal">
      <formula>"x"</formula>
    </cfRule>
  </conditionalFormatting>
  <conditionalFormatting sqref="AN8">
    <cfRule type="cellIs" dxfId="269" priority="390" operator="notEqual">
      <formula>"x"</formula>
    </cfRule>
  </conditionalFormatting>
  <conditionalFormatting sqref="AN8">
    <cfRule type="cellIs" dxfId="268" priority="389" operator="equal">
      <formula>"x"</formula>
    </cfRule>
  </conditionalFormatting>
  <conditionalFormatting sqref="AL9">
    <cfRule type="cellIs" dxfId="267" priority="388" operator="equal">
      <formula>"x"</formula>
    </cfRule>
  </conditionalFormatting>
  <conditionalFormatting sqref="AJ9">
    <cfRule type="cellIs" dxfId="266" priority="387" operator="equal">
      <formula>"x"</formula>
    </cfRule>
  </conditionalFormatting>
  <conditionalFormatting sqref="AJ9">
    <cfRule type="cellIs" dxfId="265" priority="386" operator="notEqual">
      <formula>"x"</formula>
    </cfRule>
  </conditionalFormatting>
  <conditionalFormatting sqref="AL9">
    <cfRule type="cellIs" dxfId="264" priority="385" operator="notEqual">
      <formula>"x"</formula>
    </cfRule>
  </conditionalFormatting>
  <conditionalFormatting sqref="AN9">
    <cfRule type="cellIs" dxfId="263" priority="384" operator="equal">
      <formula>"x"</formula>
    </cfRule>
  </conditionalFormatting>
  <conditionalFormatting sqref="AN9">
    <cfRule type="cellIs" dxfId="262" priority="383" operator="notEqual">
      <formula>"x"</formula>
    </cfRule>
  </conditionalFormatting>
  <conditionalFormatting sqref="AN9">
    <cfRule type="cellIs" dxfId="261" priority="382" operator="equal">
      <formula>"x"</formula>
    </cfRule>
  </conditionalFormatting>
  <conditionalFormatting sqref="AT37">
    <cfRule type="cellIs" dxfId="260" priority="381" operator="equal">
      <formula>"x"</formula>
    </cfRule>
  </conditionalFormatting>
  <conditionalFormatting sqref="AR37">
    <cfRule type="cellIs" dxfId="259" priority="380" operator="equal">
      <formula>"x"</formula>
    </cfRule>
  </conditionalFormatting>
  <conditionalFormatting sqref="AR37">
    <cfRule type="cellIs" dxfId="258" priority="379" operator="notEqual">
      <formula>"x"</formula>
    </cfRule>
  </conditionalFormatting>
  <conditionalFormatting sqref="AT37">
    <cfRule type="cellIs" dxfId="257" priority="378" operator="notEqual">
      <formula>"x"</formula>
    </cfRule>
  </conditionalFormatting>
  <conditionalFormatting sqref="AV37">
    <cfRule type="cellIs" dxfId="256" priority="377" operator="equal">
      <formula>"x"</formula>
    </cfRule>
  </conditionalFormatting>
  <conditionalFormatting sqref="AV37">
    <cfRule type="cellIs" dxfId="255" priority="376" operator="notEqual">
      <formula>"x"</formula>
    </cfRule>
  </conditionalFormatting>
  <conditionalFormatting sqref="AV37">
    <cfRule type="cellIs" dxfId="254" priority="375" operator="equal">
      <formula>"x"</formula>
    </cfRule>
  </conditionalFormatting>
  <conditionalFormatting sqref="BB8">
    <cfRule type="cellIs" dxfId="253" priority="374" operator="equal">
      <formula>"x"</formula>
    </cfRule>
  </conditionalFormatting>
  <conditionalFormatting sqref="AZ8">
    <cfRule type="cellIs" dxfId="252" priority="373" operator="equal">
      <formula>"x"</formula>
    </cfRule>
  </conditionalFormatting>
  <conditionalFormatting sqref="AZ8">
    <cfRule type="cellIs" dxfId="251" priority="372" operator="notEqual">
      <formula>"x"</formula>
    </cfRule>
  </conditionalFormatting>
  <conditionalFormatting sqref="BB8">
    <cfRule type="cellIs" dxfId="250" priority="371" operator="notEqual">
      <formula>"x"</formula>
    </cfRule>
  </conditionalFormatting>
  <conditionalFormatting sqref="BD8">
    <cfRule type="cellIs" dxfId="249" priority="370" operator="equal">
      <formula>"x"</formula>
    </cfRule>
  </conditionalFormatting>
  <conditionalFormatting sqref="BD8">
    <cfRule type="cellIs" dxfId="248" priority="369" operator="notEqual">
      <formula>"x"</formula>
    </cfRule>
  </conditionalFormatting>
  <conditionalFormatting sqref="BD8">
    <cfRule type="cellIs" dxfId="247" priority="368" operator="equal">
      <formula>"x"</formula>
    </cfRule>
  </conditionalFormatting>
  <conditionalFormatting sqref="BJ36">
    <cfRule type="cellIs" dxfId="246" priority="367" operator="equal">
      <formula>"x"</formula>
    </cfRule>
  </conditionalFormatting>
  <conditionalFormatting sqref="BH36">
    <cfRule type="cellIs" dxfId="245" priority="366" operator="equal">
      <formula>"x"</formula>
    </cfRule>
  </conditionalFormatting>
  <conditionalFormatting sqref="BH36">
    <cfRule type="cellIs" dxfId="244" priority="365" operator="notEqual">
      <formula>"x"</formula>
    </cfRule>
  </conditionalFormatting>
  <conditionalFormatting sqref="BJ36">
    <cfRule type="cellIs" dxfId="243" priority="364" operator="notEqual">
      <formula>"x"</formula>
    </cfRule>
  </conditionalFormatting>
  <conditionalFormatting sqref="BL36">
    <cfRule type="cellIs" dxfId="242" priority="363" operator="equal">
      <formula>"x"</formula>
    </cfRule>
  </conditionalFormatting>
  <conditionalFormatting sqref="BL36">
    <cfRule type="cellIs" dxfId="241" priority="362" operator="notEqual">
      <formula>"x"</formula>
    </cfRule>
  </conditionalFormatting>
  <conditionalFormatting sqref="BL36">
    <cfRule type="cellIs" dxfId="240" priority="361" operator="equal">
      <formula>"x"</formula>
    </cfRule>
  </conditionalFormatting>
  <conditionalFormatting sqref="BJ37">
    <cfRule type="cellIs" dxfId="239" priority="360" operator="equal">
      <formula>"x"</formula>
    </cfRule>
  </conditionalFormatting>
  <conditionalFormatting sqref="BH37">
    <cfRule type="cellIs" dxfId="238" priority="359" operator="equal">
      <formula>"x"</formula>
    </cfRule>
  </conditionalFormatting>
  <conditionalFormatting sqref="BH37">
    <cfRule type="cellIs" dxfId="237" priority="358" operator="notEqual">
      <formula>"x"</formula>
    </cfRule>
  </conditionalFormatting>
  <conditionalFormatting sqref="BJ37">
    <cfRule type="cellIs" dxfId="236" priority="357" operator="notEqual">
      <formula>"x"</formula>
    </cfRule>
  </conditionalFormatting>
  <conditionalFormatting sqref="BL37">
    <cfRule type="cellIs" dxfId="235" priority="356" operator="equal">
      <formula>"x"</formula>
    </cfRule>
  </conditionalFormatting>
  <conditionalFormatting sqref="BL37">
    <cfRule type="cellIs" dxfId="234" priority="355" operator="notEqual">
      <formula>"x"</formula>
    </cfRule>
  </conditionalFormatting>
  <conditionalFormatting sqref="BL37">
    <cfRule type="cellIs" dxfId="233" priority="354" operator="equal">
      <formula>"x"</formula>
    </cfRule>
  </conditionalFormatting>
  <conditionalFormatting sqref="BR22:BR23">
    <cfRule type="cellIs" dxfId="232" priority="353" operator="equal">
      <formula>"x"</formula>
    </cfRule>
  </conditionalFormatting>
  <conditionalFormatting sqref="BP22:BP23">
    <cfRule type="cellIs" dxfId="231" priority="352" operator="equal">
      <formula>"x"</formula>
    </cfRule>
  </conditionalFormatting>
  <conditionalFormatting sqref="BP22:BP23">
    <cfRule type="cellIs" dxfId="230" priority="351" operator="notEqual">
      <formula>"x"</formula>
    </cfRule>
  </conditionalFormatting>
  <conditionalFormatting sqref="BR22:BR23">
    <cfRule type="cellIs" dxfId="229" priority="350" operator="notEqual">
      <formula>"x"</formula>
    </cfRule>
  </conditionalFormatting>
  <conditionalFormatting sqref="BT22:BT23">
    <cfRule type="cellIs" dxfId="228" priority="349" operator="equal">
      <formula>"x"</formula>
    </cfRule>
  </conditionalFormatting>
  <conditionalFormatting sqref="BT22:BT23">
    <cfRule type="cellIs" dxfId="227" priority="348" operator="notEqual">
      <formula>"x"</formula>
    </cfRule>
  </conditionalFormatting>
  <conditionalFormatting sqref="BT22:BT23">
    <cfRule type="cellIs" dxfId="226" priority="347" operator="equal">
      <formula>"x"</formula>
    </cfRule>
  </conditionalFormatting>
  <conditionalFormatting sqref="BZ8:BZ9">
    <cfRule type="cellIs" dxfId="225" priority="346" operator="equal">
      <formula>"x"</formula>
    </cfRule>
  </conditionalFormatting>
  <conditionalFormatting sqref="BX8:BX9">
    <cfRule type="cellIs" dxfId="224" priority="345" operator="equal">
      <formula>"x"</formula>
    </cfRule>
  </conditionalFormatting>
  <conditionalFormatting sqref="BX8:BX9">
    <cfRule type="cellIs" dxfId="223" priority="344" operator="notEqual">
      <formula>"x"</formula>
    </cfRule>
  </conditionalFormatting>
  <conditionalFormatting sqref="BZ8:BZ9">
    <cfRule type="cellIs" dxfId="222" priority="343" operator="notEqual">
      <formula>"x"</formula>
    </cfRule>
  </conditionalFormatting>
  <conditionalFormatting sqref="CB8:CB9">
    <cfRule type="cellIs" dxfId="221" priority="342" operator="equal">
      <formula>"x"</formula>
    </cfRule>
  </conditionalFormatting>
  <conditionalFormatting sqref="CB8:CB9">
    <cfRule type="cellIs" dxfId="220" priority="341" operator="notEqual">
      <formula>"x"</formula>
    </cfRule>
  </conditionalFormatting>
  <conditionalFormatting sqref="CB8:CB9">
    <cfRule type="cellIs" dxfId="219" priority="340" operator="equal">
      <formula>"x"</formula>
    </cfRule>
  </conditionalFormatting>
  <conditionalFormatting sqref="CH36:CH37">
    <cfRule type="cellIs" dxfId="218" priority="339" operator="equal">
      <formula>"x"</formula>
    </cfRule>
  </conditionalFormatting>
  <conditionalFormatting sqref="CF36:CF37">
    <cfRule type="cellIs" dxfId="217" priority="338" operator="equal">
      <formula>"x"</formula>
    </cfRule>
  </conditionalFormatting>
  <conditionalFormatting sqref="CF36:CF37">
    <cfRule type="cellIs" dxfId="216" priority="337" operator="notEqual">
      <formula>"x"</formula>
    </cfRule>
  </conditionalFormatting>
  <conditionalFormatting sqref="CH36:CH37">
    <cfRule type="cellIs" dxfId="215" priority="336" operator="notEqual">
      <formula>"x"</formula>
    </cfRule>
  </conditionalFormatting>
  <conditionalFormatting sqref="CJ36:CJ37">
    <cfRule type="cellIs" dxfId="214" priority="335" operator="equal">
      <formula>"x"</formula>
    </cfRule>
  </conditionalFormatting>
  <conditionalFormatting sqref="CJ36:CJ37">
    <cfRule type="cellIs" dxfId="213" priority="334" operator="notEqual">
      <formula>"x"</formula>
    </cfRule>
  </conditionalFormatting>
  <conditionalFormatting sqref="CJ36:CJ37">
    <cfRule type="cellIs" dxfId="212" priority="333" operator="equal">
      <formula>"x"</formula>
    </cfRule>
  </conditionalFormatting>
  <conditionalFormatting sqref="CH15">
    <cfRule type="cellIs" dxfId="211" priority="332" operator="equal">
      <formula>"x"</formula>
    </cfRule>
  </conditionalFormatting>
  <conditionalFormatting sqref="CF15">
    <cfRule type="cellIs" dxfId="210" priority="331" operator="equal">
      <formula>"x"</formula>
    </cfRule>
  </conditionalFormatting>
  <conditionalFormatting sqref="CF15">
    <cfRule type="cellIs" dxfId="209" priority="330" operator="notEqual">
      <formula>"x"</formula>
    </cfRule>
  </conditionalFormatting>
  <conditionalFormatting sqref="CH15">
    <cfRule type="cellIs" dxfId="208" priority="329" operator="notEqual">
      <formula>"x"</formula>
    </cfRule>
  </conditionalFormatting>
  <conditionalFormatting sqref="CJ15">
    <cfRule type="cellIs" dxfId="207" priority="328" operator="equal">
      <formula>"x"</formula>
    </cfRule>
  </conditionalFormatting>
  <conditionalFormatting sqref="CJ15">
    <cfRule type="cellIs" dxfId="206" priority="327" operator="notEqual">
      <formula>"x"</formula>
    </cfRule>
  </conditionalFormatting>
  <conditionalFormatting sqref="CJ15">
    <cfRule type="cellIs" dxfId="205" priority="326" operator="equal">
      <formula>"x"</formula>
    </cfRule>
  </conditionalFormatting>
  <conditionalFormatting sqref="CP22">
    <cfRule type="cellIs" dxfId="204" priority="311" operator="equal">
      <formula>"x"</formula>
    </cfRule>
  </conditionalFormatting>
  <conditionalFormatting sqref="CN22">
    <cfRule type="cellIs" dxfId="203" priority="310" operator="equal">
      <formula>"x"</formula>
    </cfRule>
  </conditionalFormatting>
  <conditionalFormatting sqref="CN22">
    <cfRule type="cellIs" dxfId="202" priority="309" operator="notEqual">
      <formula>"x"</formula>
    </cfRule>
  </conditionalFormatting>
  <conditionalFormatting sqref="CP22">
    <cfRule type="cellIs" dxfId="201" priority="308" operator="notEqual">
      <formula>"x"</formula>
    </cfRule>
  </conditionalFormatting>
  <conditionalFormatting sqref="CR22">
    <cfRule type="cellIs" dxfId="200" priority="307" operator="equal">
      <formula>"x"</formula>
    </cfRule>
  </conditionalFormatting>
  <conditionalFormatting sqref="CR22">
    <cfRule type="cellIs" dxfId="199" priority="306" operator="notEqual">
      <formula>"x"</formula>
    </cfRule>
  </conditionalFormatting>
  <conditionalFormatting sqref="CR22">
    <cfRule type="cellIs" dxfId="198" priority="305" operator="equal">
      <formula>"x"</formula>
    </cfRule>
  </conditionalFormatting>
  <conditionalFormatting sqref="AD3:AD7">
    <cfRule type="cellIs" dxfId="197" priority="304" operator="equal">
      <formula>"x"</formula>
    </cfRule>
  </conditionalFormatting>
  <conditionalFormatting sqref="AB3:AB7">
    <cfRule type="cellIs" dxfId="196" priority="303" operator="equal">
      <formula>"x"</formula>
    </cfRule>
  </conditionalFormatting>
  <conditionalFormatting sqref="AF3:AF7">
    <cfRule type="cellIs" dxfId="195" priority="302" operator="equal">
      <formula>"x"</formula>
    </cfRule>
  </conditionalFormatting>
  <conditionalFormatting sqref="AF3:AF7">
    <cfRule type="cellIs" dxfId="194" priority="301" operator="equal">
      <formula>"x"</formula>
    </cfRule>
  </conditionalFormatting>
  <conditionalFormatting sqref="AD39:AD40">
    <cfRule type="cellIs" dxfId="193" priority="300" operator="equal">
      <formula>"x"</formula>
    </cfRule>
  </conditionalFormatting>
  <conditionalFormatting sqref="AB39:AB40">
    <cfRule type="cellIs" dxfId="192" priority="299" operator="equal">
      <formula>"x"</formula>
    </cfRule>
  </conditionalFormatting>
  <conditionalFormatting sqref="AF39:AF40">
    <cfRule type="cellIs" dxfId="191" priority="298" operator="equal">
      <formula>"x"</formula>
    </cfRule>
  </conditionalFormatting>
  <conditionalFormatting sqref="AF39:AF40">
    <cfRule type="cellIs" dxfId="190" priority="297" operator="equal">
      <formula>"x"</formula>
    </cfRule>
  </conditionalFormatting>
  <conditionalFormatting sqref="K3 AI6:AI41 AQ3:AQ41 AY3:AY41 BG3:BG41 BO3:BO41 BW3:BW41 CE3:CE41 CM3:CM41">
    <cfRule type="expression" dxfId="189" priority="285">
      <formula>OR($A3="Sa",$A3="So")</formula>
    </cfRule>
    <cfRule type="expression" dxfId="188" priority="286">
      <formula>AND(J3&gt;0,INDIRECT("Basistabelle!G" &amp; ($A$1+K$1+J3))&lt;="",INDIRECT("Basistabelle!H" &amp; ($A$1+K$1+J3))&gt;"")</formula>
    </cfRule>
  </conditionalFormatting>
  <conditionalFormatting sqref="K3 AI6:AI41 AQ3:AQ41 AY3:AY41 BG3:BG41 BO3:BO41 BW3:BW41 CE3:CE41 CM3:CM41">
    <cfRule type="expression" dxfId="187" priority="284">
      <formula>AND(J3&gt;0,INDIRECT("Basistabelle!G" &amp; ($A$1+K$1+J3))&lt;="",INDIRECT("Basistabelle!H" &amp; ($A$1+K$1+J3))&lt;="",$A3="Mo")</formula>
    </cfRule>
  </conditionalFormatting>
  <conditionalFormatting sqref="K4:K41">
    <cfRule type="expression" dxfId="186" priority="282">
      <formula>OR($A4="Sa",$A4="So")</formula>
    </cfRule>
    <cfRule type="expression" dxfId="185" priority="283">
      <formula>AND(J4&gt;0,INDIRECT("Basistabelle!G" &amp; ($A$1+K$1+J4))&lt;="",INDIRECT("Basistabelle!H" &amp; ($A$1+K$1+J4))&gt;"")</formula>
    </cfRule>
  </conditionalFormatting>
  <conditionalFormatting sqref="K4:K41">
    <cfRule type="expression" dxfId="184" priority="281">
      <formula>AND(J4&gt;0,INDIRECT("Basistabelle!G" &amp; ($A$1+K$1+J4))&lt;="",INDIRECT("Basistabelle!H" &amp; ($A$1+K$1+J4))&lt;="",$A4="Mo")</formula>
    </cfRule>
  </conditionalFormatting>
  <conditionalFormatting sqref="C3:C40">
    <cfRule type="expression" dxfId="183" priority="279">
      <formula>OR($A3="Sa",$A3="So")</formula>
    </cfRule>
    <cfRule type="expression" dxfId="182" priority="280">
      <formula>AND(B3&gt;0,INDIRECT("Basistabelle!G" &amp; ($A$1+C$1+B3))&lt;="",INDIRECT("Basistabelle!H" &amp; ($A$1+C$1+B3))&gt;"")</formula>
    </cfRule>
  </conditionalFormatting>
  <conditionalFormatting sqref="C3:C40">
    <cfRule type="expression" dxfId="181" priority="278">
      <formula>AND(B3&gt;0,INDIRECT("Basistabelle!G" &amp; ($A$1+C$1+B3))&lt;="",INDIRECT("Basistabelle!H" &amp; ($A$1+C$1+B3))&lt;="",$A3="Mo")</formula>
    </cfRule>
  </conditionalFormatting>
  <conditionalFormatting sqref="F17">
    <cfRule type="cellIs" dxfId="180" priority="277" operator="equal">
      <formula>"x"</formula>
    </cfRule>
  </conditionalFormatting>
  <conditionalFormatting sqref="D17">
    <cfRule type="cellIs" dxfId="179" priority="276" operator="equal">
      <formula>"x"</formula>
    </cfRule>
  </conditionalFormatting>
  <conditionalFormatting sqref="H17">
    <cfRule type="cellIs" dxfId="178" priority="275" operator="equal">
      <formula>"x"</formula>
    </cfRule>
  </conditionalFormatting>
  <conditionalFormatting sqref="F24">
    <cfRule type="cellIs" dxfId="177" priority="274" operator="equal">
      <formula>"x"</formula>
    </cfRule>
  </conditionalFormatting>
  <conditionalFormatting sqref="D24">
    <cfRule type="cellIs" dxfId="176" priority="273" operator="equal">
      <formula>"x"</formula>
    </cfRule>
  </conditionalFormatting>
  <conditionalFormatting sqref="H24">
    <cfRule type="cellIs" dxfId="175" priority="272" operator="equal">
      <formula>"x"</formula>
    </cfRule>
  </conditionalFormatting>
  <conditionalFormatting sqref="F31">
    <cfRule type="cellIs" dxfId="174" priority="271" operator="equal">
      <formula>"x"</formula>
    </cfRule>
  </conditionalFormatting>
  <conditionalFormatting sqref="D31">
    <cfRule type="cellIs" dxfId="173" priority="270" operator="equal">
      <formula>"x"</formula>
    </cfRule>
  </conditionalFormatting>
  <conditionalFormatting sqref="H31">
    <cfRule type="cellIs" dxfId="172" priority="269" operator="equal">
      <formula>"x"</formula>
    </cfRule>
  </conditionalFormatting>
  <conditionalFormatting sqref="F38">
    <cfRule type="cellIs" dxfId="171" priority="268" operator="equal">
      <formula>"x"</formula>
    </cfRule>
  </conditionalFormatting>
  <conditionalFormatting sqref="D38">
    <cfRule type="cellIs" dxfId="170" priority="267" operator="equal">
      <formula>"x"</formula>
    </cfRule>
  </conditionalFormatting>
  <conditionalFormatting sqref="H38">
    <cfRule type="cellIs" dxfId="169" priority="266" operator="equal">
      <formula>"x"</formula>
    </cfRule>
  </conditionalFormatting>
  <conditionalFormatting sqref="C41">
    <cfRule type="expression" dxfId="168" priority="264">
      <formula>OR($A41="Sa",$A41="So")</formula>
    </cfRule>
    <cfRule type="expression" dxfId="167" priority="265">
      <formula>AND(B41&gt;0,INDIRECT("Basistabelle!G" &amp; ($A$1+C$1+B41))&lt;="",INDIRECT("Basistabelle!H" &amp; ($A$1+C$1+B41))&gt;"")</formula>
    </cfRule>
  </conditionalFormatting>
  <conditionalFormatting sqref="C41">
    <cfRule type="expression" dxfId="166" priority="263">
      <formula>AND(B41&gt;0,INDIRECT("Basistabelle!G" &amp; ($A$1+C$1+B41))&lt;="",INDIRECT("Basistabelle!H" &amp; ($A$1+C$1+B41))&lt;="",$A41="Mo")</formula>
    </cfRule>
  </conditionalFormatting>
  <conditionalFormatting sqref="N17">
    <cfRule type="cellIs" dxfId="165" priority="262" operator="equal">
      <formula>"x"</formula>
    </cfRule>
  </conditionalFormatting>
  <conditionalFormatting sqref="L17">
    <cfRule type="cellIs" dxfId="164" priority="261" operator="equal">
      <formula>"x"</formula>
    </cfRule>
  </conditionalFormatting>
  <conditionalFormatting sqref="P17">
    <cfRule type="cellIs" dxfId="163" priority="260" operator="equal">
      <formula>"x"</formula>
    </cfRule>
  </conditionalFormatting>
  <conditionalFormatting sqref="N24">
    <cfRule type="cellIs" dxfId="162" priority="259" operator="equal">
      <formula>"x"</formula>
    </cfRule>
  </conditionalFormatting>
  <conditionalFormatting sqref="L24">
    <cfRule type="cellIs" dxfId="161" priority="258" operator="equal">
      <formula>"x"</formula>
    </cfRule>
  </conditionalFormatting>
  <conditionalFormatting sqref="P24">
    <cfRule type="cellIs" dxfId="160" priority="257" operator="equal">
      <formula>"x"</formula>
    </cfRule>
  </conditionalFormatting>
  <conditionalFormatting sqref="N31">
    <cfRule type="cellIs" dxfId="159" priority="256" operator="equal">
      <formula>"x"</formula>
    </cfRule>
  </conditionalFormatting>
  <conditionalFormatting sqref="L31">
    <cfRule type="cellIs" dxfId="158" priority="255" operator="equal">
      <formula>"x"</formula>
    </cfRule>
  </conditionalFormatting>
  <conditionalFormatting sqref="P31">
    <cfRule type="cellIs" dxfId="157" priority="254" operator="equal">
      <formula>"x"</formula>
    </cfRule>
  </conditionalFormatting>
  <conditionalFormatting sqref="X10">
    <cfRule type="cellIs" dxfId="156" priority="253" operator="equal">
      <formula>"x"</formula>
    </cfRule>
  </conditionalFormatting>
  <conditionalFormatting sqref="V10">
    <cfRule type="cellIs" dxfId="155" priority="252" operator="equal">
      <formula>"x"</formula>
    </cfRule>
  </conditionalFormatting>
  <conditionalFormatting sqref="T10">
    <cfRule type="cellIs" dxfId="154" priority="251" operator="equal">
      <formula>"x"</formula>
    </cfRule>
  </conditionalFormatting>
  <conditionalFormatting sqref="X9">
    <cfRule type="cellIs" dxfId="153" priority="250" operator="equal">
      <formula>"x"</formula>
    </cfRule>
  </conditionalFormatting>
  <conditionalFormatting sqref="V9">
    <cfRule type="cellIs" dxfId="152" priority="249" operator="equal">
      <formula>"x"</formula>
    </cfRule>
  </conditionalFormatting>
  <conditionalFormatting sqref="T9">
    <cfRule type="cellIs" dxfId="151" priority="248" operator="equal">
      <formula>"x"</formula>
    </cfRule>
  </conditionalFormatting>
  <conditionalFormatting sqref="T9">
    <cfRule type="cellIs" dxfId="150" priority="247" operator="notEqual">
      <formula>"x"</formula>
    </cfRule>
  </conditionalFormatting>
  <conditionalFormatting sqref="V9">
    <cfRule type="cellIs" dxfId="149" priority="246" operator="notEqual">
      <formula>"x"</formula>
    </cfRule>
  </conditionalFormatting>
  <conditionalFormatting sqref="X9">
    <cfRule type="cellIs" dxfId="148" priority="245" operator="notEqual">
      <formula>"x"</formula>
    </cfRule>
  </conditionalFormatting>
  <conditionalFormatting sqref="V17">
    <cfRule type="cellIs" dxfId="147" priority="244" operator="equal">
      <formula>"x"</formula>
    </cfRule>
  </conditionalFormatting>
  <conditionalFormatting sqref="T17">
    <cfRule type="cellIs" dxfId="146" priority="243" operator="equal">
      <formula>"x"</formula>
    </cfRule>
  </conditionalFormatting>
  <conditionalFormatting sqref="X17">
    <cfRule type="cellIs" dxfId="145" priority="242" operator="equal">
      <formula>"x"</formula>
    </cfRule>
  </conditionalFormatting>
  <conditionalFormatting sqref="V31">
    <cfRule type="cellIs" dxfId="144" priority="241" operator="equal">
      <formula>"x"</formula>
    </cfRule>
  </conditionalFormatting>
  <conditionalFormatting sqref="T31">
    <cfRule type="cellIs" dxfId="143" priority="240" operator="equal">
      <formula>"x"</formula>
    </cfRule>
  </conditionalFormatting>
  <conditionalFormatting sqref="X31">
    <cfRule type="cellIs" dxfId="142" priority="239" operator="equal">
      <formula>"x"</formula>
    </cfRule>
  </conditionalFormatting>
  <conditionalFormatting sqref="V24">
    <cfRule type="cellIs" dxfId="141" priority="238" operator="equal">
      <formula>"x"</formula>
    </cfRule>
  </conditionalFormatting>
  <conditionalFormatting sqref="T24">
    <cfRule type="cellIs" dxfId="140" priority="237" operator="equal">
      <formula>"x"</formula>
    </cfRule>
  </conditionalFormatting>
  <conditionalFormatting sqref="X24">
    <cfRule type="cellIs" dxfId="139" priority="236" operator="equal">
      <formula>"x"</formula>
    </cfRule>
  </conditionalFormatting>
  <conditionalFormatting sqref="V29">
    <cfRule type="cellIs" dxfId="138" priority="235" operator="equal">
      <formula>"x"</formula>
    </cfRule>
  </conditionalFormatting>
  <conditionalFormatting sqref="T29">
    <cfRule type="cellIs" dxfId="137" priority="234" operator="equal">
      <formula>"x"</formula>
    </cfRule>
  </conditionalFormatting>
  <conditionalFormatting sqref="T29">
    <cfRule type="cellIs" dxfId="136" priority="233" operator="notEqual">
      <formula>"x"</formula>
    </cfRule>
  </conditionalFormatting>
  <conditionalFormatting sqref="V29">
    <cfRule type="cellIs" dxfId="135" priority="232" operator="notEqual">
      <formula>"x"</formula>
    </cfRule>
  </conditionalFormatting>
  <conditionalFormatting sqref="X29">
    <cfRule type="cellIs" dxfId="134" priority="231" operator="equal">
      <formula>"x"</formula>
    </cfRule>
  </conditionalFormatting>
  <conditionalFormatting sqref="X29">
    <cfRule type="cellIs" dxfId="133" priority="230" operator="notEqual">
      <formula>"x"</formula>
    </cfRule>
  </conditionalFormatting>
  <conditionalFormatting sqref="S3:S40">
    <cfRule type="expression" dxfId="132" priority="228">
      <formula>OR($A3="Sa",$A3="So")</formula>
    </cfRule>
    <cfRule type="expression" dxfId="131" priority="229">
      <formula>AND(R3&gt;0,INDIRECT("Basistabelle!G" &amp; ($A$1+S$1+R3))&lt;="",INDIRECT("Basistabelle!H" &amp; ($A$1+S$1+R3))&gt;"")</formula>
    </cfRule>
  </conditionalFormatting>
  <conditionalFormatting sqref="S3:S40">
    <cfRule type="expression" dxfId="130" priority="227">
      <formula>AND(R3&gt;0,INDIRECT("Basistabelle!G" &amp; ($A$1+S$1+R3))&lt;="",INDIRECT("Basistabelle!H" &amp; ($A$1+S$1+R3))&lt;="",$A3="Mo")</formula>
    </cfRule>
  </conditionalFormatting>
  <conditionalFormatting sqref="S41">
    <cfRule type="expression" dxfId="129" priority="225">
      <formula>OR($A41="Sa",$A41="So")</formula>
    </cfRule>
    <cfRule type="expression" dxfId="128" priority="226">
      <formula>AND(R41&gt;0,INDIRECT("Basistabelle!G" &amp; ($A$1+S$1+R41))&lt;="",INDIRECT("Basistabelle!H" &amp; ($A$1+S$1+R41))&gt;"")</formula>
    </cfRule>
  </conditionalFormatting>
  <conditionalFormatting sqref="S41">
    <cfRule type="expression" dxfId="127" priority="224">
      <formula>AND(R41&gt;0,INDIRECT("Basistabelle!G" &amp; ($A$1+S$1+R41))&lt;="",INDIRECT("Basistabelle!H" &amp; ($A$1+S$1+R41))&lt;="",$A41="Mo")</formula>
    </cfRule>
  </conditionalFormatting>
  <conditionalFormatting sqref="AD10">
    <cfRule type="cellIs" dxfId="126" priority="223" operator="equal">
      <formula>"x"</formula>
    </cfRule>
  </conditionalFormatting>
  <conditionalFormatting sqref="AB10">
    <cfRule type="cellIs" dxfId="125" priority="222" operator="equal">
      <formula>"x"</formula>
    </cfRule>
  </conditionalFormatting>
  <conditionalFormatting sqref="AF10">
    <cfRule type="cellIs" dxfId="124" priority="221" operator="equal">
      <formula>"x"</formula>
    </cfRule>
  </conditionalFormatting>
  <conditionalFormatting sqref="AF10">
    <cfRule type="cellIs" dxfId="123" priority="220" operator="equal">
      <formula>"x"</formula>
    </cfRule>
  </conditionalFormatting>
  <conditionalFormatting sqref="AA3:AA40">
    <cfRule type="expression" dxfId="122" priority="218">
      <formula>OR($A3="Sa",$A3="So")</formula>
    </cfRule>
    <cfRule type="expression" dxfId="121" priority="219">
      <formula>AND(Z3&gt;0,INDIRECT("Basistabelle!G" &amp; ($A$1+AA$1+Z3))&lt;="",INDIRECT("Basistabelle!H" &amp; ($A$1+AA$1+Z3))&gt;"")</formula>
    </cfRule>
  </conditionalFormatting>
  <conditionalFormatting sqref="AA3:AA40">
    <cfRule type="expression" dxfId="120" priority="217">
      <formula>AND(Z3&gt;0,INDIRECT("Basistabelle!G" &amp; ($A$1+AA$1+Z3))&lt;="",INDIRECT("Basistabelle!H" &amp; ($A$1+AA$1+Z3))&lt;="",$A3="Mo")</formula>
    </cfRule>
  </conditionalFormatting>
  <conditionalFormatting sqref="AA41">
    <cfRule type="expression" dxfId="119" priority="215">
      <formula>OR($A41="Sa",$A41="So")</formula>
    </cfRule>
    <cfRule type="expression" dxfId="118" priority="216">
      <formula>AND(Z41&gt;0,INDIRECT("Basistabelle!G" &amp; ($A$1+AA$1+Z41))&lt;="",INDIRECT("Basistabelle!H" &amp; ($A$1+AA$1+Z41))&gt;"")</formula>
    </cfRule>
  </conditionalFormatting>
  <conditionalFormatting sqref="AA41">
    <cfRule type="expression" dxfId="117" priority="214">
      <formula>AND(Z41&gt;0,INDIRECT("Basistabelle!G" &amp; ($A$1+AA$1+Z41))&lt;="",INDIRECT("Basistabelle!H" &amp; ($A$1+AA$1+Z41))&lt;="",$A41="Mo")</formula>
    </cfRule>
  </conditionalFormatting>
  <conditionalFormatting sqref="AL10">
    <cfRule type="cellIs" dxfId="116" priority="213" operator="equal">
      <formula>"x"</formula>
    </cfRule>
  </conditionalFormatting>
  <conditionalFormatting sqref="AJ10">
    <cfRule type="cellIs" dxfId="115" priority="212" operator="equal">
      <formula>"x"</formula>
    </cfRule>
  </conditionalFormatting>
  <conditionalFormatting sqref="AN10">
    <cfRule type="cellIs" dxfId="114" priority="211" operator="equal">
      <formula>"x"</formula>
    </cfRule>
  </conditionalFormatting>
  <conditionalFormatting sqref="AN10">
    <cfRule type="cellIs" dxfId="113" priority="210" operator="equal">
      <formula>"x"</formula>
    </cfRule>
  </conditionalFormatting>
  <conditionalFormatting sqref="AL24">
    <cfRule type="cellIs" dxfId="112" priority="209" operator="equal">
      <formula>"x"</formula>
    </cfRule>
  </conditionalFormatting>
  <conditionalFormatting sqref="AJ24">
    <cfRule type="cellIs" dxfId="111" priority="208" operator="equal">
      <formula>"x"</formula>
    </cfRule>
  </conditionalFormatting>
  <conditionalFormatting sqref="AN24">
    <cfRule type="cellIs" dxfId="110" priority="207" operator="equal">
      <formula>"x"</formula>
    </cfRule>
  </conditionalFormatting>
  <conditionalFormatting sqref="AN24">
    <cfRule type="cellIs" dxfId="109" priority="206" operator="equal">
      <formula>"x"</formula>
    </cfRule>
  </conditionalFormatting>
  <conditionalFormatting sqref="AL31">
    <cfRule type="cellIs" dxfId="108" priority="205" operator="equal">
      <formula>"x"</formula>
    </cfRule>
  </conditionalFormatting>
  <conditionalFormatting sqref="AJ31">
    <cfRule type="cellIs" dxfId="107" priority="204" operator="equal">
      <formula>"x"</formula>
    </cfRule>
  </conditionalFormatting>
  <conditionalFormatting sqref="AN31">
    <cfRule type="cellIs" dxfId="106" priority="203" operator="equal">
      <formula>"x"</formula>
    </cfRule>
  </conditionalFormatting>
  <conditionalFormatting sqref="AN31">
    <cfRule type="cellIs" dxfId="105" priority="202" operator="equal">
      <formula>"x"</formula>
    </cfRule>
  </conditionalFormatting>
  <conditionalFormatting sqref="AL38">
    <cfRule type="cellIs" dxfId="104" priority="201" operator="equal">
      <formula>"x"</formula>
    </cfRule>
  </conditionalFormatting>
  <conditionalFormatting sqref="AJ38">
    <cfRule type="cellIs" dxfId="103" priority="200" operator="equal">
      <formula>"x"</formula>
    </cfRule>
  </conditionalFormatting>
  <conditionalFormatting sqref="AN38">
    <cfRule type="cellIs" dxfId="102" priority="199" operator="equal">
      <formula>"x"</formula>
    </cfRule>
  </conditionalFormatting>
  <conditionalFormatting sqref="AN38">
    <cfRule type="cellIs" dxfId="101" priority="198" operator="equal">
      <formula>"x"</formula>
    </cfRule>
  </conditionalFormatting>
  <conditionalFormatting sqref="AL17">
    <cfRule type="cellIs" dxfId="100" priority="197" operator="equal">
      <formula>"x"</formula>
    </cfRule>
  </conditionalFormatting>
  <conditionalFormatting sqref="AJ17">
    <cfRule type="cellIs" dxfId="99" priority="196" operator="equal">
      <formula>"x"</formula>
    </cfRule>
  </conditionalFormatting>
  <conditionalFormatting sqref="AN17">
    <cfRule type="cellIs" dxfId="98" priority="195" operator="equal">
      <formula>"x"</formula>
    </cfRule>
  </conditionalFormatting>
  <conditionalFormatting sqref="AN17">
    <cfRule type="cellIs" dxfId="97" priority="194" operator="equal">
      <formula>"x"</formula>
    </cfRule>
  </conditionalFormatting>
  <conditionalFormatting sqref="AT10">
    <cfRule type="cellIs" dxfId="96" priority="184" operator="equal">
      <formula>"x"</formula>
    </cfRule>
  </conditionalFormatting>
  <conditionalFormatting sqref="AR10">
    <cfRule type="cellIs" dxfId="95" priority="183" operator="equal">
      <formula>"x"</formula>
    </cfRule>
  </conditionalFormatting>
  <conditionalFormatting sqref="AV10">
    <cfRule type="cellIs" dxfId="94" priority="182" operator="equal">
      <formula>"x"</formula>
    </cfRule>
  </conditionalFormatting>
  <conditionalFormatting sqref="AT17">
    <cfRule type="cellIs" dxfId="93" priority="181" operator="equal">
      <formula>"x"</formula>
    </cfRule>
  </conditionalFormatting>
  <conditionalFormatting sqref="AR17">
    <cfRule type="cellIs" dxfId="92" priority="180" operator="equal">
      <formula>"x"</formula>
    </cfRule>
  </conditionalFormatting>
  <conditionalFormatting sqref="AV17">
    <cfRule type="cellIs" dxfId="91" priority="179" operator="equal">
      <formula>"x"</formula>
    </cfRule>
  </conditionalFormatting>
  <conditionalFormatting sqref="AT24">
    <cfRule type="cellIs" dxfId="90" priority="178" operator="equal">
      <formula>"x"</formula>
    </cfRule>
  </conditionalFormatting>
  <conditionalFormatting sqref="AR24">
    <cfRule type="cellIs" dxfId="89" priority="177" operator="equal">
      <formula>"x"</formula>
    </cfRule>
  </conditionalFormatting>
  <conditionalFormatting sqref="AV24">
    <cfRule type="cellIs" dxfId="88" priority="176" operator="equal">
      <formula>"x"</formula>
    </cfRule>
  </conditionalFormatting>
  <conditionalFormatting sqref="AT31">
    <cfRule type="cellIs" dxfId="87" priority="175" operator="equal">
      <formula>"x"</formula>
    </cfRule>
  </conditionalFormatting>
  <conditionalFormatting sqref="AR31">
    <cfRule type="cellIs" dxfId="86" priority="174" operator="equal">
      <formula>"x"</formula>
    </cfRule>
  </conditionalFormatting>
  <conditionalFormatting sqref="AV31">
    <cfRule type="cellIs" dxfId="85" priority="173" operator="equal">
      <formula>"x"</formula>
    </cfRule>
  </conditionalFormatting>
  <conditionalFormatting sqref="AT38">
    <cfRule type="cellIs" dxfId="84" priority="172" operator="equal">
      <formula>"x"</formula>
    </cfRule>
  </conditionalFormatting>
  <conditionalFormatting sqref="AR38">
    <cfRule type="cellIs" dxfId="83" priority="171" operator="equal">
      <formula>"x"</formula>
    </cfRule>
  </conditionalFormatting>
  <conditionalFormatting sqref="AV38">
    <cfRule type="cellIs" dxfId="82" priority="170" operator="equal">
      <formula>"x"</formula>
    </cfRule>
  </conditionalFormatting>
  <conditionalFormatting sqref="BB10">
    <cfRule type="cellIs" dxfId="81" priority="163" operator="equal">
      <formula>"x"</formula>
    </cfRule>
  </conditionalFormatting>
  <conditionalFormatting sqref="AZ10">
    <cfRule type="cellIs" dxfId="80" priority="162" operator="equal">
      <formula>"x"</formula>
    </cfRule>
  </conditionalFormatting>
  <conditionalFormatting sqref="BD10">
    <cfRule type="cellIs" dxfId="79" priority="161" operator="equal">
      <formula>"x"</formula>
    </cfRule>
  </conditionalFormatting>
  <conditionalFormatting sqref="BD10">
    <cfRule type="cellIs" dxfId="78" priority="160" operator="equal">
      <formula>"x"</formula>
    </cfRule>
  </conditionalFormatting>
  <conditionalFormatting sqref="BH17">
    <cfRule type="cellIs" dxfId="77" priority="151" operator="equal">
      <formula>"x"</formula>
    </cfRule>
  </conditionalFormatting>
  <conditionalFormatting sqref="BJ17">
    <cfRule type="cellIs" dxfId="76" priority="150" operator="equal">
      <formula>"x"</formula>
    </cfRule>
  </conditionalFormatting>
  <conditionalFormatting sqref="BL17">
    <cfRule type="cellIs" dxfId="75" priority="149" operator="equal">
      <formula>"x"</formula>
    </cfRule>
  </conditionalFormatting>
  <conditionalFormatting sqref="BJ24">
    <cfRule type="cellIs" dxfId="74" priority="146" operator="equal">
      <formula>"x"</formula>
    </cfRule>
  </conditionalFormatting>
  <conditionalFormatting sqref="BH24">
    <cfRule type="cellIs" dxfId="73" priority="145" operator="equal">
      <formula>"x"</formula>
    </cfRule>
  </conditionalFormatting>
  <conditionalFormatting sqref="BL24">
    <cfRule type="cellIs" dxfId="72" priority="144" operator="equal">
      <formula>"x"</formula>
    </cfRule>
  </conditionalFormatting>
  <conditionalFormatting sqref="BJ31">
    <cfRule type="cellIs" dxfId="71" priority="141" operator="equal">
      <formula>"x"</formula>
    </cfRule>
  </conditionalFormatting>
  <conditionalFormatting sqref="BH31">
    <cfRule type="cellIs" dxfId="70" priority="140" operator="equal">
      <formula>"x"</formula>
    </cfRule>
  </conditionalFormatting>
  <conditionalFormatting sqref="BL31">
    <cfRule type="cellIs" dxfId="69" priority="139" operator="equal">
      <formula>"x"</formula>
    </cfRule>
  </conditionalFormatting>
  <conditionalFormatting sqref="BJ38">
    <cfRule type="cellIs" dxfId="68" priority="136" operator="equal">
      <formula>"x"</formula>
    </cfRule>
  </conditionalFormatting>
  <conditionalFormatting sqref="BH38">
    <cfRule type="cellIs" dxfId="67" priority="135" operator="equal">
      <formula>"x"</formula>
    </cfRule>
  </conditionalFormatting>
  <conditionalFormatting sqref="BL38">
    <cfRule type="cellIs" dxfId="66" priority="134" operator="equal">
      <formula>"x"</formula>
    </cfRule>
  </conditionalFormatting>
  <conditionalFormatting sqref="BR10">
    <cfRule type="cellIs" dxfId="65" priority="125" operator="equal">
      <formula>"x"</formula>
    </cfRule>
  </conditionalFormatting>
  <conditionalFormatting sqref="BP10">
    <cfRule type="cellIs" dxfId="64" priority="124" operator="equal">
      <formula>"x"</formula>
    </cfRule>
  </conditionalFormatting>
  <conditionalFormatting sqref="BT10">
    <cfRule type="cellIs" dxfId="63" priority="123" operator="equal">
      <formula>"x"</formula>
    </cfRule>
  </conditionalFormatting>
  <conditionalFormatting sqref="BT10">
    <cfRule type="cellIs" dxfId="62" priority="122" operator="equal">
      <formula>"x"</formula>
    </cfRule>
  </conditionalFormatting>
  <conditionalFormatting sqref="BR24">
    <cfRule type="cellIs" dxfId="61" priority="119" operator="equal">
      <formula>"x"</formula>
    </cfRule>
  </conditionalFormatting>
  <conditionalFormatting sqref="BP24">
    <cfRule type="cellIs" dxfId="60" priority="118" operator="equal">
      <formula>"x"</formula>
    </cfRule>
  </conditionalFormatting>
  <conditionalFormatting sqref="BT24">
    <cfRule type="cellIs" dxfId="59" priority="117" operator="equal">
      <formula>"x"</formula>
    </cfRule>
  </conditionalFormatting>
  <conditionalFormatting sqref="BT24">
    <cfRule type="cellIs" dxfId="58" priority="116" operator="equal">
      <formula>"x"</formula>
    </cfRule>
  </conditionalFormatting>
  <conditionalFormatting sqref="BR17">
    <cfRule type="cellIs" dxfId="57" priority="107" operator="equal">
      <formula>"x"</formula>
    </cfRule>
  </conditionalFormatting>
  <conditionalFormatting sqref="BP17">
    <cfRule type="cellIs" dxfId="56" priority="106" operator="equal">
      <formula>"x"</formula>
    </cfRule>
  </conditionalFormatting>
  <conditionalFormatting sqref="BT17">
    <cfRule type="cellIs" dxfId="55" priority="105" operator="equal">
      <formula>"x"</formula>
    </cfRule>
  </conditionalFormatting>
  <conditionalFormatting sqref="BT17">
    <cfRule type="cellIs" dxfId="54" priority="104" operator="equal">
      <formula>"x"</formula>
    </cfRule>
  </conditionalFormatting>
  <conditionalFormatting sqref="BZ17">
    <cfRule type="cellIs" dxfId="53" priority="100" operator="equal">
      <formula>"x"</formula>
    </cfRule>
  </conditionalFormatting>
  <conditionalFormatting sqref="BX17">
    <cfRule type="cellIs" dxfId="52" priority="99" operator="equal">
      <formula>"x"</formula>
    </cfRule>
  </conditionalFormatting>
  <conditionalFormatting sqref="CB17">
    <cfRule type="cellIs" dxfId="51" priority="98" operator="equal">
      <formula>"x"</formula>
    </cfRule>
  </conditionalFormatting>
  <conditionalFormatting sqref="BZ24">
    <cfRule type="cellIs" dxfId="50" priority="95" operator="equal">
      <formula>"x"</formula>
    </cfRule>
  </conditionalFormatting>
  <conditionalFormatting sqref="BX24">
    <cfRule type="cellIs" dxfId="49" priority="94" operator="equal">
      <formula>"x"</formula>
    </cfRule>
  </conditionalFormatting>
  <conditionalFormatting sqref="CB24">
    <cfRule type="cellIs" dxfId="48" priority="93" operator="equal">
      <formula>"x"</formula>
    </cfRule>
  </conditionalFormatting>
  <conditionalFormatting sqref="BZ38">
    <cfRule type="cellIs" dxfId="47" priority="90" operator="equal">
      <formula>"x"</formula>
    </cfRule>
  </conditionalFormatting>
  <conditionalFormatting sqref="BX38">
    <cfRule type="cellIs" dxfId="46" priority="89" operator="equal">
      <formula>"x"</formula>
    </cfRule>
  </conditionalFormatting>
  <conditionalFormatting sqref="CB38">
    <cfRule type="cellIs" dxfId="45" priority="88" operator="equal">
      <formula>"x"</formula>
    </cfRule>
  </conditionalFormatting>
  <conditionalFormatting sqref="BZ40">
    <cfRule type="cellIs" dxfId="44" priority="85" operator="equal">
      <formula>"x"</formula>
    </cfRule>
  </conditionalFormatting>
  <conditionalFormatting sqref="BX40">
    <cfRule type="cellIs" dxfId="43" priority="84" operator="equal">
      <formula>"x"</formula>
    </cfRule>
  </conditionalFormatting>
  <conditionalFormatting sqref="CB40">
    <cfRule type="cellIs" dxfId="42" priority="83" operator="equal">
      <formula>"x"</formula>
    </cfRule>
  </conditionalFormatting>
  <conditionalFormatting sqref="BZ31">
    <cfRule type="cellIs" dxfId="41" priority="80" operator="equal">
      <formula>"x"</formula>
    </cfRule>
  </conditionalFormatting>
  <conditionalFormatting sqref="BX31">
    <cfRule type="cellIs" dxfId="40" priority="79" operator="equal">
      <formula>"x"</formula>
    </cfRule>
  </conditionalFormatting>
  <conditionalFormatting sqref="CB31">
    <cfRule type="cellIs" dxfId="39" priority="78" operator="equal">
      <formula>"x"</formula>
    </cfRule>
  </conditionalFormatting>
  <conditionalFormatting sqref="CH10">
    <cfRule type="cellIs" dxfId="38" priority="69" operator="equal">
      <formula>"x"</formula>
    </cfRule>
  </conditionalFormatting>
  <conditionalFormatting sqref="CF10">
    <cfRule type="cellIs" dxfId="37" priority="68" operator="equal">
      <formula>"x"</formula>
    </cfRule>
  </conditionalFormatting>
  <conditionalFormatting sqref="CJ10">
    <cfRule type="cellIs" dxfId="36" priority="67" operator="equal">
      <formula>"x"</formula>
    </cfRule>
  </conditionalFormatting>
  <conditionalFormatting sqref="CJ10">
    <cfRule type="cellIs" dxfId="35" priority="66" operator="equal">
      <formula>"x"</formula>
    </cfRule>
  </conditionalFormatting>
  <conditionalFormatting sqref="CH17">
    <cfRule type="cellIs" dxfId="34" priority="63" operator="equal">
      <formula>"x"</formula>
    </cfRule>
  </conditionalFormatting>
  <conditionalFormatting sqref="CF17">
    <cfRule type="cellIs" dxfId="33" priority="62" operator="equal">
      <formula>"x"</formula>
    </cfRule>
  </conditionalFormatting>
  <conditionalFormatting sqref="CJ17">
    <cfRule type="cellIs" dxfId="32" priority="61" operator="equal">
      <formula>"x"</formula>
    </cfRule>
  </conditionalFormatting>
  <conditionalFormatting sqref="CJ17">
    <cfRule type="cellIs" dxfId="31" priority="60" operator="equal">
      <formula>"x"</formula>
    </cfRule>
  </conditionalFormatting>
  <conditionalFormatting sqref="CH24">
    <cfRule type="cellIs" dxfId="30" priority="57" operator="equal">
      <formula>"x"</formula>
    </cfRule>
  </conditionalFormatting>
  <conditionalFormatting sqref="CF24">
    <cfRule type="cellIs" dxfId="29" priority="56" operator="equal">
      <formula>"x"</formula>
    </cfRule>
  </conditionalFormatting>
  <conditionalFormatting sqref="CJ24">
    <cfRule type="cellIs" dxfId="28" priority="55" operator="equal">
      <formula>"x"</formula>
    </cfRule>
  </conditionalFormatting>
  <conditionalFormatting sqref="CJ24">
    <cfRule type="cellIs" dxfId="27" priority="54" operator="equal">
      <formula>"x"</formula>
    </cfRule>
  </conditionalFormatting>
  <conditionalFormatting sqref="CH28">
    <cfRule type="cellIs" dxfId="26" priority="51" operator="equal">
      <formula>"x"</formula>
    </cfRule>
  </conditionalFormatting>
  <conditionalFormatting sqref="CF28">
    <cfRule type="cellIs" dxfId="25" priority="50" operator="equal">
      <formula>"x"</formula>
    </cfRule>
  </conditionalFormatting>
  <conditionalFormatting sqref="CJ28">
    <cfRule type="cellIs" dxfId="24" priority="49" operator="equal">
      <formula>"x"</formula>
    </cfRule>
  </conditionalFormatting>
  <conditionalFormatting sqref="CJ28">
    <cfRule type="cellIs" dxfId="23" priority="48" operator="equal">
      <formula>"x"</formula>
    </cfRule>
  </conditionalFormatting>
  <conditionalFormatting sqref="CH31">
    <cfRule type="cellIs" dxfId="22" priority="45" operator="equal">
      <formula>"x"</formula>
    </cfRule>
  </conditionalFormatting>
  <conditionalFormatting sqref="CF31">
    <cfRule type="cellIs" dxfId="21" priority="44" operator="equal">
      <formula>"x"</formula>
    </cfRule>
  </conditionalFormatting>
  <conditionalFormatting sqref="CJ31">
    <cfRule type="cellIs" dxfId="20" priority="43" operator="equal">
      <formula>"x"</formula>
    </cfRule>
  </conditionalFormatting>
  <conditionalFormatting sqref="CJ31">
    <cfRule type="cellIs" dxfId="19" priority="42" operator="equal">
      <formula>"x"</formula>
    </cfRule>
  </conditionalFormatting>
  <conditionalFormatting sqref="CH38">
    <cfRule type="cellIs" dxfId="18" priority="39" operator="equal">
      <formula>"x"</formula>
    </cfRule>
  </conditionalFormatting>
  <conditionalFormatting sqref="CF38">
    <cfRule type="cellIs" dxfId="17" priority="38" operator="equal">
      <formula>"x"</formula>
    </cfRule>
  </conditionalFormatting>
  <conditionalFormatting sqref="CJ38">
    <cfRule type="cellIs" dxfId="16" priority="37" operator="equal">
      <formula>"x"</formula>
    </cfRule>
  </conditionalFormatting>
  <conditionalFormatting sqref="CJ38">
    <cfRule type="cellIs" dxfId="15" priority="36" operator="equal">
      <formula>"x"</formula>
    </cfRule>
  </conditionalFormatting>
  <conditionalFormatting sqref="CP10">
    <cfRule type="cellIs" dxfId="14" priority="27" operator="equal">
      <formula>"x"</formula>
    </cfRule>
  </conditionalFormatting>
  <conditionalFormatting sqref="CN10">
    <cfRule type="cellIs" dxfId="13" priority="26" operator="equal">
      <formula>"x"</formula>
    </cfRule>
  </conditionalFormatting>
  <conditionalFormatting sqref="CR10">
    <cfRule type="cellIs" dxfId="12" priority="25" operator="equal">
      <formula>"x"</formula>
    </cfRule>
  </conditionalFormatting>
  <conditionalFormatting sqref="CR10">
    <cfRule type="cellIs" dxfId="11" priority="24" operator="equal">
      <formula>"x"</formula>
    </cfRule>
  </conditionalFormatting>
  <conditionalFormatting sqref="CP17">
    <cfRule type="cellIs" dxfId="10" priority="21" operator="equal">
      <formula>"x"</formula>
    </cfRule>
  </conditionalFormatting>
  <conditionalFormatting sqref="CN17">
    <cfRule type="cellIs" dxfId="9" priority="20" operator="equal">
      <formula>"x"</formula>
    </cfRule>
  </conditionalFormatting>
  <conditionalFormatting sqref="CR17">
    <cfRule type="cellIs" dxfId="8" priority="19" operator="equal">
      <formula>"x"</formula>
    </cfRule>
  </conditionalFormatting>
  <conditionalFormatting sqref="CR17">
    <cfRule type="cellIs" dxfId="7" priority="18" operator="equal">
      <formula>"x"</formula>
    </cfRule>
  </conditionalFormatting>
  <conditionalFormatting sqref="CP24">
    <cfRule type="cellIs" dxfId="6" priority="15" operator="equal">
      <formula>"x"</formula>
    </cfRule>
  </conditionalFormatting>
  <conditionalFormatting sqref="CN24">
    <cfRule type="cellIs" dxfId="5" priority="14" operator="equal">
      <formula>"x"</formula>
    </cfRule>
  </conditionalFormatting>
  <conditionalFormatting sqref="CR24">
    <cfRule type="cellIs" dxfId="4" priority="13" operator="equal">
      <formula>"x"</formula>
    </cfRule>
  </conditionalFormatting>
  <conditionalFormatting sqref="CR24">
    <cfRule type="cellIs" dxfId="3" priority="12" operator="equal">
      <formula>"x"</formula>
    </cfRule>
  </conditionalFormatting>
  <conditionalFormatting sqref="AI5">
    <cfRule type="expression" dxfId="2" priority="2">
      <formula>OR($A5="Sa",$A5="So")</formula>
    </cfRule>
    <cfRule type="expression" dxfId="1" priority="3">
      <formula>AND(AH5&gt;0,INDIRECT("Basistabelle!G" &amp; ($A$1+AI$1+AH5))&lt;="",INDIRECT("Basistabelle!H" &amp; ($A$1+AI$1+AH5))&gt;"")</formula>
    </cfRule>
  </conditionalFormatting>
  <conditionalFormatting sqref="AI5">
    <cfRule type="expression" dxfId="0" priority="1">
      <formula>AND(AH5&gt;0,INDIRECT("Basistabelle!G" &amp; ($A$1+AI$1+AH5))&lt;="",INDIRECT("Basistabelle!H" &amp; ($A$1+AI$1+AH5))&lt;="",$A5="Mo")</formula>
    </cfRule>
  </conditionalFormatting>
  <pageMargins left="0.23622047244094491" right="0.23622047244094491" top="0.74803149606299213" bottom="0.74803149606299213" header="0.31496062992125984" footer="0.31496062992125984"/>
  <pageSetup paperSize="9" scale="77" orientation="landscape" errors="blank" r:id="rId1"/>
  <headerFooter>
    <oddHeader>&amp;CESG Jahresübersicht 2020 (V0 per 10.02.17)</oddHeader>
    <oddFooter>&amp;CSW 10.02.17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 enableFormatConditionsCalculation="0">
    <pageSetUpPr fitToPage="1"/>
  </sheetPr>
  <dimension ref="A1:Q52"/>
  <sheetViews>
    <sheetView workbookViewId="0"/>
  </sheetViews>
  <sheetFormatPr baseColWidth="10" defaultRowHeight="15" x14ac:dyDescent="0.2"/>
  <cols>
    <col min="1" max="1" width="8.5" style="104" customWidth="1"/>
    <col min="2" max="2" width="7.1640625" style="103" customWidth="1"/>
    <col min="3" max="3" width="6" style="104" customWidth="1"/>
    <col min="4" max="4" width="2.5" style="104" customWidth="1"/>
    <col min="5" max="5" width="8.5" style="88" customWidth="1"/>
    <col min="6" max="6" width="7.1640625" style="88" customWidth="1"/>
    <col min="7" max="7" width="6" style="88" customWidth="1"/>
    <col min="8" max="8" width="2.5" style="88" customWidth="1"/>
    <col min="9" max="9" width="8.5" style="104" customWidth="1"/>
    <col min="10" max="10" width="7.1640625" style="104" customWidth="1"/>
    <col min="11" max="11" width="6" style="104" customWidth="1"/>
    <col min="12" max="12" width="2.5" style="104" customWidth="1"/>
    <col min="13" max="13" width="10.83203125" style="95"/>
    <col min="14" max="14" width="7.1640625" style="95" customWidth="1"/>
    <col min="15" max="15" width="6" style="95" customWidth="1"/>
    <col min="16" max="16" width="2.5" style="87" customWidth="1"/>
  </cols>
  <sheetData>
    <row r="1" spans="1:17" ht="19" x14ac:dyDescent="0.25">
      <c r="A1" s="102" t="str">
        <f>"Statistik BK " &amp; YEAR(ErsterTagDesJahres)</f>
        <v>Statistik BK 2018</v>
      </c>
      <c r="E1" s="104"/>
      <c r="F1" s="104"/>
      <c r="G1" s="104"/>
      <c r="H1" s="104"/>
      <c r="M1" s="104"/>
      <c r="N1" s="104"/>
      <c r="O1" s="104"/>
    </row>
    <row r="3" spans="1:17" ht="27.5" customHeight="1" x14ac:dyDescent="0.2">
      <c r="A3" s="105" t="s">
        <v>142</v>
      </c>
      <c r="C3" s="148">
        <f>COUNTIF(Jahresübersicht!BO42,"*separat*")</f>
        <v>0</v>
      </c>
      <c r="E3" s="89" t="s">
        <v>88</v>
      </c>
      <c r="F3" s="90"/>
      <c r="G3" s="149">
        <f>COUNTIF(Jahresübersicht!BO43,"*separat*")</f>
        <v>0</v>
      </c>
      <c r="I3" s="191" t="s">
        <v>141</v>
      </c>
      <c r="J3" s="191"/>
      <c r="K3" s="150">
        <f>COUNTIF(Jahresübersicht!BO44,"*separat*")</f>
        <v>1</v>
      </c>
      <c r="M3" s="96" t="str">
        <f>"Total " &amp; YEAR(ErsterTagDesJahres)</f>
        <v>Total 2018</v>
      </c>
      <c r="N3" s="97"/>
    </row>
    <row r="4" spans="1:17" x14ac:dyDescent="0.2">
      <c r="A4" s="106" t="s">
        <v>136</v>
      </c>
      <c r="B4" s="103" t="s">
        <v>57</v>
      </c>
      <c r="C4" s="104">
        <f ca="1">COUNTIF(INDIRECT("Basistabelle!" &amp; $A$4),"*" &amp; B4 &amp; "*")</f>
        <v>0</v>
      </c>
      <c r="E4" s="112" t="s">
        <v>137</v>
      </c>
      <c r="F4" s="90" t="s">
        <v>57</v>
      </c>
      <c r="G4" s="88">
        <f ca="1">COUNTIF(INDIRECT("Basistabelle!" &amp; $E$4),"*" &amp; F4 &amp; "*")</f>
        <v>0</v>
      </c>
      <c r="I4" s="106" t="s">
        <v>138</v>
      </c>
      <c r="J4" s="103" t="s">
        <v>57</v>
      </c>
      <c r="K4" s="104">
        <f ca="1">COUNTIF(INDIRECT("Basistabelle!" &amp; $I$4),"*" &amp; J4 &amp; "*")</f>
        <v>0</v>
      </c>
      <c r="M4" s="113" t="s">
        <v>89</v>
      </c>
      <c r="N4" s="97" t="s">
        <v>57</v>
      </c>
      <c r="O4" s="95">
        <f ca="1">COUNTIF(INDIRECT("Basistabelle!" &amp; $M$4),"*" &amp; N4 &amp; "*")</f>
        <v>0</v>
      </c>
      <c r="P4" s="87" t="str">
        <f ca="1">IF((C4+G4+K4)&lt;&gt;O4,"???","")</f>
        <v/>
      </c>
      <c r="Q4" s="152" t="e">
        <f t="shared" ref="Q4:Q6" ca="1" si="0">O4/$O$9</f>
        <v>#DIV/0!</v>
      </c>
    </row>
    <row r="5" spans="1:17" x14ac:dyDescent="0.2">
      <c r="B5" s="103" t="s">
        <v>82</v>
      </c>
      <c r="C5" s="104">
        <f ca="1">COUNTIF(INDIRECT("Basistabelle!" &amp; $A$4),"*" &amp; B5 &amp; "*")</f>
        <v>0</v>
      </c>
      <c r="F5" s="90" t="s">
        <v>82</v>
      </c>
      <c r="G5" s="88">
        <f ca="1">COUNTIF(INDIRECT("Basistabelle!" &amp; $E$4),"*" &amp; F5 &amp; "*")</f>
        <v>0</v>
      </c>
      <c r="J5" s="103" t="s">
        <v>82</v>
      </c>
      <c r="K5" s="104">
        <f ca="1">COUNTIF(INDIRECT("Basistabelle!" &amp; $I$4),"*" &amp; J5 &amp; "*")</f>
        <v>0</v>
      </c>
      <c r="N5" s="97" t="s">
        <v>82</v>
      </c>
      <c r="O5" s="95">
        <f ca="1">COUNTIF(INDIRECT("Basistabelle!" &amp; $M$4),"*" &amp; N5 &amp; "*")</f>
        <v>0</v>
      </c>
      <c r="P5" s="87" t="str">
        <f t="shared" ref="P5:P26" ca="1" si="1">IF((C5+G5+K5)&lt;&gt;O5,"???","")</f>
        <v/>
      </c>
      <c r="Q5" s="152" t="e">
        <f t="shared" ca="1" si="0"/>
        <v>#DIV/0!</v>
      </c>
    </row>
    <row r="6" spans="1:17" x14ac:dyDescent="0.2">
      <c r="B6" s="103" t="s">
        <v>83</v>
      </c>
      <c r="C6" s="104">
        <f ca="1">COUNTIF(INDIRECT("Basistabelle!" &amp; $A$4),"*" &amp; B6 &amp; "*")</f>
        <v>0</v>
      </c>
      <c r="F6" s="90" t="s">
        <v>83</v>
      </c>
      <c r="G6" s="88">
        <f ca="1">COUNTIF(INDIRECT("Basistabelle!" &amp; $E$4),"*" &amp; F6 &amp; "*")</f>
        <v>0</v>
      </c>
      <c r="J6" s="103" t="s">
        <v>83</v>
      </c>
      <c r="K6" s="104">
        <f ca="1">COUNTIF(INDIRECT("Basistabelle!" &amp; $I$4),"*" &amp; J6 &amp; "*")</f>
        <v>0</v>
      </c>
      <c r="N6" s="97" t="s">
        <v>83</v>
      </c>
      <c r="O6" s="95">
        <f ca="1">COUNTIF(INDIRECT("Basistabelle!" &amp; $M$4),"*" &amp; N6 &amp; "*")</f>
        <v>0</v>
      </c>
      <c r="P6" s="87" t="str">
        <f t="shared" ca="1" si="1"/>
        <v/>
      </c>
      <c r="Q6" s="152" t="e">
        <f t="shared" ca="1" si="0"/>
        <v>#DIV/0!</v>
      </c>
    </row>
    <row r="7" spans="1:17" s="85" customFormat="1" x14ac:dyDescent="0.2">
      <c r="A7" s="105"/>
      <c r="B7" s="107" t="s">
        <v>131</v>
      </c>
      <c r="C7" s="105">
        <f ca="1">SUM(C4:C6)</f>
        <v>0</v>
      </c>
      <c r="D7" s="105"/>
      <c r="E7" s="89"/>
      <c r="F7" s="91"/>
      <c r="G7" s="89">
        <f ca="1">SUM(G4:G6)</f>
        <v>0</v>
      </c>
      <c r="H7" s="89"/>
      <c r="I7" s="105"/>
      <c r="J7" s="107"/>
      <c r="K7" s="105">
        <f ca="1">SUM(K4:K6)</f>
        <v>0</v>
      </c>
      <c r="L7" s="105"/>
      <c r="M7" s="96"/>
      <c r="N7" s="98"/>
      <c r="O7" s="96">
        <f ca="1">SUM(O4:O6)</f>
        <v>0</v>
      </c>
      <c r="P7" s="87" t="str">
        <f t="shared" ca="1" si="1"/>
        <v/>
      </c>
      <c r="Q7" s="153" t="e">
        <f ca="1">O7/$O$9</f>
        <v>#DIV/0!</v>
      </c>
    </row>
    <row r="8" spans="1:17" s="86" customFormat="1" x14ac:dyDescent="0.2">
      <c r="A8" s="108"/>
      <c r="B8" s="109" t="s">
        <v>126</v>
      </c>
      <c r="C8" s="104">
        <f ca="1">COUNTIF(INDIRECT("Basistabelle!" &amp; $A$4),"*" &amp; B8 &amp; "*")</f>
        <v>0</v>
      </c>
      <c r="D8" s="108"/>
      <c r="E8" s="92"/>
      <c r="F8" s="93" t="s">
        <v>126</v>
      </c>
      <c r="G8" s="88">
        <f ca="1">COUNTIF(INDIRECT("Basistabelle!" &amp; $E$4),"*" &amp; F8 &amp; "*")</f>
        <v>0</v>
      </c>
      <c r="H8" s="92"/>
      <c r="I8" s="108"/>
      <c r="J8" s="109" t="s">
        <v>126</v>
      </c>
      <c r="K8" s="104">
        <f ca="1">COUNTIF(INDIRECT("Basistabelle!" &amp; $I$4),"*" &amp; J8 &amp; "*")</f>
        <v>0</v>
      </c>
      <c r="L8" s="108"/>
      <c r="M8" s="99"/>
      <c r="N8" s="100" t="s">
        <v>126</v>
      </c>
      <c r="O8" s="95">
        <f ca="1">COUNTIF(INDIRECT("Basistabelle!" &amp; $M$4),"*" &amp; N8 &amp; "*")</f>
        <v>0</v>
      </c>
      <c r="P8" s="151"/>
      <c r="Q8" s="152" t="e">
        <f ca="1">O8/$O$9</f>
        <v>#DIV/0!</v>
      </c>
    </row>
    <row r="9" spans="1:17" s="85" customFormat="1" x14ac:dyDescent="0.2">
      <c r="A9" s="105"/>
      <c r="B9" s="107" t="s">
        <v>132</v>
      </c>
      <c r="C9" s="105">
        <f ca="1">C7+C8</f>
        <v>0</v>
      </c>
      <c r="D9" s="105"/>
      <c r="E9" s="89"/>
      <c r="F9" s="91"/>
      <c r="G9" s="89">
        <f ca="1">G7+G8</f>
        <v>0</v>
      </c>
      <c r="H9" s="89"/>
      <c r="I9" s="105"/>
      <c r="J9" s="107"/>
      <c r="K9" s="105">
        <f ca="1">K7+K8</f>
        <v>0</v>
      </c>
      <c r="L9" s="105"/>
      <c r="M9" s="96"/>
      <c r="N9" s="98"/>
      <c r="O9" s="96">
        <f ca="1">O7+O8</f>
        <v>0</v>
      </c>
      <c r="P9" s="87" t="str">
        <f t="shared" ca="1" si="1"/>
        <v/>
      </c>
      <c r="Q9" s="153" t="e">
        <f ca="1">O9/$O$9</f>
        <v>#DIV/0!</v>
      </c>
    </row>
    <row r="10" spans="1:17" x14ac:dyDescent="0.2">
      <c r="F10" s="90"/>
      <c r="J10" s="103"/>
      <c r="N10" s="97"/>
    </row>
    <row r="11" spans="1:17" x14ac:dyDescent="0.2">
      <c r="B11" s="103" t="s">
        <v>56</v>
      </c>
      <c r="C11" s="104">
        <f t="shared" ref="C11:C14" ca="1" si="2">COUNTIF(INDIRECT("Basistabelle!" &amp; $A$4),"*" &amp; B11 &amp; "*")</f>
        <v>0</v>
      </c>
      <c r="F11" s="90" t="s">
        <v>56</v>
      </c>
      <c r="G11" s="88">
        <f ca="1">COUNTIF(INDIRECT("Basistabelle!" &amp; $E$4),"*" &amp; F11 &amp; "*")</f>
        <v>0</v>
      </c>
      <c r="J11" s="103" t="s">
        <v>56</v>
      </c>
      <c r="K11" s="104">
        <f ca="1">COUNTIF(INDIRECT("Basistabelle!" &amp; $I$4),"*" &amp; J11 &amp; "*")</f>
        <v>0</v>
      </c>
      <c r="N11" s="97" t="s">
        <v>56</v>
      </c>
      <c r="O11" s="95">
        <f t="shared" ref="O11:O26" ca="1" si="3">COUNTIF(INDIRECT("Basistabelle!" &amp; $M$4),"*" &amp; N11 &amp; "*")</f>
        <v>0</v>
      </c>
      <c r="P11" s="87" t="str">
        <f t="shared" ca="1" si="1"/>
        <v/>
      </c>
    </row>
    <row r="12" spans="1:17" x14ac:dyDescent="0.2">
      <c r="B12" s="103" t="s">
        <v>80</v>
      </c>
      <c r="C12" s="104">
        <f t="shared" ca="1" si="2"/>
        <v>0</v>
      </c>
      <c r="F12" s="90" t="s">
        <v>80</v>
      </c>
      <c r="G12" s="88">
        <f ca="1">COUNTIF(INDIRECT("Basistabelle!" &amp; $E$4),"*" &amp; F12 &amp; "*")</f>
        <v>0</v>
      </c>
      <c r="J12" s="103" t="s">
        <v>80</v>
      </c>
      <c r="K12" s="104">
        <f ca="1">COUNTIF(INDIRECT("Basistabelle!" &amp; $I$4),"*" &amp; J12 &amp; "*")</f>
        <v>0</v>
      </c>
      <c r="N12" s="97" t="s">
        <v>80</v>
      </c>
      <c r="O12" s="95">
        <f ca="1">C12+G12+K12</f>
        <v>0</v>
      </c>
    </row>
    <row r="13" spans="1:17" x14ac:dyDescent="0.2">
      <c r="B13" s="103" t="s">
        <v>139</v>
      </c>
      <c r="C13" s="104">
        <f t="shared" ca="1" si="2"/>
        <v>0</v>
      </c>
      <c r="F13" s="90" t="s">
        <v>139</v>
      </c>
      <c r="G13" s="88">
        <f ca="1">COUNTIF(INDIRECT("Basistabelle!" &amp; $E$4),"*" &amp; F13 &amp; "*")</f>
        <v>0</v>
      </c>
      <c r="J13" s="103" t="s">
        <v>139</v>
      </c>
      <c r="K13" s="104">
        <f ca="1">COUNTIF(INDIRECT("Basistabelle!" &amp; $I$4),"*" &amp; J13 &amp; "*")</f>
        <v>0</v>
      </c>
      <c r="N13" s="97" t="s">
        <v>139</v>
      </c>
      <c r="O13" s="95">
        <f ca="1">C13+G13+K13</f>
        <v>0</v>
      </c>
    </row>
    <row r="14" spans="1:17" x14ac:dyDescent="0.2">
      <c r="B14" s="103" t="s">
        <v>81</v>
      </c>
      <c r="C14" s="104">
        <f t="shared" ca="1" si="2"/>
        <v>0</v>
      </c>
      <c r="F14" s="90" t="s">
        <v>81</v>
      </c>
      <c r="G14" s="88">
        <f ca="1">COUNTIF(INDIRECT("Basistabelle!" &amp; $E$4),"*" &amp; F14 &amp; "*")</f>
        <v>0</v>
      </c>
      <c r="J14" s="103" t="s">
        <v>81</v>
      </c>
      <c r="K14" s="104">
        <f ca="1">COUNTIF(INDIRECT("Basistabelle!" &amp; $I$4),"*" &amp; J14 &amp; "*")</f>
        <v>0</v>
      </c>
      <c r="N14" s="97" t="s">
        <v>81</v>
      </c>
      <c r="O14" s="95">
        <f t="shared" ca="1" si="3"/>
        <v>0</v>
      </c>
      <c r="P14" s="87" t="str">
        <f t="shared" ca="1" si="1"/>
        <v/>
      </c>
    </row>
    <row r="15" spans="1:17" x14ac:dyDescent="0.2">
      <c r="A15" s="105"/>
      <c r="B15" s="107" t="s">
        <v>99</v>
      </c>
      <c r="C15" s="105">
        <f ca="1">C11+C12+C13+C14*2</f>
        <v>0</v>
      </c>
      <c r="D15" s="105"/>
      <c r="E15" s="89"/>
      <c r="F15" s="91"/>
      <c r="G15" s="89">
        <f ca="1">G11+G12+G13+G14*2</f>
        <v>0</v>
      </c>
      <c r="H15" s="89"/>
      <c r="I15" s="105"/>
      <c r="J15" s="107"/>
      <c r="K15" s="105">
        <f ca="1">K11+K12+K13+K14*2</f>
        <v>0</v>
      </c>
      <c r="L15" s="105"/>
      <c r="M15" s="96"/>
      <c r="N15" s="98"/>
      <c r="O15" s="96">
        <f ca="1">O11+O12+O13+O14*2</f>
        <v>0</v>
      </c>
      <c r="P15" s="87" t="str">
        <f t="shared" ca="1" si="1"/>
        <v/>
      </c>
    </row>
    <row r="16" spans="1:17" x14ac:dyDescent="0.2">
      <c r="A16" s="105"/>
      <c r="B16" s="107"/>
      <c r="C16" s="105"/>
      <c r="D16" s="105"/>
      <c r="E16" s="89"/>
      <c r="F16" s="91"/>
      <c r="G16" s="89"/>
      <c r="H16" s="89"/>
      <c r="I16" s="105"/>
      <c r="J16" s="107"/>
      <c r="K16" s="105"/>
      <c r="L16" s="105"/>
      <c r="M16" s="96"/>
      <c r="N16" s="98"/>
      <c r="O16" s="96"/>
    </row>
    <row r="17" spans="1:16" s="86" customFormat="1" x14ac:dyDescent="0.2">
      <c r="A17" s="108"/>
      <c r="B17" s="109" t="s">
        <v>84</v>
      </c>
      <c r="C17" s="104">
        <f t="shared" ref="C17" ca="1" si="4">COUNTIF(INDIRECT("Basistabelle!" &amp; $A$4),"*" &amp; B17 &amp; "*")</f>
        <v>0</v>
      </c>
      <c r="D17" s="108"/>
      <c r="E17" s="92"/>
      <c r="F17" s="93" t="s">
        <v>84</v>
      </c>
      <c r="G17" s="88">
        <f ca="1">COUNTIF(INDIRECT("Basistabelle!" &amp; $E$4),"*" &amp; F17 &amp; "*")</f>
        <v>0</v>
      </c>
      <c r="H17" s="92"/>
      <c r="I17" s="108"/>
      <c r="J17" s="109" t="s">
        <v>84</v>
      </c>
      <c r="K17" s="104">
        <f ca="1">COUNTIF(INDIRECT("Basistabelle!" &amp; $I$4),"*" &amp; J17 &amp; "*")</f>
        <v>0</v>
      </c>
      <c r="L17" s="108"/>
      <c r="M17" s="99"/>
      <c r="N17" s="100" t="s">
        <v>84</v>
      </c>
      <c r="O17" s="95">
        <f t="shared" ca="1" si="3"/>
        <v>0</v>
      </c>
      <c r="P17" s="87" t="str">
        <f t="shared" ca="1" si="1"/>
        <v/>
      </c>
    </row>
    <row r="18" spans="1:16" x14ac:dyDescent="0.2">
      <c r="A18" s="105"/>
      <c r="B18" s="107" t="s">
        <v>100</v>
      </c>
      <c r="C18" s="105">
        <f ca="1">SUM(C17)</f>
        <v>0</v>
      </c>
      <c r="D18" s="105"/>
      <c r="E18" s="89"/>
      <c r="F18" s="91"/>
      <c r="G18" s="89">
        <f ca="1">SUM(G17)</f>
        <v>0</v>
      </c>
      <c r="H18" s="89"/>
      <c r="I18" s="105"/>
      <c r="J18" s="107"/>
      <c r="K18" s="105">
        <f ca="1">SUM(K17)</f>
        <v>0</v>
      </c>
      <c r="L18" s="105"/>
      <c r="M18" s="96"/>
      <c r="N18" s="98"/>
      <c r="O18" s="96">
        <f ca="1">SUM(O17)</f>
        <v>0</v>
      </c>
      <c r="P18" s="87" t="str">
        <f t="shared" ca="1" si="1"/>
        <v/>
      </c>
    </row>
    <row r="20" spans="1:16" x14ac:dyDescent="0.2">
      <c r="B20" s="103" t="s">
        <v>85</v>
      </c>
      <c r="C20" s="104">
        <f t="shared" ref="C20:C26" ca="1" si="5">COUNTIF(INDIRECT("Basistabelle!" &amp; $A$4),"*" &amp; B20 &amp; "*")</f>
        <v>0</v>
      </c>
      <c r="F20" s="90" t="s">
        <v>85</v>
      </c>
      <c r="G20" s="88">
        <f t="shared" ref="G20:G26" ca="1" si="6">COUNTIF(INDIRECT("Basistabelle!" &amp; $E$4),"*" &amp; F20 &amp; "*")</f>
        <v>0</v>
      </c>
      <c r="J20" s="103" t="s">
        <v>85</v>
      </c>
      <c r="K20" s="104">
        <f t="shared" ref="K20:K26" ca="1" si="7">COUNTIF(INDIRECT("Basistabelle!" &amp; $I$4),"*" &amp; J20 &amp; "*")</f>
        <v>0</v>
      </c>
      <c r="N20" s="97" t="s">
        <v>85</v>
      </c>
      <c r="O20" s="95">
        <f ca="1">C20+G20+K20</f>
        <v>0</v>
      </c>
      <c r="P20" s="87" t="str">
        <f t="shared" ca="1" si="1"/>
        <v/>
      </c>
    </row>
    <row r="21" spans="1:16" x14ac:dyDescent="0.2">
      <c r="B21" s="103" t="s">
        <v>90</v>
      </c>
      <c r="C21" s="104">
        <f t="shared" ca="1" si="5"/>
        <v>0</v>
      </c>
      <c r="F21" s="90" t="s">
        <v>90</v>
      </c>
      <c r="G21" s="88">
        <f t="shared" ca="1" si="6"/>
        <v>0</v>
      </c>
      <c r="J21" s="103" t="s">
        <v>90</v>
      </c>
      <c r="K21" s="104">
        <f t="shared" ca="1" si="7"/>
        <v>0</v>
      </c>
      <c r="N21" s="97" t="s">
        <v>90</v>
      </c>
      <c r="O21" s="95">
        <f t="shared" ca="1" si="3"/>
        <v>0</v>
      </c>
      <c r="P21" s="87" t="str">
        <f t="shared" ca="1" si="1"/>
        <v/>
      </c>
    </row>
    <row r="22" spans="1:16" x14ac:dyDescent="0.2">
      <c r="B22" s="103" t="s">
        <v>124</v>
      </c>
      <c r="C22" s="104">
        <f t="shared" ca="1" si="5"/>
        <v>0</v>
      </c>
      <c r="F22" s="90"/>
      <c r="J22" s="103"/>
      <c r="N22" s="98" t="s">
        <v>124</v>
      </c>
      <c r="O22" s="95">
        <f t="shared" ca="1" si="3"/>
        <v>0</v>
      </c>
    </row>
    <row r="23" spans="1:16" x14ac:dyDescent="0.2">
      <c r="A23" s="105"/>
      <c r="B23" s="107" t="s">
        <v>101</v>
      </c>
      <c r="C23" s="105">
        <f ca="1">SUM(C20:C22)</f>
        <v>0</v>
      </c>
      <c r="D23" s="105"/>
      <c r="E23" s="89"/>
      <c r="F23" s="91"/>
      <c r="G23" s="89">
        <f ca="1">SUM(G20:G21)</f>
        <v>0</v>
      </c>
      <c r="H23" s="89"/>
      <c r="I23" s="105"/>
      <c r="J23" s="107"/>
      <c r="K23" s="105">
        <f ca="1">SUM(K20:K21)</f>
        <v>0</v>
      </c>
      <c r="L23" s="105"/>
      <c r="M23" s="96"/>
      <c r="N23" s="98"/>
      <c r="O23" s="96">
        <f ca="1">SUM(O20:O22)</f>
        <v>0</v>
      </c>
      <c r="P23" s="87" t="str">
        <f t="shared" ca="1" si="1"/>
        <v/>
      </c>
    </row>
    <row r="25" spans="1:16" x14ac:dyDescent="0.2">
      <c r="B25" s="103" t="s">
        <v>96</v>
      </c>
      <c r="C25" s="104">
        <f t="shared" ca="1" si="5"/>
        <v>0</v>
      </c>
      <c r="F25" s="90" t="s">
        <v>96</v>
      </c>
      <c r="G25" s="88">
        <f t="shared" ca="1" si="6"/>
        <v>0</v>
      </c>
      <c r="J25" s="103" t="s">
        <v>96</v>
      </c>
      <c r="K25" s="104">
        <f t="shared" ca="1" si="7"/>
        <v>0</v>
      </c>
      <c r="N25" s="97" t="s">
        <v>96</v>
      </c>
      <c r="O25" s="95">
        <f t="shared" ca="1" si="3"/>
        <v>0</v>
      </c>
      <c r="P25" s="87" t="str">
        <f t="shared" ca="1" si="1"/>
        <v/>
      </c>
    </row>
    <row r="26" spans="1:16" x14ac:dyDescent="0.2">
      <c r="B26" s="103" t="s">
        <v>98</v>
      </c>
      <c r="C26" s="104">
        <f t="shared" ca="1" si="5"/>
        <v>0</v>
      </c>
      <c r="F26" s="90" t="s">
        <v>98</v>
      </c>
      <c r="G26" s="88">
        <f t="shared" ca="1" si="6"/>
        <v>0</v>
      </c>
      <c r="J26" s="103" t="s">
        <v>98</v>
      </c>
      <c r="K26" s="104">
        <f t="shared" ca="1" si="7"/>
        <v>0</v>
      </c>
      <c r="N26" s="97" t="s">
        <v>98</v>
      </c>
      <c r="O26" s="95">
        <f t="shared" ca="1" si="3"/>
        <v>0</v>
      </c>
      <c r="P26" s="87" t="str">
        <f t="shared" ca="1" si="1"/>
        <v/>
      </c>
    </row>
    <row r="27" spans="1:16" x14ac:dyDescent="0.2">
      <c r="A27" s="105"/>
      <c r="B27" s="107" t="s">
        <v>102</v>
      </c>
      <c r="C27" s="105">
        <f ca="1">SUM(C25:C26)</f>
        <v>0</v>
      </c>
      <c r="D27" s="105"/>
      <c r="E27" s="89"/>
      <c r="F27" s="89"/>
      <c r="G27" s="89">
        <f ca="1">SUM(G25:G26)</f>
        <v>0</v>
      </c>
      <c r="H27" s="89"/>
      <c r="I27" s="105"/>
      <c r="J27" s="105"/>
      <c r="K27" s="105">
        <f ca="1">SUM(K25:K26)</f>
        <v>0</v>
      </c>
      <c r="L27" s="105"/>
      <c r="M27" s="96"/>
      <c r="N27" s="96"/>
      <c r="O27" s="96">
        <f ca="1">SUM(O25:O26)</f>
        <v>0</v>
      </c>
    </row>
    <row r="28" spans="1:16" x14ac:dyDescent="0.2">
      <c r="A28" s="105"/>
      <c r="B28" s="107"/>
      <c r="C28" s="105"/>
      <c r="D28" s="105"/>
      <c r="E28" s="89"/>
      <c r="F28" s="89"/>
      <c r="G28" s="89"/>
      <c r="H28" s="89"/>
      <c r="I28" s="105"/>
      <c r="J28" s="105"/>
      <c r="K28" s="105"/>
      <c r="L28" s="105"/>
      <c r="M28" s="96"/>
      <c r="N28" s="96"/>
      <c r="O28" s="96"/>
    </row>
    <row r="29" spans="1:16" s="104" customFormat="1" x14ac:dyDescent="0.2">
      <c r="B29" s="103"/>
      <c r="P29" s="111"/>
    </row>
    <row r="30" spans="1:16" ht="19" x14ac:dyDescent="0.25">
      <c r="A30" s="102" t="str">
        <f>"Statistik ZKP " &amp; YEAR(ErsterTagDesJahres)</f>
        <v>Statistik ZKP 2018</v>
      </c>
      <c r="E30" s="104"/>
      <c r="F30" s="104"/>
      <c r="G30" s="104"/>
      <c r="H30" s="104"/>
      <c r="M30" s="104"/>
      <c r="N30" s="104"/>
      <c r="O30" s="104"/>
    </row>
    <row r="32" spans="1:16" x14ac:dyDescent="0.2">
      <c r="A32" s="105" t="s">
        <v>142</v>
      </c>
      <c r="C32" s="150"/>
      <c r="E32" s="89" t="s">
        <v>88</v>
      </c>
      <c r="F32" s="90"/>
      <c r="I32" s="105" t="s">
        <v>143</v>
      </c>
      <c r="J32" s="103"/>
      <c r="M32" s="96" t="str">
        <f>"Total " &amp; YEAR(ErsterTagDesJahres)</f>
        <v>Total 2018</v>
      </c>
      <c r="N32" s="97"/>
    </row>
    <row r="33" spans="1:16" x14ac:dyDescent="0.2">
      <c r="A33" s="106" t="s">
        <v>136</v>
      </c>
      <c r="B33" s="103" t="s">
        <v>92</v>
      </c>
      <c r="C33" s="104">
        <f ca="1">COUNTIF(INDIRECT("Basistabelle!" &amp; $A$33),"*" &amp; B33 &amp; "*")</f>
        <v>0</v>
      </c>
      <c r="E33" s="112" t="s">
        <v>137</v>
      </c>
      <c r="F33" s="90" t="s">
        <v>92</v>
      </c>
      <c r="G33" s="88">
        <f ca="1">COUNTIF(INDIRECT("Basistabelle!" &amp; $E$33),"*" &amp; F33 &amp; "*")</f>
        <v>0</v>
      </c>
      <c r="I33" s="106" t="s">
        <v>144</v>
      </c>
      <c r="J33" s="103" t="s">
        <v>92</v>
      </c>
      <c r="K33" s="104">
        <f ca="1">COUNTIF(INDIRECT("Basistabelle!" &amp; $I$33),"*" &amp; J33 &amp; "*")</f>
        <v>0</v>
      </c>
      <c r="M33" s="113" t="s">
        <v>89</v>
      </c>
      <c r="N33" s="97" t="s">
        <v>92</v>
      </c>
      <c r="O33" s="95">
        <f ca="1">COUNTIF(INDIRECT("Basistabelle!" &amp; $M$33),"*" &amp; N33 &amp; "*")</f>
        <v>0</v>
      </c>
      <c r="P33" s="87" t="str">
        <f t="shared" ref="P33:P52" ca="1" si="8">IF((C33+G33+K33)&lt;&gt;O33,"???","")</f>
        <v/>
      </c>
    </row>
    <row r="34" spans="1:16" x14ac:dyDescent="0.2">
      <c r="A34" s="110"/>
      <c r="B34" s="107" t="s">
        <v>87</v>
      </c>
      <c r="C34" s="105">
        <f ca="1">SUM(C33)</f>
        <v>0</v>
      </c>
      <c r="D34" s="105"/>
      <c r="E34" s="114"/>
      <c r="F34" s="91"/>
      <c r="G34" s="89">
        <f ca="1">SUM(G33)</f>
        <v>0</v>
      </c>
      <c r="H34" s="89"/>
      <c r="I34" s="115"/>
      <c r="J34" s="107"/>
      <c r="K34" s="105">
        <f ca="1">SUM(K33)</f>
        <v>0</v>
      </c>
      <c r="L34" s="105"/>
      <c r="M34" s="116"/>
      <c r="N34" s="98"/>
      <c r="O34" s="96">
        <f ca="1">SUM(O33)</f>
        <v>0</v>
      </c>
      <c r="P34" s="87" t="str">
        <f t="shared" ca="1" si="8"/>
        <v/>
      </c>
    </row>
    <row r="35" spans="1:16" x14ac:dyDescent="0.2">
      <c r="A35" s="110"/>
      <c r="E35" s="94"/>
      <c r="F35" s="90"/>
      <c r="I35" s="110"/>
      <c r="J35" s="103"/>
      <c r="M35" s="101"/>
      <c r="N35" s="97"/>
    </row>
    <row r="36" spans="1:16" x14ac:dyDescent="0.2">
      <c r="B36" s="103" t="s">
        <v>91</v>
      </c>
      <c r="C36" s="104">
        <f ca="1">COUNTIF(INDIRECT("Basistabelle!" &amp; $A$33),"*" &amp; B36 &amp; "*")</f>
        <v>0</v>
      </c>
      <c r="F36" s="90" t="s">
        <v>91</v>
      </c>
      <c r="G36" s="88">
        <f t="shared" ref="G36:G39" ca="1" si="9">COUNTIF(INDIRECT("Basistabelle!" &amp; $E$33),"*" &amp; F36 &amp; "*")</f>
        <v>0</v>
      </c>
      <c r="J36" s="103" t="s">
        <v>91</v>
      </c>
      <c r="K36" s="104">
        <f t="shared" ref="K36:K39" ca="1" si="10">COUNTIF(INDIRECT("Basistabelle!" &amp; $I$33),"*" &amp; J36 &amp; "*")</f>
        <v>0</v>
      </c>
      <c r="N36" s="97" t="s">
        <v>91</v>
      </c>
      <c r="O36" s="95">
        <f ca="1">COUNTIF(INDIRECT("Basistabelle!" &amp; $M$33),"*" &amp; N36 &amp; "*")</f>
        <v>0</v>
      </c>
      <c r="P36" s="87" t="str">
        <f t="shared" ca="1" si="8"/>
        <v/>
      </c>
    </row>
    <row r="37" spans="1:16" x14ac:dyDescent="0.2">
      <c r="B37" s="160" t="str">
        <f>IF(C$3=1,"GP*ZH","GP")</f>
        <v>GP</v>
      </c>
      <c r="C37" s="104">
        <f t="shared" ref="C37:C51" ca="1" si="11">COUNTIF(INDIRECT("Basistabelle!" &amp; $A$33),"*" &amp; B37 &amp; "*")</f>
        <v>0</v>
      </c>
      <c r="F37" s="90" t="s">
        <v>80</v>
      </c>
      <c r="G37" s="88">
        <f t="shared" ca="1" si="9"/>
        <v>0</v>
      </c>
      <c r="J37" s="103" t="s">
        <v>80</v>
      </c>
      <c r="K37" s="104">
        <f t="shared" ca="1" si="10"/>
        <v>0</v>
      </c>
      <c r="N37" s="97" t="s">
        <v>80</v>
      </c>
      <c r="O37" s="95">
        <f ca="1">C37+G37+K37</f>
        <v>0</v>
      </c>
    </row>
    <row r="38" spans="1:16" x14ac:dyDescent="0.2">
      <c r="B38" s="103" t="s">
        <v>139</v>
      </c>
      <c r="C38" s="104">
        <f t="shared" ref="C38" ca="1" si="12">COUNTIF(INDIRECT("Basistabelle!" &amp; $A$33),"*" &amp; B38 &amp; "*")</f>
        <v>0</v>
      </c>
      <c r="F38" s="90" t="s">
        <v>139</v>
      </c>
      <c r="G38" s="88">
        <f t="shared" ref="G38" ca="1" si="13">COUNTIF(INDIRECT("Basistabelle!" &amp; $E$33),"*" &amp; F38 &amp; "*")</f>
        <v>0</v>
      </c>
      <c r="J38" s="103" t="s">
        <v>139</v>
      </c>
      <c r="K38" s="104">
        <f t="shared" ref="K38" ca="1" si="14">COUNTIF(INDIRECT("Basistabelle!" &amp; $I$33),"*" &amp; J38 &amp; "*")</f>
        <v>0</v>
      </c>
      <c r="N38" s="97" t="s">
        <v>139</v>
      </c>
      <c r="O38" s="95">
        <f ca="1">COUNTIF(INDIRECT("Basistabelle!" &amp; $M$33),"*" &amp; N38 &amp; "*")</f>
        <v>0</v>
      </c>
    </row>
    <row r="39" spans="1:16" x14ac:dyDescent="0.2">
      <c r="B39" s="103" t="s">
        <v>81</v>
      </c>
      <c r="C39" s="104">
        <f t="shared" ca="1" si="11"/>
        <v>0</v>
      </c>
      <c r="F39" s="90" t="s">
        <v>81</v>
      </c>
      <c r="G39" s="88">
        <f t="shared" ca="1" si="9"/>
        <v>0</v>
      </c>
      <c r="J39" s="103" t="s">
        <v>81</v>
      </c>
      <c r="K39" s="104">
        <f t="shared" ca="1" si="10"/>
        <v>0</v>
      </c>
      <c r="N39" s="97" t="s">
        <v>81</v>
      </c>
      <c r="O39" s="95">
        <f ca="1">COUNTIF(INDIRECT("Basistabelle!" &amp; $M$33),"*" &amp; N39 &amp; "*")</f>
        <v>0</v>
      </c>
      <c r="P39" s="87" t="str">
        <f t="shared" ca="1" si="8"/>
        <v/>
      </c>
    </row>
    <row r="40" spans="1:16" x14ac:dyDescent="0.2">
      <c r="B40" s="107" t="s">
        <v>103</v>
      </c>
      <c r="C40" s="105">
        <f ca="1">SUM(C36:C38)+C39*2</f>
        <v>0</v>
      </c>
      <c r="D40" s="105"/>
      <c r="E40" s="89"/>
      <c r="F40" s="91"/>
      <c r="G40" s="89">
        <f ca="1">SUM(G36:G38)+G39*2</f>
        <v>0</v>
      </c>
      <c r="H40" s="89"/>
      <c r="I40" s="105"/>
      <c r="J40" s="107"/>
      <c r="K40" s="105">
        <f ca="1">SUM(K36:K38)+K39*2</f>
        <v>0</v>
      </c>
      <c r="L40" s="105"/>
      <c r="M40" s="96"/>
      <c r="N40" s="98"/>
      <c r="O40" s="96">
        <f ca="1">SUM(O36:O38)+O39*2</f>
        <v>0</v>
      </c>
      <c r="P40" s="87" t="str">
        <f t="shared" ca="1" si="8"/>
        <v/>
      </c>
    </row>
    <row r="41" spans="1:16" x14ac:dyDescent="0.2">
      <c r="A41" s="105"/>
      <c r="B41" s="107"/>
      <c r="C41" s="105"/>
      <c r="D41" s="105"/>
      <c r="E41" s="89"/>
      <c r="F41" s="91"/>
      <c r="G41" s="89"/>
      <c r="H41" s="89"/>
      <c r="I41" s="105"/>
      <c r="J41" s="107"/>
      <c r="K41" s="105"/>
      <c r="L41" s="105"/>
      <c r="M41" s="96"/>
      <c r="N41" s="98"/>
      <c r="O41" s="96"/>
    </row>
    <row r="42" spans="1:16" s="86" customFormat="1" x14ac:dyDescent="0.2">
      <c r="A42" s="108"/>
      <c r="B42" s="109" t="s">
        <v>104</v>
      </c>
      <c r="C42" s="104">
        <f ca="1">COUNTIF(INDIRECT("Basistabelle!" &amp; $A$33),"*" &amp; B42 &amp; "*")</f>
        <v>0</v>
      </c>
      <c r="D42" s="108"/>
      <c r="E42" s="92"/>
      <c r="F42" s="93" t="s">
        <v>104</v>
      </c>
      <c r="G42" s="88">
        <f ca="1">COUNTIF(INDIRECT("Basistabelle!" &amp; $E$33),"*" &amp; F42 &amp; "*")</f>
        <v>0</v>
      </c>
      <c r="H42" s="92"/>
      <c r="I42" s="108"/>
      <c r="J42" s="109" t="s">
        <v>104</v>
      </c>
      <c r="K42" s="104">
        <f ca="1">COUNTIF(INDIRECT("Basistabelle!" &amp; $I$33),"*" &amp; J42 &amp; "*")</f>
        <v>0</v>
      </c>
      <c r="L42" s="108"/>
      <c r="M42" s="99"/>
      <c r="N42" s="100" t="s">
        <v>104</v>
      </c>
      <c r="O42" s="95">
        <f ca="1">COUNTIF(INDIRECT("Basistabelle!" &amp; $M$33),"*" &amp; N42 &amp; "*")</f>
        <v>0</v>
      </c>
      <c r="P42" s="87" t="str">
        <f t="shared" ca="1" si="8"/>
        <v/>
      </c>
    </row>
    <row r="43" spans="1:16" x14ac:dyDescent="0.2">
      <c r="A43" s="105"/>
      <c r="B43" s="107" t="s">
        <v>100</v>
      </c>
      <c r="C43" s="105">
        <f ca="1">SUM(C42)</f>
        <v>0</v>
      </c>
      <c r="D43" s="105"/>
      <c r="E43" s="89"/>
      <c r="F43" s="91"/>
      <c r="G43" s="89">
        <f ca="1">SUM(G42)</f>
        <v>0</v>
      </c>
      <c r="H43" s="89"/>
      <c r="I43" s="105"/>
      <c r="J43" s="107"/>
      <c r="K43" s="105">
        <f ca="1">SUM(K42)</f>
        <v>0</v>
      </c>
      <c r="L43" s="105"/>
      <c r="M43" s="96"/>
      <c r="N43" s="98"/>
      <c r="O43" s="96">
        <f ca="1">SUM(O42)</f>
        <v>0</v>
      </c>
      <c r="P43" s="87" t="str">
        <f t="shared" ca="1" si="8"/>
        <v/>
      </c>
    </row>
    <row r="45" spans="1:16" x14ac:dyDescent="0.2">
      <c r="B45" s="103" t="str">
        <f>IF(C$3=1,"GP*BE_","GP*BE")</f>
        <v>GP*BE</v>
      </c>
      <c r="C45" s="104">
        <f t="shared" ca="1" si="11"/>
        <v>0</v>
      </c>
      <c r="F45" s="90" t="s">
        <v>86</v>
      </c>
      <c r="G45" s="88">
        <f ca="1">COUNTIF(INDIRECT("Basistabelle!" &amp; $E$33),"*" &amp; F45 &amp; "*")</f>
        <v>0</v>
      </c>
      <c r="J45" s="103" t="s">
        <v>86</v>
      </c>
      <c r="K45" s="104">
        <f ca="1">COUNTIF(INDIRECT("Basistabelle!" &amp; $I$33),"*" &amp; J45 &amp; "*")</f>
        <v>0</v>
      </c>
      <c r="N45" s="97" t="s">
        <v>86</v>
      </c>
      <c r="O45" s="95">
        <f ca="1">C45+G45+K45</f>
        <v>0</v>
      </c>
    </row>
    <row r="46" spans="1:16" x14ac:dyDescent="0.2">
      <c r="B46" s="103" t="str">
        <f>IF(C$3=1,"HP*BE_","HP*BE")</f>
        <v>HP*BE</v>
      </c>
      <c r="C46" s="104">
        <f t="shared" ca="1" si="11"/>
        <v>0</v>
      </c>
      <c r="F46" s="161" t="str">
        <f>IF(G$3=1,"HP*BE","HP*BE")</f>
        <v>HP*BE</v>
      </c>
      <c r="G46" s="88">
        <f ca="1">COUNTIF(INDIRECT("Basistabelle!" &amp; $E$33),"*" &amp; F46 &amp; "*")</f>
        <v>0</v>
      </c>
      <c r="J46" s="103" t="s">
        <v>140</v>
      </c>
      <c r="K46" s="104">
        <f ca="1">COUNTIF(INDIRECT("Basistabelle!" &amp; $I$33),"*" &amp; J46 &amp; "*")</f>
        <v>0</v>
      </c>
      <c r="N46" s="97" t="s">
        <v>140</v>
      </c>
      <c r="O46" s="95">
        <f ca="1">C46+G46+K46</f>
        <v>0</v>
      </c>
    </row>
    <row r="47" spans="1:16" x14ac:dyDescent="0.2">
      <c r="B47" s="103" t="s">
        <v>93</v>
      </c>
      <c r="C47" s="104">
        <f t="shared" ca="1" si="11"/>
        <v>0</v>
      </c>
      <c r="F47" s="90" t="s">
        <v>93</v>
      </c>
      <c r="G47" s="88">
        <f ca="1">COUNTIF(INDIRECT("Basistabelle!" &amp; $E$33),"*" &amp; F47 &amp; "*")</f>
        <v>0</v>
      </c>
      <c r="J47" s="103" t="s">
        <v>93</v>
      </c>
      <c r="K47" s="104">
        <f ca="1">COUNTIF(INDIRECT("Basistabelle!" &amp; $I$33),"*" &amp; J47 &amp; "*")</f>
        <v>0</v>
      </c>
      <c r="N47" s="97" t="s">
        <v>93</v>
      </c>
      <c r="O47" s="95">
        <f ca="1">COUNTIF(INDIRECT("Basistabelle!" &amp; $M$33),"*" &amp; N47 &amp; "*")</f>
        <v>0</v>
      </c>
      <c r="P47" s="87" t="str">
        <f t="shared" ca="1" si="8"/>
        <v/>
      </c>
    </row>
    <row r="48" spans="1:16" x14ac:dyDescent="0.2">
      <c r="B48" s="103" t="s">
        <v>94</v>
      </c>
      <c r="C48" s="104">
        <f t="shared" ca="1" si="11"/>
        <v>0</v>
      </c>
      <c r="F48" s="90"/>
      <c r="J48" s="103"/>
      <c r="N48" s="97" t="s">
        <v>94</v>
      </c>
      <c r="O48" s="95">
        <f ca="1">COUNTIF(INDIRECT("Basistabelle!" &amp; $M$33),"*" &amp; N48 &amp; "*")</f>
        <v>0</v>
      </c>
      <c r="P48" s="87" t="str">
        <f t="shared" ca="1" si="8"/>
        <v/>
      </c>
    </row>
    <row r="49" spans="2:16" x14ac:dyDescent="0.2">
      <c r="B49" s="107" t="s">
        <v>105</v>
      </c>
      <c r="C49" s="105">
        <f ca="1">SUM(C45:C48)</f>
        <v>0</v>
      </c>
      <c r="D49" s="105"/>
      <c r="E49" s="89"/>
      <c r="F49" s="91"/>
      <c r="G49" s="89">
        <f ca="1">SUM(G45:G48)</f>
        <v>0</v>
      </c>
      <c r="H49" s="89"/>
      <c r="I49" s="105"/>
      <c r="J49" s="107"/>
      <c r="K49" s="105">
        <f ca="1">SUM(K45:K48)</f>
        <v>0</v>
      </c>
      <c r="L49" s="105"/>
      <c r="M49" s="96"/>
      <c r="N49" s="98"/>
      <c r="O49" s="96">
        <f ca="1">SUM(O45:O48)</f>
        <v>0</v>
      </c>
      <c r="P49" s="87" t="str">
        <f t="shared" ca="1" si="8"/>
        <v/>
      </c>
    </row>
    <row r="51" spans="2:16" x14ac:dyDescent="0.2">
      <c r="B51" s="103" t="s">
        <v>97</v>
      </c>
      <c r="C51" s="104">
        <f t="shared" ca="1" si="11"/>
        <v>0</v>
      </c>
      <c r="F51" s="90" t="s">
        <v>97</v>
      </c>
      <c r="G51" s="88">
        <f ca="1">COUNTIF(INDIRECT("Basistabelle!" &amp; $E$33),"*" &amp; F51 &amp; "*")</f>
        <v>0</v>
      </c>
      <c r="J51" s="103" t="s">
        <v>97</v>
      </c>
      <c r="K51" s="104">
        <f ca="1">COUNTIF(INDIRECT("Basistabelle!" &amp; $I$33),"*" &amp; J51 &amp; "*")</f>
        <v>0</v>
      </c>
      <c r="N51" s="97" t="s">
        <v>97</v>
      </c>
      <c r="O51" s="95">
        <f ca="1">COUNTIF(INDIRECT("Basistabelle!" &amp; $M$33),"*" &amp; N51 &amp; "*")</f>
        <v>0</v>
      </c>
      <c r="P51" s="87" t="str">
        <f t="shared" ca="1" si="8"/>
        <v/>
      </c>
    </row>
    <row r="52" spans="2:16" x14ac:dyDescent="0.2">
      <c r="B52" s="107" t="s">
        <v>102</v>
      </c>
      <c r="C52" s="105">
        <f ca="1">SUM(C51)</f>
        <v>0</v>
      </c>
      <c r="D52" s="105"/>
      <c r="E52" s="89"/>
      <c r="F52" s="89"/>
      <c r="G52" s="89">
        <f ca="1">SUM(G51)</f>
        <v>0</v>
      </c>
      <c r="H52" s="89"/>
      <c r="I52" s="105"/>
      <c r="J52" s="105"/>
      <c r="K52" s="105">
        <f ca="1">SUM(K51)</f>
        <v>0</v>
      </c>
      <c r="L52" s="105"/>
      <c r="M52" s="96"/>
      <c r="N52" s="96"/>
      <c r="O52" s="96">
        <f ca="1">SUM(O51)</f>
        <v>0</v>
      </c>
      <c r="P52" s="87" t="str">
        <f t="shared" ca="1" si="8"/>
        <v/>
      </c>
    </row>
  </sheetData>
  <mergeCells count="1">
    <mergeCell ref="I3:J3"/>
  </mergeCells>
  <phoneticPr fontId="31" type="noConversion"/>
  <pageMargins left="0.70866141732283472" right="0.70866141732283472" top="0.78740157480314965" bottom="0.78740157480314965" header="0.31496062992125984" footer="0.31496062992125984"/>
  <pageSetup paperSize="9" scale="25" orientation="portrait" r:id="rId1"/>
  <headerFooter>
    <oddHeader>&amp;CESG Jahresübersicht 2020 (V0 per 10.02.17)</oddHeader>
    <oddFooter>&amp;CSW 10.02.17</oddFooter>
  </headerFooter>
  <ignoredErrors>
    <ignoredError sqref="O12 O37 C7 G7 K7 O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V1.1 zum Drucken</vt:lpstr>
      <vt:lpstr>V0.1 zum Drucken</vt:lpstr>
      <vt:lpstr>V0.2 zum Drucken</vt:lpstr>
      <vt:lpstr>V1.0 zum Drucken</vt:lpstr>
      <vt:lpstr>Basistabelle</vt:lpstr>
      <vt:lpstr>Jahresübersicht</vt:lpstr>
      <vt:lpstr>Statistik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Günther</dc:creator>
  <cp:lastModifiedBy>Microsoft Office User</cp:lastModifiedBy>
  <cp:lastPrinted>2017-02-10T11:17:38Z</cp:lastPrinted>
  <dcterms:created xsi:type="dcterms:W3CDTF">2013-02-06T15:04:37Z</dcterms:created>
  <dcterms:modified xsi:type="dcterms:W3CDTF">2018-01-21T22:34:55Z</dcterms:modified>
</cp:coreProperties>
</file>